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  <sheet state="visible" name="Tablas dinámicas" sheetId="6" r:id="rId9"/>
  </sheets>
  <definedNames>
    <definedName hidden="1" localSheetId="0" name="_xlnm._FilterDatabase">'Datos Originales'!$A$1:$I$1001</definedName>
    <definedName hidden="1" localSheetId="5" name="_xlnm._FilterDatabase">'Tablas dinámicas'!$B$14:$C$63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mSg7us/vftIIrLL2e9jXaICigQs6fiU/gEBEwrx6I8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 cambió el formato con menú formato, DD/MM/AAAA; se adaptó de esta forma para proceder correctamente con la fórmula que corrige texto y caracteres especiales.
======</t>
      </text>
    </comment>
    <comment authorId="0" ref="L1">
      <text>
        <t xml:space="preserve">Se copiaron los valores de K y se pegaron de nuevo ya que no reconocía el formato.
======</t>
      </text>
    </comment>
    <comment authorId="0" ref="V1">
      <text>
        <t xml:space="preserve">Se crea para homologar producto, tipo y especificación y obtener un producto único de acuerdo a características
======</t>
      </text>
    </comment>
    <comment authorId="0" ref="S1">
      <text>
        <t xml:space="preserve">======
ID#AAABsXN-YDg
produccion Venid a mi. De nosotros el Mayor    (2025-10-06 22:19:43)
se agregó "0" como valor para celda en blanco ya que no otorgaba totales</t>
      </text>
    </comment>
    <comment authorId="0" ref="T1">
      <text>
        <t xml:space="preserve">======
ID#AAABsXN-YDY
David Ramos    (2025-10-06 19:59:19)
Se detectaron caracteres no válidos, en especial en el nombre "Jos" y José donde se solicito a CGT una corrección de caracteres no validos con revisión específica de completar el nombre José donde estuviese escrito Jos (exclusivo a 3 caracteres para no afectar los nombres correctos: "José"). Corrección a las abreviaciones como Ing. Dr.  Sr (a)  etc</t>
      </text>
    </comment>
    <comment authorId="0" ref="Q1">
      <text>
        <t xml:space="preserve">======
ID#AAABsXN-X_A
David Ramos    (2025-10-06 18:59:29)
Se obtiene con fórmula el resultado "0" para efectos prácticos</t>
      </text>
    </comment>
    <comment authorId="0" ref="N1">
      <text>
        <t xml:space="preserve">======
ID#AAABsXN-X-8
David Ramos    (2025-10-06 18:57:34)
Se combina fórmula que quita espacios, reemplaza  caracteres especiales y separa las columnas</t>
      </text>
    </comment>
    <comment authorId="0" ref="M1">
      <text>
        <t xml:space="preserve">======
ID#AAABsXN-X-4
David Ramos    (2025-10-06 18:56:18)
Con Chatgpt se identifican caracteres especiales en la columna y se solicita fórmula para la depuración, incluyendo espacios en blanco</t>
      </text>
    </comment>
    <comment authorId="0" ref="K1">
      <text>
        <t xml:space="preserve">======
ID#AAABsWH-GBQ
David Ramos    (2025-10-06 05:29:48)
Se crea tabla alterna con corrección de datos  mayor mente con fórmulas</t>
      </text>
    </comment>
  </commentList>
  <extLst>
    <ext uri="GoogleSheetsCustomDataVersion2">
      <go:sheetsCustomData xmlns:go="http://customooxmlschemas.google.com/" r:id="rId1" roundtripDataSignature="AMtx7miYNMs8uQB0PFV4tZjMk4USvizEa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Se crea tabla dinámica en hoja "Tablas dinámicas" se aplica filtro de fechas.
======</t>
      </text>
    </comment>
    <comment authorId="0" ref="B3">
      <text>
        <t xml:space="preserve">Se cambia totales por Average (promedio)
======</t>
      </text>
    </comment>
    <comment authorId="0" ref="B5">
      <text>
        <t xml:space="preserve">116 unidades vendidas
======</t>
      </text>
    </comment>
    <comment authorId="0" ref="B7">
      <text>
        <t xml:space="preserve">1,066,659.29 en ventas
======</t>
      </text>
    </comment>
    <comment authorId="0" ref="B8">
      <text>
        <t xml:space="preserve">Se tomó categoría la columna: "Especificaciones" hay 4 categorías y el promedio total de las 4 es el valor indicado.
======</t>
      </text>
    </comment>
    <comment authorId="0" ref="D4">
      <text>
        <t xml:space="preserve">======
ID#AAABsXN-YDw
David Ramos    (2025-10-06 23:31:07)
Todos los datos obtenidos están ligados a tablas dinámicas  de la hoja con el mismo nombre</t>
      </text>
    </comment>
    <comment authorId="0" ref="B6">
      <text>
        <t xml:space="preserve">======
ID#AAABsXN-YDo
David Ramos    (2025-10-06 23:08:09)
Se aplicó filtro para obtener datos de acuerdo a Q4</t>
      </text>
    </comment>
    <comment authorId="0" ref="B1">
      <text>
        <t xml:space="preserve">======
ID#AAABsXN-YDk
produccion Venid a mi. De nosotros el Mayor    (2025-10-06 22:29:53)
Las respuestas se dan en base a el último trimestre del año</t>
      </text>
    </comment>
  </commentList>
  <extLst>
    <ext uri="GoogleSheetsCustomDataVersion2">
      <go:sheetsCustomData xmlns:go="http://customooxmlschemas.google.com/" r:id="rId1" roundtripDataSignature="AMtx7mj+y5fe0zmj0E9AlmShwKtciYABM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ID#AAABsXN-YD0
David Ramos    (2025-10-07 01:25:21)
Se crea esta hoja para la obtención de totales y datos generales y tener una referencia al análisis para su verificación en lugar de aplicar filtros y solo copiar el resultado y dejarlo como un valor sin un dato verificable</t>
      </text>
    </comment>
  </commentList>
  <extLst>
    <ext uri="GoogleSheetsCustomDataVersion2">
      <go:sheetsCustomData xmlns:go="http://customooxmlschemas.google.com/" r:id="rId1" roundtripDataSignature="AMtx7mhj45gbNnZydjThDfOUpPftHfQjSA=="/>
    </ext>
  </extLst>
</comments>
</file>

<file path=xl/sharedStrings.xml><?xml version="1.0" encoding="utf-8"?>
<sst xmlns="http://schemas.openxmlformats.org/spreadsheetml/2006/main" count="11204" uniqueCount="3422">
  <si>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</si>
  <si>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</si>
  <si>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</si>
  <si>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</si>
  <si>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</si>
  <si>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</si>
  <si>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</si>
  <si>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</si>
  <si>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</si>
  <si>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Oct 03, 2024</t>
  </si>
  <si>
    <t xml:space="preserve">Monterrey  </t>
  </si>
  <si>
    <t>Auriculares-Con cable-32GB</t>
  </si>
  <si>
    <t>Sandra B√°ez</t>
  </si>
  <si>
    <t>maria-teresamanzanares@jaquez.com</t>
  </si>
  <si>
    <t>d7c9e19e-1228-4326-8b2a-cde42e222a67</t>
  </si>
  <si>
    <t>10/15/2024</t>
  </si>
  <si>
    <t>Bogotá</t>
  </si>
  <si>
    <t>Auriculares-Bluetooth-8GB</t>
  </si>
  <si>
    <t>Mariano Leticia Palomino</t>
  </si>
  <si>
    <t>brunoflorez@hotmail.com</t>
  </si>
  <si>
    <t>c1103728-e36d-48da-ba95-42c7fc1ccca5</t>
  </si>
  <si>
    <t>27/10/2024</t>
  </si>
  <si>
    <t>Laptop-Gaming-32GB</t>
  </si>
  <si>
    <t>Gregorio Gayt√°n</t>
  </si>
  <si>
    <t>maytezedillo@grupo.com</t>
  </si>
  <si>
    <t>1fd52e4f-ce34-4747-8dc7-fa4b9fe57dc4</t>
  </si>
  <si>
    <t>Nov 02, 2024</t>
  </si>
  <si>
    <t>Medellín</t>
  </si>
  <si>
    <t>Tablet-Pro-8GB</t>
  </si>
  <si>
    <t>Alejandra Araceli Guti√©rrez</t>
  </si>
  <si>
    <t>jtovar@trujillo-orellana.com</t>
  </si>
  <si>
    <t>0ada26be-f753-405b-a1a4-3599df81e700</t>
  </si>
  <si>
    <t>28/11/2024</t>
  </si>
  <si>
    <t>Teléfono-Gama alta-4GB</t>
  </si>
  <si>
    <t>Miguel √Ångel Mondrag√≥n Benav√≠dez</t>
  </si>
  <si>
    <t>bmontanez@yahoo.com</t>
  </si>
  <si>
    <t>9300cdf6-1250-4659-917a-93641a266da5</t>
  </si>
  <si>
    <t>11/05/2024</t>
  </si>
  <si>
    <t>Cali</t>
  </si>
  <si>
    <t>Teléfono-Gama alta-8GB</t>
  </si>
  <si>
    <t>Gabino Conchita Bueno</t>
  </si>
  <si>
    <t>wvega@yahoo.com</t>
  </si>
  <si>
    <t>c46fe29a-c3e5-4c00-b9ea-94b719c84734</t>
  </si>
  <si>
    <t>Dec 01, 2024</t>
  </si>
  <si>
    <t xml:space="preserve">  Guadalajara</t>
  </si>
  <si>
    <t>Tablet-Mini-4GB</t>
  </si>
  <si>
    <t>Karla Pineda Arriaga</t>
  </si>
  <si>
    <t>acabrera@yahoo.com</t>
  </si>
  <si>
    <t>35bff7d1-834a-47b1-8627-e9ce0847bae9</t>
  </si>
  <si>
    <t>12/10/2024</t>
  </si>
  <si>
    <t>Ciudad de M√©xico</t>
  </si>
  <si>
    <t>Dr. Rolando Mares</t>
  </si>
  <si>
    <t>mercadohilda@gmail.com</t>
  </si>
  <si>
    <t>5199a25e-ee56-4e1f-9c71-21f24998e8fc</t>
  </si>
  <si>
    <t>15/12/2024</t>
  </si>
  <si>
    <t>Laptop-Ultraliviana-16GB</t>
  </si>
  <si>
    <t>Virginia Mondrag√≥n</t>
  </si>
  <si>
    <t>josefina68@proyectos.com</t>
  </si>
  <si>
    <t>e58774cc-8183-4c21-b23d-1089685c61dd</t>
  </si>
  <si>
    <t>23/12/2024</t>
  </si>
  <si>
    <t>GUADALAJARA</t>
  </si>
  <si>
    <t>Luis Manuel Aldonza Contreras</t>
  </si>
  <si>
    <t>castilloteodoro@yahoo.com</t>
  </si>
  <si>
    <t>4e85609f-8a23-4d99-a616-2f83279d0dc0</t>
  </si>
  <si>
    <t>Oct 09, 2024</t>
  </si>
  <si>
    <t>Auriculares-Bluetooth-16GB</t>
  </si>
  <si>
    <t>Indira Guadalupe Montez Alcaraz</t>
  </si>
  <si>
    <t>brivera@club.com</t>
  </si>
  <si>
    <t>a076e80e-95f4-4b8d-8e0e-af032fd3e7e3</t>
  </si>
  <si>
    <t>11/25/2024</t>
  </si>
  <si>
    <t>Auriculares-Con cable-16GB</t>
  </si>
  <si>
    <t>Lic. Luz de la Garza</t>
  </si>
  <si>
    <t>esparta94@gmail.com</t>
  </si>
  <si>
    <t>b76b9aa0-31e3-4e6d-905f-d7fc227d629a</t>
  </si>
  <si>
    <t>19/12/2024</t>
  </si>
  <si>
    <t>Tablet-Pro-4GB</t>
  </si>
  <si>
    <t>Sr(a). Karla Mateo</t>
  </si>
  <si>
    <t>reynaldo65@esparza.com</t>
  </si>
  <si>
    <t>fde0973c-ba07-4b7c-b196-f9743e17466a</t>
  </si>
  <si>
    <t>10/21/2024</t>
  </si>
  <si>
    <t>Teléfono-Gama baja-16GB</t>
  </si>
  <si>
    <t>Abril Julio T√≥rrez Segovia</t>
  </si>
  <si>
    <t>xsaenz@hotmail.com</t>
  </si>
  <si>
    <t>0281b754-3298-47cb-85b3-b7e7a8c57bab</t>
  </si>
  <si>
    <t>Nov 30, 2024</t>
  </si>
  <si>
    <t>Guadalajara</t>
  </si>
  <si>
    <t>Tablet-Pro-32GB</t>
  </si>
  <si>
    <t>Ing. Esteban Curiel</t>
  </si>
  <si>
    <t>juliavergara@barraza.info</t>
  </si>
  <si>
    <t>6d6dc8da-1c46-48a9-9864-d6731b144bc7</t>
  </si>
  <si>
    <t>12/05/2024</t>
  </si>
  <si>
    <t>Tablet-Mini-32GB</t>
  </si>
  <si>
    <t>Hilda M√≥nica Acu√±a Zedillo</t>
  </si>
  <si>
    <t>lhidalgo@yahoo.com</t>
  </si>
  <si>
    <t>6d865eac-7ee1-4c9f-bf09-98a0163a585b</t>
  </si>
  <si>
    <t>22/10/2024</t>
  </si>
  <si>
    <t>Auriculares-Cancelación de ruido-4GB</t>
  </si>
  <si>
    <t>Iv√°n Sanches Vallejo</t>
  </si>
  <si>
    <t>reinaenriquez@sarabia-badillo.com</t>
  </si>
  <si>
    <t>166ba421-1a83-493d-b4f5-5832605721e4</t>
  </si>
  <si>
    <t>Dec 28, 2024</t>
  </si>
  <si>
    <t>Monterrey</t>
  </si>
  <si>
    <t>Alejandra Rold√°n</t>
  </si>
  <si>
    <t>almafajardo@proyectos.com</t>
  </si>
  <si>
    <t>530801f5-4c88-4d00-b297-5944ebece83d</t>
  </si>
  <si>
    <t>10/12/2024</t>
  </si>
  <si>
    <t xml:space="preserve">Teléfono-Gama alta-16GB </t>
  </si>
  <si>
    <t>Lorenzo Wendolin M√©ndez Gollum</t>
  </si>
  <si>
    <t>ffuentes@ochoa-molina.com</t>
  </si>
  <si>
    <t>116022d7-56fc-4596-aeba-30c58ab21dbf</t>
  </si>
  <si>
    <t>Nov 14, 2024</t>
  </si>
  <si>
    <t>Tablet-Estándar-16GB</t>
  </si>
  <si>
    <t>Catalina Adela Galarza Camacho</t>
  </si>
  <si>
    <t>yfarias@industrias.com</t>
  </si>
  <si>
    <t>6685e5bb-9081-494c-b6aa-422ddb87955d</t>
  </si>
  <si>
    <t>29/12/2024</t>
  </si>
  <si>
    <t>Teléfono-Gama media-4GB</t>
  </si>
  <si>
    <t>Aldo Rodr√≠gez</t>
  </si>
  <si>
    <t>isabelojeda@grupo.com</t>
  </si>
  <si>
    <t>f8087330-1de4-4af6-8cae-e91d660b819f</t>
  </si>
  <si>
    <t>11/10/2024</t>
  </si>
  <si>
    <t>Teléfono-Gama baja-8GB</t>
  </si>
  <si>
    <t>Sr(a). Carlota Aguayo</t>
  </si>
  <si>
    <t>auroralugo@acuna-mercado.com</t>
  </si>
  <si>
    <t>d58eb71d-bd78-4ec3-8a70-34213c01464b</t>
  </si>
  <si>
    <t>Dec 16, 2024</t>
  </si>
  <si>
    <t>Aurora Amador Mendoza Prieto</t>
  </si>
  <si>
    <t>margarita69@grupo.net</t>
  </si>
  <si>
    <t>45698812-aa8b-4fea-b214-81743c8c3e1d</t>
  </si>
  <si>
    <t>14/10/2024</t>
  </si>
  <si>
    <t>MONTERREY</t>
  </si>
  <si>
    <t>Gabino Rub√©n Men√©ndez</t>
  </si>
  <si>
    <t>bernardovillagomez@laboratorios.org</t>
  </si>
  <si>
    <t>df7f87e2-753a-411f-bbe9-b634b149f17c</t>
  </si>
  <si>
    <t>12/31/2024</t>
  </si>
  <si>
    <t>Laptop-Ultraliviana-32GB</t>
  </si>
  <si>
    <t>Roberto Mar√≠a Cristina Madera Alejandro</t>
  </si>
  <si>
    <t>teodoro56@yahoo.com</t>
  </si>
  <si>
    <t>bfde20ee-a837-4bd7-af36-f9e5b40dfe3b</t>
  </si>
  <si>
    <t>Uriel Helena Caldera</t>
  </si>
  <si>
    <t>pizarrojaqueline@acuna-moreno.com</t>
  </si>
  <si>
    <t>91de2837-a873-4607-8185-7fa6844d2be8</t>
  </si>
  <si>
    <t xml:space="preserve">CIUDAD DE M√âXICO </t>
  </si>
  <si>
    <t>Sr(a). M√≥nica Cortez</t>
  </si>
  <si>
    <t>benito43@corporacin.com</t>
  </si>
  <si>
    <t>814e531c-1781-4af9-86e2-0da4494565c9</t>
  </si>
  <si>
    <t>12/24/2024</t>
  </si>
  <si>
    <t>Laptop-Oficina-16GB</t>
  </si>
  <si>
    <t>Trinidad Badillo</t>
  </si>
  <si>
    <t>coronadomodesto@hotmail.com</t>
  </si>
  <si>
    <t>698672ae-dbbd-4086-a5f7-90c3dfe00ff8</t>
  </si>
  <si>
    <t>Oct 27, 2024</t>
  </si>
  <si>
    <t>Teléfono-Gama baja-4GB</t>
  </si>
  <si>
    <t>Noem√≠ Julia Zepeda</t>
  </si>
  <si>
    <t>gilalta-gracia@miramontes.com</t>
  </si>
  <si>
    <t>102bcf63-b887-46cb-8d4f-8c9404340da9</t>
  </si>
  <si>
    <t>14/11/2024</t>
  </si>
  <si>
    <t>Armando Ricardo Dur√°n</t>
  </si>
  <si>
    <t>trevinozeferino@hotmail.com</t>
  </si>
  <si>
    <t>c2c34b94-f490-4a39-9f0d-d895d228fae3</t>
  </si>
  <si>
    <t>11/28/2024</t>
  </si>
  <si>
    <t>Tulum</t>
  </si>
  <si>
    <t>Teléfono-Gama alta-16GB</t>
  </si>
  <si>
    <t>Asunci√≥n Rebeca Rivero</t>
  </si>
  <si>
    <t>rosalia18@gmail.com</t>
  </si>
  <si>
    <t>dba5fcd9-c9cd-46ba-a785-12d580ffe57a</t>
  </si>
  <si>
    <t>Nov 05, 2024</t>
  </si>
  <si>
    <t>Laptop-Gaming-8GB</t>
  </si>
  <si>
    <t>Ruby Virginia Salcido</t>
  </si>
  <si>
    <t>zoe99@ornelas.com</t>
  </si>
  <si>
    <t>10459092-6977-440d-ad85-b85e03763cf7</t>
  </si>
  <si>
    <t>23/10/2024</t>
  </si>
  <si>
    <t>Laptop-Oficina-8GB</t>
  </si>
  <si>
    <t>Blanca Ord√≥√±ez Matos</t>
  </si>
  <si>
    <t>yuridiavillagomez@yahoo.com</t>
  </si>
  <si>
    <t>e9bf9df3-945d-4164-9afd-4e3cdee9991c</t>
  </si>
  <si>
    <t>Auriculares-Con cable-8GB</t>
  </si>
  <si>
    <t>Mar√≠a Jos√© Jacobo Perales Ortiz</t>
  </si>
  <si>
    <t>oliver93@hotmail.com</t>
  </si>
  <si>
    <t>ead07a50-6dc3-4997-a078-77b5ae38bb54</t>
  </si>
  <si>
    <t>10/08/2024</t>
  </si>
  <si>
    <t>Laptop-Ultraliviana-4GB</t>
  </si>
  <si>
    <t>Rosalia Alc√°ntar</t>
  </si>
  <si>
    <t>luisamata@barajas-de.org</t>
  </si>
  <si>
    <t>a9fee7b5-3729-4db8-815f-355ff6236823</t>
  </si>
  <si>
    <t>Dec 15, 2024</t>
  </si>
  <si>
    <t>Tablet-Mini-8GB</t>
  </si>
  <si>
    <t>Emilio Almaraz</t>
  </si>
  <si>
    <t>avera@yahoo.com</t>
  </si>
  <si>
    <t>72bb2e02-f0ab-4425-ad19-83e3487dfc79</t>
  </si>
  <si>
    <t>25/12/2024</t>
  </si>
  <si>
    <t>Auriculares-Cancelación de ruido-32GB</t>
  </si>
  <si>
    <t>Dar√≠o Mart√≠n Tovar</t>
  </si>
  <si>
    <t>eduardo10@gmail.com</t>
  </si>
  <si>
    <t>ced0a1f9-ee13-48fd-ae58-db4f7cdfb189</t>
  </si>
  <si>
    <t>10/29/2024</t>
  </si>
  <si>
    <t>Auriculares-Cancelación de ruido-8GB</t>
  </si>
  <si>
    <t>Nadia Ana Mar√≠a Merino Arteaga</t>
  </si>
  <si>
    <t>arico@almaraz-ontiveros.com</t>
  </si>
  <si>
    <t>446489c3-d916-48e8-af47-535cb42956ac</t>
  </si>
  <si>
    <t>12/14/2024</t>
  </si>
  <si>
    <t>Laptop-Gaming-4GB</t>
  </si>
  <si>
    <t>Uriel Montes Contreras</t>
  </si>
  <si>
    <t>fserrano@vela.com</t>
  </si>
  <si>
    <t>ab896c73-e2a6-4dc5-922f-889ab750954e</t>
  </si>
  <si>
    <t>Oct 12, 2024</t>
  </si>
  <si>
    <t>Auriculares-Bluetooth-4GB</t>
  </si>
  <si>
    <t>Seraf√≠n Samuel Tamayo B√°ez</t>
  </si>
  <si>
    <t>bruno78@vega.org</t>
  </si>
  <si>
    <t>c196a64f-ac47-4c79-b416-d0807432cfa3</t>
  </si>
  <si>
    <t>01/11/2024</t>
  </si>
  <si>
    <t>Lic. Jos√© Manu√©l Torres</t>
  </si>
  <si>
    <t>renatoorellana@gmail.com</t>
  </si>
  <si>
    <t>5004d2bb-d9ba-4955-8ee4-bf09d5db221e</t>
  </si>
  <si>
    <t>11/15/2024</t>
  </si>
  <si>
    <t>Daniel Carlota Arredondo Linares</t>
  </si>
  <si>
    <t>olveraalvaro@hotmail.com</t>
  </si>
  <si>
    <t>50132920-f6aa-4e4d-8964-c48df8dcf12f</t>
  </si>
  <si>
    <t>Dec 03, 2024</t>
  </si>
  <si>
    <t>Hilda Razo Lerma</t>
  </si>
  <si>
    <t>salvadorsuarez@gmail.com</t>
  </si>
  <si>
    <t>5eb1511c-6bde-49b4-b1e9-39aeeca914bc</t>
  </si>
  <si>
    <t>Mauricio Oquendo Bustos</t>
  </si>
  <si>
    <t>yalba@corporacin.com</t>
  </si>
  <si>
    <t>36d91d20-825b-4909-9326-ca55a5ba261f</t>
  </si>
  <si>
    <t>20/10/2024</t>
  </si>
  <si>
    <t>Tablet-Mini-16GB</t>
  </si>
  <si>
    <t>Amalia Guillermina Ozuna Santana</t>
  </si>
  <si>
    <t>ramiroenriquez@borrego-cuellar.com</t>
  </si>
  <si>
    <t>62a28aa3-fc75-41e7-abc8-fbb577726ebd</t>
  </si>
  <si>
    <t>11/30/2024</t>
  </si>
  <si>
    <t>Gabino Barrera Quiroz</t>
  </si>
  <si>
    <t>razoraul@yahoo.com</t>
  </si>
  <si>
    <t>02858336-ce07-4437-8326-04e65dd55fe4</t>
  </si>
  <si>
    <t>Dec 23, 2024</t>
  </si>
  <si>
    <t>Tablet-Estándar-4GB</t>
  </si>
  <si>
    <t>Dr. Alonso Lucero</t>
  </si>
  <si>
    <t>villegasalejandra@gmail.com</t>
  </si>
  <si>
    <t>46930688-ab22-4f38-922e-c8bdee972554</t>
  </si>
  <si>
    <t>11/11/2024</t>
  </si>
  <si>
    <t>Zeferino Clara Ure√±a Ramos</t>
  </si>
  <si>
    <t>anaranjo@despacho.com</t>
  </si>
  <si>
    <t>00f3b5c0-94a8-46ed-a8a8-4d11bde44da7</t>
  </si>
  <si>
    <t>11/01/2024</t>
  </si>
  <si>
    <t xml:space="preserve">Cali.  </t>
  </si>
  <si>
    <t>Teléfono-Gama baja-32GB</t>
  </si>
  <si>
    <t>Mtro. Magdalena Morales</t>
  </si>
  <si>
    <t>catalina33@yahoo.com</t>
  </si>
  <si>
    <t>9d83faf6-b95d-4623-85a1-78d8b416dd3f</t>
  </si>
  <si>
    <t>Oct 31, 2024</t>
  </si>
  <si>
    <t>Laptop-Oficina-32GB</t>
  </si>
  <si>
    <t>Mar√≠a Cristina Raquel Carranza Orosco</t>
  </si>
  <si>
    <t>ernesto07@gmail.com</t>
  </si>
  <si>
    <t>3217ab5c-f143-443a-aece-3a47846a3ff2</t>
  </si>
  <si>
    <t>Jorge Luis Baca</t>
  </si>
  <si>
    <t>egalindo@gmail.com</t>
  </si>
  <si>
    <t>2f12cb9e-2010-490d-9bfa-31410ba27433</t>
  </si>
  <si>
    <t>10/22/2024</t>
  </si>
  <si>
    <t xml:space="preserve">Laptop-Oficina-8GB </t>
  </si>
  <si>
    <t>Abelardo H√©ctor Brito Solorzano</t>
  </si>
  <si>
    <t>eugenia47@de.com</t>
  </si>
  <si>
    <t>ac86de05-18a9-4269-876c-d1c20900fd8f</t>
  </si>
  <si>
    <t>Pilar Luisa Bonilla Garrido</t>
  </si>
  <si>
    <t>silviapabon@corporacin.com</t>
  </si>
  <si>
    <t>403acb42-0f8a-41c6-b42a-d1adc4b62bfb</t>
  </si>
  <si>
    <t>Oct 08, 2024</t>
  </si>
  <si>
    <t>Fernando M√°rquez Almaraz</t>
  </si>
  <si>
    <t>benitezcarlota@yahoo.com</t>
  </si>
  <si>
    <t>1d366307-d6bd-4e44-b202-bab1ce141dbd</t>
  </si>
  <si>
    <t>Ver√≥nica Wendolin Ter√°n</t>
  </si>
  <si>
    <t>felipe81@espino.info</t>
  </si>
  <si>
    <t>6a83774a-e4f8-4c9b-ae75-2c985e801156</t>
  </si>
  <si>
    <t>12/18/2024</t>
  </si>
  <si>
    <t>Lic. Ricardo Coronado</t>
  </si>
  <si>
    <t>opaz@proyectos.net</t>
  </si>
  <si>
    <t>84862dcd-d58c-423c-99b1-8b1ee8b38e4e</t>
  </si>
  <si>
    <t>11/17/2024</t>
  </si>
  <si>
    <t xml:space="preserve">Teléfono-Gama alta-32GB </t>
  </si>
  <si>
    <t>Virginia Aldonza Zamora Longoria</t>
  </si>
  <si>
    <t>bpacheco@hotmail.com</t>
  </si>
  <si>
    <t>512f8818-bb8d-466a-9f10-79bd8f52408b</t>
  </si>
  <si>
    <t>Nov 25, 2024</t>
  </si>
  <si>
    <t>Alonso Paola Rocha</t>
  </si>
  <si>
    <t>ujasso@olivares.com</t>
  </si>
  <si>
    <t>8588db90-3e5f-471e-8500-c89cbc6d1623</t>
  </si>
  <si>
    <t>12/20/2024</t>
  </si>
  <si>
    <t>Aida Marrero</t>
  </si>
  <si>
    <t>juana18@yahoo.com</t>
  </si>
  <si>
    <t>84603ef1-6930-4a3e-b3f4-2e56b1a84398</t>
  </si>
  <si>
    <t>10/10/2024</t>
  </si>
  <si>
    <t>BOGOT√Å</t>
  </si>
  <si>
    <t>Mtro. C√©sar Verduzco</t>
  </si>
  <si>
    <t>maria-elena87@proyectos.biz</t>
  </si>
  <si>
    <t>af1640cb-8d21-4be4-a497-cf19ebe3fa3e</t>
  </si>
  <si>
    <t>Dec 07, 2024</t>
  </si>
  <si>
    <t>Rodrigo Yeni Avil√©s</t>
  </si>
  <si>
    <t>juan-carlos48@del.info</t>
  </si>
  <si>
    <t>fa21bde8-c128-4e66-83c3-a35891b527e7</t>
  </si>
  <si>
    <t>11/13/2024</t>
  </si>
  <si>
    <t>Cynthia Aguilera Figueroa</t>
  </si>
  <si>
    <t>eloyarroyo@yahoo.com</t>
  </si>
  <si>
    <t>6a533065-10e9-417f-90b8-cc321916284c</t>
  </si>
  <si>
    <t>12/02/2024</t>
  </si>
  <si>
    <t>Omar Casares Benav√≠dez</t>
  </si>
  <si>
    <t>humberto17@tapia.com</t>
  </si>
  <si>
    <t>be2593fe-882a-47b4-84fb-96d56973714b</t>
  </si>
  <si>
    <t>Nov 19, 2024</t>
  </si>
  <si>
    <t>Sr(a). Mario Cort√©s</t>
  </si>
  <si>
    <t>oliviacarmona@magana.net</t>
  </si>
  <si>
    <t>9b5f5828-58aa-4107-b467-e223f64cae41</t>
  </si>
  <si>
    <t>21/11/2024</t>
  </si>
  <si>
    <t>Laptop-Oficina-4GB</t>
  </si>
  <si>
    <t>Delia Rosario</t>
  </si>
  <si>
    <t>guruleserafin@industrias.biz</t>
  </si>
  <si>
    <t>a23fb156-d7f0-48b3-8429-51722fc91010</t>
  </si>
  <si>
    <t>11/07/2024</t>
  </si>
  <si>
    <t>Citlali Jorge Gast√©lum</t>
  </si>
  <si>
    <t>patricia75@corporacin.com</t>
  </si>
  <si>
    <t>b7d845eb-4a64-4099-a793-3f93363ea49e</t>
  </si>
  <si>
    <t>Dec 31, 2024</t>
  </si>
  <si>
    <t>Lic. Mateo Salazar</t>
  </si>
  <si>
    <t>aurora38@hotmail.com</t>
  </si>
  <si>
    <t>8d472941-b5df-4f80-b3a6-ece0e6978e8a</t>
  </si>
  <si>
    <t>24/12/2024</t>
  </si>
  <si>
    <t>Ing. Emilia Fajardo</t>
  </si>
  <si>
    <t>estelarocha@oquendo.org</t>
  </si>
  <si>
    <t>8e37e816-5b3d-4cf1-9cef-cf002ceb456f</t>
  </si>
  <si>
    <t>12/11/2024</t>
  </si>
  <si>
    <t>Leonel Salcido</t>
  </si>
  <si>
    <t>carranzamaria-jose@yahoo.com</t>
  </si>
  <si>
    <t>b970ae82-fee0-482e-b413-b42d8439bc7e</t>
  </si>
  <si>
    <t>Oct 18, 2024</t>
  </si>
  <si>
    <t>Ren√© Rafa√©l Rocha</t>
  </si>
  <si>
    <t>hugodel-rio@reyna.com</t>
  </si>
  <si>
    <t>21eb6780-a2cf-4959-81fd-6bec09658cd0</t>
  </si>
  <si>
    <t>12/22/2024</t>
  </si>
  <si>
    <t>Gonzalo Rasc√≥n</t>
  </si>
  <si>
    <t>hilda61@grupo.info</t>
  </si>
  <si>
    <t>632f3ed9-ab81-468b-93d0-16a797a5d1c7</t>
  </si>
  <si>
    <t>11/04/2024</t>
  </si>
  <si>
    <t>Patricio Palomino</t>
  </si>
  <si>
    <t>carolinaoquendo@industrias.net</t>
  </si>
  <si>
    <t>b3d5e0b4-2834-4e54-a96a-d9085614ca23</t>
  </si>
  <si>
    <t>Dec 13, 2024</t>
  </si>
  <si>
    <t>Roberto Mateo Hurtado Le√≥n</t>
  </si>
  <si>
    <t>sperales@hotmail.com</t>
  </si>
  <si>
    <t>0332c3e0-2f25-4dfd-ad14-79f12be80567</t>
  </si>
  <si>
    <t>10/25/2024</t>
  </si>
  <si>
    <t>Tel√©fono-Gama media-8GB</t>
  </si>
  <si>
    <t>Dr. Agust√≠n Sandoval</t>
  </si>
  <si>
    <t>cornelio15@grupo.com</t>
  </si>
  <si>
    <t>1a1b2b13-06f4-45bf-a9e9-678df211aedf</t>
  </si>
  <si>
    <t>Nov 29, 2024</t>
  </si>
  <si>
    <t>Silvano Villanueva Alcaraz</t>
  </si>
  <si>
    <t>nunezmanuel@yahoo.com</t>
  </si>
  <si>
    <t>da98ee54-efa1-4a37-a44f-16e69c8a3769</t>
  </si>
  <si>
    <t>10/24/2024</t>
  </si>
  <si>
    <t>Gonzalo Cort√©s Nieto</t>
  </si>
  <si>
    <t>cabanmauricio@partida-barrios.net</t>
  </si>
  <si>
    <t>f175c4e2-a107-42a1-87d8-ae02bbeada76</t>
  </si>
  <si>
    <t>Tablet-Estándar-8GB</t>
  </si>
  <si>
    <t>Marco Antonio Mercado Henr√≠quez</t>
  </si>
  <si>
    <t>grobledo@gmail.com</t>
  </si>
  <si>
    <t>6c9a8394-7c0d-49dd-814c-cdca8e78dbd5</t>
  </si>
  <si>
    <t>Elias Sotelo Espinal</t>
  </si>
  <si>
    <t>tvalle@guzman.org</t>
  </si>
  <si>
    <t>4082ebc9-a484-41c7-ae7f-fcdfa5f8c7f8</t>
  </si>
  <si>
    <t>11/23/2024</t>
  </si>
  <si>
    <t>CALI</t>
  </si>
  <si>
    <t>Tablet-Pro-16GB</t>
  </si>
  <si>
    <t>√Ångel D√°vila</t>
  </si>
  <si>
    <t>lomelivictoria@alvarez-olivo.org</t>
  </si>
  <si>
    <t>4466335e-c645-4d4b-a152-4044038bf97c</t>
  </si>
  <si>
    <t>11/03/2024</t>
  </si>
  <si>
    <t>Ing. Alejandra Delgadillo</t>
  </si>
  <si>
    <t>casaresramon@hotmail.com</t>
  </si>
  <si>
    <t>bc02e752-e8f9-4729-a7cd-24ba1ff00164</t>
  </si>
  <si>
    <t>Arturo Haro Varela</t>
  </si>
  <si>
    <t>ssosa@hotmail.com</t>
  </si>
  <si>
    <t>2feb799d-af20-4c3b-99b5-36c59009058b</t>
  </si>
  <si>
    <t>10/13/2024</t>
  </si>
  <si>
    <t>Asunci√≥n Samaniego</t>
  </si>
  <si>
    <t>arellanoalfredo@gmail.com</t>
  </si>
  <si>
    <t>4e9e641c-a0d6-4903-8f6e-f87d90c24aa0</t>
  </si>
  <si>
    <t>Nov 26, 2024</t>
  </si>
  <si>
    <t>Tablet-Estándar-32GB</t>
  </si>
  <si>
    <t>Paola Leyva Maestas</t>
  </si>
  <si>
    <t>reynaldogaribay@hotmail.com</t>
  </si>
  <si>
    <t>dafa21d9-a2ea-4867-b143-31f8243c024c</t>
  </si>
  <si>
    <t>Ren√© Luna Pineda</t>
  </si>
  <si>
    <t>hocampo@corporacin.net</t>
  </si>
  <si>
    <t>75b08c4a-c440-4f59-a757-c070085c6101</t>
  </si>
  <si>
    <t>13/10/2024</t>
  </si>
  <si>
    <t>Israel de Anda Rodr√≠guez</t>
  </si>
  <si>
    <t>sonia24@gmail.com</t>
  </si>
  <si>
    <t>7da07b63-351f-4e52-aa15-8e1320b57edf</t>
  </si>
  <si>
    <t>29/10/2024</t>
  </si>
  <si>
    <t>Teléfono-Gama media-32GB</t>
  </si>
  <si>
    <t>Benito Carla Cano Olvera</t>
  </si>
  <si>
    <t>antoniovillalobos@gmail.com</t>
  </si>
  <si>
    <t>7f6c0f86-6158-4f16-8105-a9407f403fe9</t>
  </si>
  <si>
    <t>Nov 20, 2024</t>
  </si>
  <si>
    <t>Timoteo Abelardo Ur√≠as Ni√±o</t>
  </si>
  <si>
    <t>bfajardo@gmail.com</t>
  </si>
  <si>
    <t>279ccf00-0de5-4813-a6ed-58a52bc1a5ad</t>
  </si>
  <si>
    <t>Oct 22, 2024</t>
  </si>
  <si>
    <t>Julia Gonzalo Armend√°riz</t>
  </si>
  <si>
    <t>jose-manuelcazares@franco.org</t>
  </si>
  <si>
    <t>ce229233-81ec-4127-be94-95ce93175cd4</t>
  </si>
  <si>
    <t>11/21/2024</t>
  </si>
  <si>
    <t>Carlota Julio de Jes√∫s</t>
  </si>
  <si>
    <t>de-la-fuentereina@gmail.com</t>
  </si>
  <si>
    <t>17ce4fbf-b0f5-4e3b-aeb9-956b5c881168</t>
  </si>
  <si>
    <t>23/11/2024</t>
  </si>
  <si>
    <t>Abelardo Cynthia Crespo</t>
  </si>
  <si>
    <t>ecasas@yahoo.com</t>
  </si>
  <si>
    <t>bfef5ecf-9029-4f0b-9ca9-4cce9f340385</t>
  </si>
  <si>
    <t>12/21/2024</t>
  </si>
  <si>
    <t>Susana Ju√°rez</t>
  </si>
  <si>
    <t>marthabaez@gmail.com</t>
  </si>
  <si>
    <t>dca0f25c-824a-4634-827c-d385dafa7123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</si>
  <si>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</si>
  <si>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</si>
  <si>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</si>
  <si>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</si>
  <si>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</si>
  <si>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</si>
  <si>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</si>
  <si>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</si>
  <si>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Nov 23, 2024</t>
  </si>
  <si>
    <t>Ing. Amanda Prado</t>
  </si>
  <si>
    <t>ursulaespinoza@de.info</t>
  </si>
  <si>
    <t>a60e107a-d3cc-46c7-9a8e-b0aa9cfa7817</t>
  </si>
  <si>
    <t>Nov 04, 2024</t>
  </si>
  <si>
    <t>Mtro. Camila Montemayor</t>
  </si>
  <si>
    <t>jose-eduardo21@yahoo.com</t>
  </si>
  <si>
    <t>a6735135-46d8-4997-ad55-d449e18fd075</t>
  </si>
  <si>
    <t>Oct 29, 2024</t>
  </si>
  <si>
    <t>Ing. Marcela Guzm√°n</t>
  </si>
  <si>
    <t>dvillegas@despacho.com</t>
  </si>
  <si>
    <t>56344cb2-c22e-400d-87dd-49a631ced56f</t>
  </si>
  <si>
    <t>Bruno Samuel Acosta Rasc√≥n</t>
  </si>
  <si>
    <t>irene40@bustos.info</t>
  </si>
  <si>
    <t>5eb46f68-93f4-40bf-ade8-2f3822a7d3fe</t>
  </si>
  <si>
    <t>02/10/2024</t>
  </si>
  <si>
    <t>Pamela Rolando Ayala</t>
  </si>
  <si>
    <t>zrenteria@yahoo.com</t>
  </si>
  <si>
    <t>3c8ea69b-f625-4431-b5c1-1d4bdc621135</t>
  </si>
  <si>
    <t>Bernab√© Zaragoza</t>
  </si>
  <si>
    <t>htorrez@despacho.com</t>
  </si>
  <si>
    <t>f652769b-e1e8-44a1-8f3d-6f80c1ac3f13</t>
  </si>
  <si>
    <t>Dec 24, 2024</t>
  </si>
  <si>
    <t>Teléfono-Gama media-16GB</t>
  </si>
  <si>
    <t>Yuridia Rub√©n Armend√°riz</t>
  </si>
  <si>
    <t>claudia24@industrias.com</t>
  </si>
  <si>
    <t>9e945271-543f-4b06-a34e-b1dfcd6b8450</t>
  </si>
  <si>
    <t>Ver√≥nica Francisca Tafoya</t>
  </si>
  <si>
    <t>nicolas87@gmail.com</t>
  </si>
  <si>
    <t>fd16a28b-5ec8-4f7c-aac8-e6c93568cda5</t>
  </si>
  <si>
    <t>Oct 16, 2024</t>
  </si>
  <si>
    <t>Aurora Esteban Sisneros Centeno</t>
  </si>
  <si>
    <t>soniapaez@laboratorios.com</t>
  </si>
  <si>
    <t>8dcb205e-e032-4baa-a658-7e640f07fe1e</t>
  </si>
  <si>
    <t>05/10/2024</t>
  </si>
  <si>
    <t>Dr. Alonso Abreu</t>
  </si>
  <si>
    <t>noeliajaquez@corporacin.net</t>
  </si>
  <si>
    <t>bbcfa88c-1300-46e2-bc6a-e3c6ddbb62d8</t>
  </si>
  <si>
    <t>Wendolin Jer√≥nimo Far√≠as</t>
  </si>
  <si>
    <t>yterrazas@hotmail.com</t>
  </si>
  <si>
    <t>4cfd7c38-6607-4b36-ab60-fb259d4e18b4</t>
  </si>
  <si>
    <t>Dec 29, 2024</t>
  </si>
  <si>
    <t>Modesto Rufino Mares Negr√≥n</t>
  </si>
  <si>
    <t>maytetovar@hotmail.com</t>
  </si>
  <si>
    <t>1f451643-e6fa-4d54-b03d-304b7a23b3e1</t>
  </si>
  <si>
    <t>12/16/2024</t>
  </si>
  <si>
    <t>Ing. Mitzy de la Rosa</t>
  </si>
  <si>
    <t>larajesus@industrias.com</t>
  </si>
  <si>
    <t>2c42cc7e-a16c-4dc9-ae59-89dbe94c5127</t>
  </si>
  <si>
    <t>Mario Fidel Laureano Castro</t>
  </si>
  <si>
    <t>amadorgarza@yahoo.com</t>
  </si>
  <si>
    <t>e00df3f6-aa51-4a6d-bf1d-36462af123a2</t>
  </si>
  <si>
    <t>06/12/2024</t>
  </si>
  <si>
    <t>Vicente Israel Cort√©s</t>
  </si>
  <si>
    <t>herediaclaudio@yahoo.com</t>
  </si>
  <si>
    <t>bb3ff505-4124-4f45-b8b6-401ab861a5af</t>
  </si>
  <si>
    <t>Lorenzo Minerva Ocampo Aguilar</t>
  </si>
  <si>
    <t>qsolorzano@despacho.com</t>
  </si>
  <si>
    <t>7a66e4f7-bc95-4384-85ad-39070d893921</t>
  </si>
  <si>
    <t>Cristian Jacinto Ornelas</t>
  </si>
  <si>
    <t>darenas@corporacin.org</t>
  </si>
  <si>
    <t>9c66ca34-d486-44b8-bf48-2843a252f7a0</t>
  </si>
  <si>
    <t>12/09/2024</t>
  </si>
  <si>
    <t>Noelia Le√≥n Sanches</t>
  </si>
  <si>
    <t>fidelvazquez@estrada.info</t>
  </si>
  <si>
    <t>15c297bf-5d8e-4902-b9f9-0205a370b77e</t>
  </si>
  <si>
    <t>Oct 20, 2024</t>
  </si>
  <si>
    <t>Sr(a). Manuel T√≥rrez</t>
  </si>
  <si>
    <t>zbarajas@industrias.com</t>
  </si>
  <si>
    <t>ed2140fd-8a01-4a73-bd2d-02153d2e7f26</t>
  </si>
  <si>
    <t>30/10/2024</t>
  </si>
  <si>
    <t>Teléfono-Gama alta-32GB</t>
  </si>
  <si>
    <t>Yeni Indira Loya</t>
  </si>
  <si>
    <t>colladoelvira@yahoo.com</t>
  </si>
  <si>
    <t>ad128167-ed41-4cfc-980f-861300230ea2</t>
  </si>
  <si>
    <t>Oct 07, 2024</t>
  </si>
  <si>
    <t>Francisca Lucas Jaimes Zavala</t>
  </si>
  <si>
    <t>baezjonas@proyectos.org</t>
  </si>
  <si>
    <t>9c8710a3-d9ef-4a00-9c0b-7c93d5fb8f63</t>
  </si>
  <si>
    <t>Auriculares-Cancelaci√≥n de ruido-16GB</t>
  </si>
  <si>
    <t>Esteban Violeta Loya</t>
  </si>
  <si>
    <t>isaucedo@gmail.com</t>
  </si>
  <si>
    <t>8f1343f8-568b-4478-bc57-4112e44e97c4</t>
  </si>
  <si>
    <t>Oct 30, 2024</t>
  </si>
  <si>
    <t>Martha Tamayo Ni√±o</t>
  </si>
  <si>
    <t>zguardado@grupo.biz</t>
  </si>
  <si>
    <t>d220d617-88a5-417d-906a-713dd8d57f69</t>
  </si>
  <si>
    <t>Ernesto Rend√≥n</t>
  </si>
  <si>
    <t>nadame@hotmail.com</t>
  </si>
  <si>
    <t>7c7c5e94-04af-466b-bbd2-9ba60b16b6cc</t>
  </si>
  <si>
    <t>16/10/2024</t>
  </si>
  <si>
    <t>Gustavo Bernardo Brise√±o Mar√≠n</t>
  </si>
  <si>
    <t>genaro77@pedraza.com</t>
  </si>
  <si>
    <t>84e9d394-3af7-4da9-9805-83c89cc6120f</t>
  </si>
  <si>
    <t>Benjam√≠n Alejandra Zapata Zamudio</t>
  </si>
  <si>
    <t>bgranado@mata.biz</t>
  </si>
  <si>
    <t>d5d39d13-0c4d-4695-9fb3-6fbc66298a78</t>
  </si>
  <si>
    <t>Dec 14, 2024</t>
  </si>
  <si>
    <t>Gerardo Sauceda</t>
  </si>
  <si>
    <t>patinoadan@sanchez.biz</t>
  </si>
  <si>
    <t>e8b495a0-823c-484a-8e06-d1bdd07a0b5f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</si>
  <si>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</si>
  <si>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</si>
  <si>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</si>
  <si>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</si>
  <si>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</si>
  <si>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</si>
  <si>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01/12/2024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</si>
  <si>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</si>
  <si>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</si>
  <si>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</si>
  <si>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</si>
  <si>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</si>
  <si>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</si>
  <si>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11/20/2024</t>
  </si>
  <si>
    <t>Ricardo Eugenio Meza</t>
  </si>
  <si>
    <t>uriasbernabe@perez-saldivar.com</t>
  </si>
  <si>
    <t>8f7b25cf-e88f-4704-9a71-5fe4e6e4d0c9</t>
  </si>
  <si>
    <t>Dec 27, 2024</t>
  </si>
  <si>
    <t>Lic. Aurora Zamudio</t>
  </si>
  <si>
    <t>alta-gracia96@club.info</t>
  </si>
  <si>
    <t>d21d73fe-7b8a-4ddb-a473-47c717ebb087</t>
  </si>
  <si>
    <t>Aldonza Hern√°n Sosa</t>
  </si>
  <si>
    <t>gracielasosa@gmail.com</t>
  </si>
  <si>
    <t>4c53a9db-d0fe-42d8-a909-921633d44173</t>
  </si>
  <si>
    <t>14/12/2024</t>
  </si>
  <si>
    <t>Dalia Crespo</t>
  </si>
  <si>
    <t>carlos81@yahoo.com</t>
  </si>
  <si>
    <t>7b989337-edb6-498f-9b1d-9056bb83e316</t>
  </si>
  <si>
    <t>10/18/2024</t>
  </si>
  <si>
    <t>Rodrigo Aldonza Polanco</t>
  </si>
  <si>
    <t>borregomitzy@hotmail.com</t>
  </si>
  <si>
    <t>4b66bc0e-757f-46df-8fd9-af3d9751bd47</t>
  </si>
  <si>
    <t>10/20/2024</t>
  </si>
  <si>
    <t>Minerva Lorena Santana Botello</t>
  </si>
  <si>
    <t>cintronbernabe@grupo.biz</t>
  </si>
  <si>
    <t>1c3f2222-1db8-46db-876a-6f85812ebbbf</t>
  </si>
  <si>
    <t>Marisol Espinosa Briones</t>
  </si>
  <si>
    <t>santacruzanel@hotmail.com</t>
  </si>
  <si>
    <t>1a50b4b1-1657-4b5e-a237-9cfb5c083efc</t>
  </si>
  <si>
    <t>Frida Arroyo Zepeda</t>
  </si>
  <si>
    <t>enriquevarela@yahoo.com</t>
  </si>
  <si>
    <t>48fa08f3-3f1d-41d4-98c7-9d364159c3ee</t>
  </si>
  <si>
    <t>Cristian Ofelia Urbina Murillo</t>
  </si>
  <si>
    <t>zgodoy@gmail.com</t>
  </si>
  <si>
    <t>ffdae6e0-eb2e-4a6c-8726-a98497d0dedb</t>
  </si>
  <si>
    <t>Nov 24, 2024</t>
  </si>
  <si>
    <t>Oswaldo Trujillo T√≥rrez</t>
  </si>
  <si>
    <t>bravodiego@zayas.info</t>
  </si>
  <si>
    <t>873e756f-1f4a-4de6-90ff-4cb697b1e8fe</t>
  </si>
  <si>
    <t>11/22/2024</t>
  </si>
  <si>
    <t>Federico Guillermina Vargas</t>
  </si>
  <si>
    <t>bernardo49@gmail.com</t>
  </si>
  <si>
    <t>7ba0efb4-239e-4695-a171-7e53a2d5321c</t>
  </si>
  <si>
    <t>Nov 09, 2024</t>
  </si>
  <si>
    <t>Mar√≠a Jos√© Zeferino Avil√©s Zarate</t>
  </si>
  <si>
    <t>pelayojaqueline@hotmail.com</t>
  </si>
  <si>
    <t>404fea2a-d896-4427-a0d6-e0581df99ba3</t>
  </si>
  <si>
    <t>Horacio Moya Noriega</t>
  </si>
  <si>
    <t>8ed93f26-7deb-40c4-b603-2dab763f14bd</t>
  </si>
  <si>
    <t>07/12/2024</t>
  </si>
  <si>
    <t>Abel Teresa Z√∫√±iga</t>
  </si>
  <si>
    <t>esperanzavelasquez@grupo.com</t>
  </si>
  <si>
    <t>15e734e2-2950-4516-be09-1c82cf0c10ef</t>
  </si>
  <si>
    <t>Laptop-Gaming-16GB</t>
  </si>
  <si>
    <t>Israel Amaya</t>
  </si>
  <si>
    <t>oliverrenteria@rael-medrano.org</t>
  </si>
  <si>
    <t>73c9e2ed-d0e0-4b5c-92ac-e3a55014e974</t>
  </si>
  <si>
    <t>10/04/2024</t>
  </si>
  <si>
    <t>Cristal Luis Manuel S√°nchez</t>
  </si>
  <si>
    <t>rocioescalante@hotmail.com</t>
  </si>
  <si>
    <t>a895a20b-523d-4f9e-a3e5-039259362c4f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</si>
  <si>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</si>
  <si>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</si>
  <si>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</si>
  <si>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</si>
  <si>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</si>
  <si>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</si>
  <si>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Dec 22, 2024</t>
  </si>
  <si>
    <t>Cristina Barbara de la Rosa</t>
  </si>
  <si>
    <t>jaramilloanabel@gmail.com</t>
  </si>
  <si>
    <t>5407753d-0304-48ca-9ea9-d8bbfb643e29</t>
  </si>
  <si>
    <t>06/10/2024</t>
  </si>
  <si>
    <t>Ariadna Rosas Altamirano</t>
  </si>
  <si>
    <t>avilajosefina@grupo.com</t>
  </si>
  <si>
    <t>0b19abc7-fda3-4d4c-944d-c789af3a12ee</t>
  </si>
  <si>
    <t>Andrea Almaraz Barajas</t>
  </si>
  <si>
    <t>feliperolon@hotmail.com</t>
  </si>
  <si>
    <t>2f83c135-17e5-4888-8b31-f505c0170e5e</t>
  </si>
  <si>
    <t>Nov 01, 2024</t>
  </si>
  <si>
    <t>Arcelia Nieves</t>
  </si>
  <si>
    <t>xalva@cazares-santillan.biz</t>
  </si>
  <si>
    <t>d5751f29-c753-47da-9e7a-d5ed1090b0ad</t>
  </si>
  <si>
    <t>Oct 26, 2024</t>
  </si>
  <si>
    <t xml:space="preserve">Teléfono-Gama baja-32GB </t>
  </si>
  <si>
    <t>Ver√≥nica de Le√≥n Covarrubias</t>
  </si>
  <si>
    <t>gzelaya@gmail.com</t>
  </si>
  <si>
    <t>0461093f-4c28-41d9-b8c1-8f858b8a8164</t>
  </si>
  <si>
    <t>Oct 11, 2024</t>
  </si>
  <si>
    <t>Benjam√≠n Marcela Lucero</t>
  </si>
  <si>
    <t>cresporaquel@yahoo.com</t>
  </si>
  <si>
    <t>cc9f2851-c332-405f-a3fb-1abae821a706</t>
  </si>
  <si>
    <t>Oct 19, 2024</t>
  </si>
  <si>
    <t>Dr. Estefan√≠a Pi√±a</t>
  </si>
  <si>
    <t>colladomercedes@yahoo.com</t>
  </si>
  <si>
    <t>a735a980-0215-4741-924f-a6525c85f916</t>
  </si>
  <si>
    <t>Teodoro Nieves Burgos</t>
  </si>
  <si>
    <t>carmenamador@yahoo.com</t>
  </si>
  <si>
    <t>20cb126e-53ab-49aa-9f94-792732fd304c</t>
  </si>
  <si>
    <t>Jos√© Emilio Herrera Sanabria</t>
  </si>
  <si>
    <t>silviafrias@hotmail.com</t>
  </si>
  <si>
    <t>43bdd060-f236-479e-81bb-97be1c5dc7be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</si>
  <si>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</si>
  <si>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</si>
  <si>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</si>
  <si>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</si>
  <si>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</si>
  <si>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</si>
  <si>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</si>
  <si>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</si>
  <si>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Nov 10, 2024</t>
  </si>
  <si>
    <t>Abel V√©liz</t>
  </si>
  <si>
    <t>eduardo20@club.org</t>
  </si>
  <si>
    <t>499ebdfa-358c-41aa-8d92-cc8b5259dfd0</t>
  </si>
  <si>
    <t>Dec 18, 2024</t>
  </si>
  <si>
    <t>Paola Zarate</t>
  </si>
  <si>
    <t>marisolamador@gmail.com</t>
  </si>
  <si>
    <t>22971ca8-f21c-436b-84f8-11a2a2c20ff6</t>
  </si>
  <si>
    <t>04/10/2024</t>
  </si>
  <si>
    <t>Socorro Aida Moya Amaya</t>
  </si>
  <si>
    <t>roldanclaudia@yahoo.com</t>
  </si>
  <si>
    <t>c7c879c2-7a83-4527-a295-5f822ea9b655</t>
  </si>
  <si>
    <t>Nov 06, 2024</t>
  </si>
  <si>
    <t>Gerardo M√≥nica Cornejo Collado</t>
  </si>
  <si>
    <t>verduzcohilda@merino.biz</t>
  </si>
  <si>
    <t>f4841777-97d3-4cce-bc0f-17c21f34e253</t>
  </si>
  <si>
    <t>11/08/2024</t>
  </si>
  <si>
    <t>Ing. Liliana Puente</t>
  </si>
  <si>
    <t>rebeca22@yahoo.com</t>
  </si>
  <si>
    <t>49d7397b-eb15-4d2d-b30b-8f6ca86b2125</t>
  </si>
  <si>
    <t>Gilberto Arellano Lozano</t>
  </si>
  <si>
    <t>de-la-fuentemanuel@yahoo.com</t>
  </si>
  <si>
    <t>5659c3e8-e722-4ce4-a66f-283a33db3b2a</t>
  </si>
  <si>
    <t>Dec 20, 2024</t>
  </si>
  <si>
    <t>Cristina Valent√≠n Castillo</t>
  </si>
  <si>
    <t>npedraza@hotmail.com</t>
  </si>
  <si>
    <t>784aa491-3eb3-4b5e-858a-3b24918b10a1</t>
  </si>
  <si>
    <t>Cristina Miguel Madrid</t>
  </si>
  <si>
    <t>wnevarez@perea.com</t>
  </si>
  <si>
    <t>d710fc03-2b70-47e7-9fe6-590b75fdde09</t>
  </si>
  <si>
    <t>27/12/2024</t>
  </si>
  <si>
    <t>Lic. Alfredo Ozuna</t>
  </si>
  <si>
    <t>maria-eugenia57@yahoo.com</t>
  </si>
  <si>
    <t>95af7f10-1768-4963-ab62-677ee934c6c0</t>
  </si>
  <si>
    <t>Dec 25, 2024</t>
  </si>
  <si>
    <t>H√©ctor Luevano</t>
  </si>
  <si>
    <t>sergio69@laboratorios.com</t>
  </si>
  <si>
    <t>517b090a-2e73-4c68-aad4-180d1350b369</t>
  </si>
  <si>
    <t>Nov 07, 2024</t>
  </si>
  <si>
    <t>Jaime G√≥mez</t>
  </si>
  <si>
    <t>cabreraleonel@yahoo.com</t>
  </si>
  <si>
    <t>8204039a-5541-4976-bc5b-19da90d1ecf0</t>
  </si>
  <si>
    <t>Sandra Marisol Vergara</t>
  </si>
  <si>
    <t>casarezminerva@yahoo.com</t>
  </si>
  <si>
    <t>03d8d67d-53e4-43e8-bd00-72801ff4e987</t>
  </si>
  <si>
    <t>Oct 10, 2024</t>
  </si>
  <si>
    <t>Julio C√©sar Fernando Cordero</t>
  </si>
  <si>
    <t>fmontalvo@gmail.com</t>
  </si>
  <si>
    <t>fd56654c-43c9-4016-8183-cbdf6b382ba6</t>
  </si>
  <si>
    <t>Laptop-Ultraliviana-8GB</t>
  </si>
  <si>
    <t>Abril R√≠os</t>
  </si>
  <si>
    <t>acevedobruno@gmail.com</t>
  </si>
  <si>
    <t>8429854b-a406-4cf2-9cdd-ed466b843f6e</t>
  </si>
  <si>
    <t>10/19/2024</t>
  </si>
  <si>
    <t>Alfredo Cintr√≥n</t>
  </si>
  <si>
    <t>felicianoirene@gmail.com</t>
  </si>
  <si>
    <t>298b36d0-dae0-4465-94e0-f5a242f44bd5</t>
  </si>
  <si>
    <t>Hern√°n Rael</t>
  </si>
  <si>
    <t>omarin@grupo.info</t>
  </si>
  <si>
    <t>ce0567fa-7e48-43a0-a5b7-07aa5cc439d0</t>
  </si>
  <si>
    <t>26/12/2024</t>
  </si>
  <si>
    <t>Cristobal Germ√°n Razo Montenegro</t>
  </si>
  <si>
    <t>isaac14@yahoo.com</t>
  </si>
  <si>
    <t>6152d019-c240-4dd1-adb5-1811f3729839</t>
  </si>
  <si>
    <t>12/04/2024</t>
  </si>
  <si>
    <t>Laura B√°ez</t>
  </si>
  <si>
    <t>ivonnearmendariz@club.com</t>
  </si>
  <si>
    <t>7a27100e-236d-45f0-952e-b7c838d737a2</t>
  </si>
  <si>
    <t>Elsa Alonso Rivera</t>
  </si>
  <si>
    <t>ulucero@gmail.com</t>
  </si>
  <si>
    <t>656f3966-abb8-497a-981c-4e2bec529c24</t>
  </si>
  <si>
    <t>11/02/2024</t>
  </si>
  <si>
    <t>Jer√≥nimo Julia Peralta</t>
  </si>
  <si>
    <t>mireleshector@vigil.com</t>
  </si>
  <si>
    <t>c499769d-908e-43f6-bd30-c1817bd0deff</t>
  </si>
  <si>
    <t>Olivia Cristobal Oquendo Nieves</t>
  </si>
  <si>
    <t>vquesada@grupo.com</t>
  </si>
  <si>
    <t>99a8722a-ede3-4080-9d85-450687f17be6</t>
  </si>
  <si>
    <t>24/11/2024</t>
  </si>
  <si>
    <t>Wilfrido Evelio Marrero Sotelo</t>
  </si>
  <si>
    <t>polancoalejandro@centeno-mata.info</t>
  </si>
  <si>
    <t>8c7eb2e6-d1ab-4158-93c5-a214d07681c6</t>
  </si>
  <si>
    <t>Oct 05, 2024</t>
  </si>
  <si>
    <t>Daniela Padr√≥n</t>
  </si>
  <si>
    <t>dromero@industrias.info</t>
  </si>
  <si>
    <t>14722e2a-7971-43ee-ac45-587157e6f198</t>
  </si>
  <si>
    <t>Lic. Andrea Altamirano</t>
  </si>
  <si>
    <t>bustossandra@gmail.com</t>
  </si>
  <si>
    <t>df7faa34-7de9-48f0-8ba1-2897a5b1e8fd</t>
  </si>
  <si>
    <t>Norma Celia Leiva Ba√±uelos</t>
  </si>
  <si>
    <t>fridalopez@mena.com</t>
  </si>
  <si>
    <t>a487c1e9-95f4-4b1d-b9e1-8ce364aaa62c</t>
  </si>
  <si>
    <t>11/06/2024</t>
  </si>
  <si>
    <t>Esparta Gracia</t>
  </si>
  <si>
    <t>leonorbermudez@nieves.info</t>
  </si>
  <si>
    <t>7d131cdc-d20b-4dba-ba8c-67f9adbbcf3b</t>
  </si>
  <si>
    <t>Dec 21, 2024</t>
  </si>
  <si>
    <t>Jos Mariana Cano</t>
  </si>
  <si>
    <t>oraya@laboratorios.com</t>
  </si>
  <si>
    <t>f2788526-390a-447d-aadf-5ad11ba53e76</t>
  </si>
  <si>
    <t>Nadia Fernando Guerra Arroyo</t>
  </si>
  <si>
    <t>zedilloamador@yahoo.com</t>
  </si>
  <si>
    <t>78bdd5ec-2c8a-49c9-918e-bfe3147b65c3</t>
  </si>
  <si>
    <t>Berta Tania M√©ndez Lebr√≥n</t>
  </si>
  <si>
    <t>clozada@vela.biz</t>
  </si>
  <si>
    <t>569d9a75-753b-41b8-9540-1368ec0acbe5</t>
  </si>
  <si>
    <t>Germ√°n Crespo Leyva</t>
  </si>
  <si>
    <t>pamela15@yahoo.com</t>
  </si>
  <si>
    <t>0514f6bb-c61e-409d-8985-bc35bb86f4af</t>
  </si>
  <si>
    <t>Oct 14, 2024</t>
  </si>
  <si>
    <t>Esmeralda Ba√±uelos</t>
  </si>
  <si>
    <t>gdel-rio@proyectos.biz</t>
  </si>
  <si>
    <t>4a70ae74-59ef-4f8f-98ee-d8fff858e22d</t>
  </si>
  <si>
    <t>10/30/2024</t>
  </si>
  <si>
    <t>Concepci√≥n Isabel Becerra del Valle</t>
  </si>
  <si>
    <t>rubencanales@hotmail.com</t>
  </si>
  <si>
    <t>a98bfa4e-dd81-401d-b806-a98b5c514056</t>
  </si>
  <si>
    <t>Miguel Luis Gir√≥n Monta√±ez</t>
  </si>
  <si>
    <t>saucedaconcepcion@hotmail.com</t>
  </si>
  <si>
    <t>d59afe7f-49e3-483a-97f5-ce81f54d250f</t>
  </si>
  <si>
    <t>Dec 26, 2024</t>
  </si>
  <si>
    <t>David Prado</t>
  </si>
  <si>
    <t>fgamboa@yahoo.com</t>
  </si>
  <si>
    <t>86dddca7-94b8-407d-9b43-bb0906ba81e6</t>
  </si>
  <si>
    <t>12/01/2024</t>
  </si>
  <si>
    <t>Sr(a). Jos Venegas</t>
  </si>
  <si>
    <t>qguajardo@gmail.com</t>
  </si>
  <si>
    <t>f6a5ccaa-f8db-4293-9b11-932f3470afdf</t>
  </si>
  <si>
    <t>Nov 03, 2024</t>
  </si>
  <si>
    <t>Antonio Juana Soria</t>
  </si>
  <si>
    <t>israel13@aviles.biz</t>
  </si>
  <si>
    <t>8dbce9a8-4e8c-41c7-a836-12fe71b7ad0a</t>
  </si>
  <si>
    <t>10/17/2024</t>
  </si>
  <si>
    <t>Rufino Lucero Urrutia</t>
  </si>
  <si>
    <t>ncastaneda@rico.com</t>
  </si>
  <si>
    <t>f34bc8a2-d539-45c5-a4cb-e23ab3ad1bf9</t>
  </si>
  <si>
    <t>11/18/2024</t>
  </si>
  <si>
    <t>Jaqueline Vel√°squez Hidalgo</t>
  </si>
  <si>
    <t>oquendoyeni@gmail.com</t>
  </si>
  <si>
    <t>0bbe7dc7-b837-4dff-83eb-a691bf3d9337</t>
  </si>
  <si>
    <t>12/12/2024</t>
  </si>
  <si>
    <t>Abigail Mayorga</t>
  </si>
  <si>
    <t>elviraalva@sandoval.net</t>
  </si>
  <si>
    <t>48f1f9b2-e5c3-45db-9c35-dba3af2b3e37</t>
  </si>
  <si>
    <t>CIUDAD DE M√âXICO</t>
  </si>
  <si>
    <t>Indira Eric Renter√≠a Vel√°zquez</t>
  </si>
  <si>
    <t>fduran@arredondo.com</t>
  </si>
  <si>
    <t>56137b69-5c0a-49a2-bc0e-cd99b52af4b9</t>
  </si>
  <si>
    <t>12/27/2024</t>
  </si>
  <si>
    <t>Leonor Cristina Concepci√≥n</t>
  </si>
  <si>
    <t>murocynthia@club.info</t>
  </si>
  <si>
    <t>c6ebe95f-880f-4175-b857-173d436e2753</t>
  </si>
  <si>
    <t>11/09/2024</t>
  </si>
  <si>
    <t>MEDELL√çN</t>
  </si>
  <si>
    <t>Sr(a). √Ångela Navarro</t>
  </si>
  <si>
    <t>olivertejada@hotmail.com</t>
  </si>
  <si>
    <t>bfb5f658-102d-4d01-bec2-1f4cced1bbef</t>
  </si>
  <si>
    <t>Dec 04, 2024</t>
  </si>
  <si>
    <t>Auriculares-Con cable-4GB</t>
  </si>
  <si>
    <t>Mateo Ra√∫l Sosa Arreola</t>
  </si>
  <si>
    <t>asuncionquintero@hotmail.com</t>
  </si>
  <si>
    <t>25b223d6-04b8-478f-9246-79edbe8738eb</t>
  </si>
  <si>
    <t>Irene Dom√≠nguez</t>
  </si>
  <si>
    <t>estherpedroza@rojas-moya.info</t>
  </si>
  <si>
    <t>2ad918fa-d68e-42ea-926c-414454fd8220</t>
  </si>
  <si>
    <t>Jes√∫s Jim√≠nez</t>
  </si>
  <si>
    <t>wadame@yahoo.com</t>
  </si>
  <si>
    <t>437715f5-b663-4ceb-8e4d-01760b5c39e8</t>
  </si>
  <si>
    <t>12/06/2024</t>
  </si>
  <si>
    <t>Elias Dulce Figueroa</t>
  </si>
  <si>
    <t>ycabrera@yahoo.com</t>
  </si>
  <si>
    <t>261f24e0-0c30-40fa-92d3-3c013d335e1f</t>
  </si>
  <si>
    <t>Nov 12, 2024</t>
  </si>
  <si>
    <t xml:space="preserve">Bogotá. </t>
  </si>
  <si>
    <t>Ad√°n Perla Orosco</t>
  </si>
  <si>
    <t>estebanespinal@hotmail.com</t>
  </si>
  <si>
    <t>61cc0a01-493f-48a6-8973-8cc3bf69bd4b</t>
  </si>
  <si>
    <t>10/28/2024</t>
  </si>
  <si>
    <t>Eric Lorenzo Raya</t>
  </si>
  <si>
    <t>francisco-javier56@gmail.com</t>
  </si>
  <si>
    <t>699048e6-5415-4dd4-ada9-8e6e4a549eb2</t>
  </si>
  <si>
    <t>Abraham Loera Mondrag√≥n</t>
  </si>
  <si>
    <t>rosaliapizarro@narvaez.com</t>
  </si>
  <si>
    <t>05462222-2134-4569-8058-16e2b626c19b</t>
  </si>
  <si>
    <t>Sr(a). Vicente Ure√±a</t>
  </si>
  <si>
    <t>lsalas@grupo.org</t>
  </si>
  <si>
    <t>1c44a1fd-cb0c-401e-8e21-c1a8d9242148</t>
  </si>
  <si>
    <t>12/19/2024</t>
  </si>
  <si>
    <t>Caridad Ojeda</t>
  </si>
  <si>
    <t>xlozano@godoy.com</t>
  </si>
  <si>
    <t>636e2a36-d8c0-4ac8-b15e-52b5f9b2507b</t>
  </si>
  <si>
    <t>Zo√© Claudia Barraza Cornejo</t>
  </si>
  <si>
    <t>elvirasepulveda@corporacin.com</t>
  </si>
  <si>
    <t>3341556d-8dc1-42f2-b455-3a339ff909cd</t>
  </si>
  <si>
    <t>10/07/2024</t>
  </si>
  <si>
    <t>Elisa Soria</t>
  </si>
  <si>
    <t>guillerminacorral@yahoo.com</t>
  </si>
  <si>
    <t>eb72415a-2fdb-436d-a740-aa38fe92dba8</t>
  </si>
  <si>
    <t>Dec 11, 2024</t>
  </si>
  <si>
    <t>Margarita Olivas</t>
  </si>
  <si>
    <t>trujillosantiago@club.com</t>
  </si>
  <si>
    <t>82c801f7-86fa-465e-b47e-1a2faca2409f</t>
  </si>
  <si>
    <t>12/17/2024</t>
  </si>
  <si>
    <t>Paulina Peres Carmona</t>
  </si>
  <si>
    <t>granadobernabe@yahoo.com</t>
  </si>
  <si>
    <t>df271a81-4486-42c3-b66a-88accdba843d</t>
  </si>
  <si>
    <t>Nov 27, 2024</t>
  </si>
  <si>
    <t>Blanca Galarza</t>
  </si>
  <si>
    <t>del-vallenatividad@zuniga-carrasco.com</t>
  </si>
  <si>
    <t>67b79c05-b522-4593-8812-0d7f9fe8aead</t>
  </si>
  <si>
    <t>10/11/2024</t>
  </si>
  <si>
    <t>Eloy Godoy del R√≠o</t>
  </si>
  <si>
    <t>kveliz@gmail.com</t>
  </si>
  <si>
    <t>7ac1b8fd-c88f-4033-9061-4a7613449273</t>
  </si>
  <si>
    <t>Ana Mar√≠a Verdugo Pichardo</t>
  </si>
  <si>
    <t>epaez@yahoo.com</t>
  </si>
  <si>
    <t>1cc3a12d-c04b-4839-a053-31d0fce65570</t>
  </si>
  <si>
    <t>11/26/2024</t>
  </si>
  <si>
    <t>Diana Garza Alfaro</t>
  </si>
  <si>
    <t>igalvez@teran-pizarro.net</t>
  </si>
  <si>
    <t>fd7d838f-61fb-4072-8a90-c3d1b393f61b</t>
  </si>
  <si>
    <t>Ing. Mar√≠a Jos√© Noriega</t>
  </si>
  <si>
    <t>victor38@industrias.com</t>
  </si>
  <si>
    <t>55a4140a-ad3c-4b67-9d33-7eb275fe9440</t>
  </si>
  <si>
    <t>Dec 09, 2024</t>
  </si>
  <si>
    <t>Timoteo Cynthia Cordero</t>
  </si>
  <si>
    <t>hugocedillo@gmail.com</t>
  </si>
  <si>
    <t>b5d4423c-9255-4859-8feb-44a8655b46a4</t>
  </si>
  <si>
    <t>10/23/2024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</si>
  <si>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</si>
  <si>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</si>
  <si>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</si>
  <si>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</si>
  <si>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</si>
  <si>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</si>
  <si>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5/12/2024</t>
  </si>
  <si>
    <t xml:space="preserve">Auriculares-Cancelación de ruido-8GB </t>
  </si>
  <si>
    <t>Clemente Irene Carrera</t>
  </si>
  <si>
    <t>trejoeugenia@yahoo.com</t>
  </si>
  <si>
    <t>544cee72-594a-4c94-8dc6-243ba049fe28</t>
  </si>
  <si>
    <t>Jos√© Carlos Soledad Osorio Rodr√≠gez</t>
  </si>
  <si>
    <t>daliavillagomez@gmail.com</t>
  </si>
  <si>
    <t>ff0b4f20-17ed-4610-9fc5-30d4da7e79e4</t>
  </si>
  <si>
    <t>Salma Andr√©s Monta√±ez</t>
  </si>
  <si>
    <t>anel13@yahoo.com</t>
  </si>
  <si>
    <t>3b41356a-51cc-450b-9098-9b6959c32336</t>
  </si>
  <si>
    <t>11/27/2024</t>
  </si>
  <si>
    <t>Dr. Isabela Amador</t>
  </si>
  <si>
    <t>maria-teresa56@valle.com</t>
  </si>
  <si>
    <t>2a1cc810-f23f-44be-ad5d-2c2061de3b67</t>
  </si>
  <si>
    <t>8/10/2024</t>
  </si>
  <si>
    <t>Cristal de la O Tovar</t>
  </si>
  <si>
    <t>de-la-cruzarturo@yahoo.com</t>
  </si>
  <si>
    <t>9d884542-5d01-4a57-bd22-ce173740036f</t>
  </si>
  <si>
    <t>10/14/2024</t>
  </si>
  <si>
    <t>Ang√©lica Bueno Olvera</t>
  </si>
  <si>
    <t>bernabe37@despacho.com</t>
  </si>
  <si>
    <t>9ffc235a-1e2b-44c3-80ec-61b7a7d4cbc5</t>
  </si>
  <si>
    <t>7/12/2024</t>
  </si>
  <si>
    <t>Salvador Berr√≠os Preciado</t>
  </si>
  <si>
    <t>elviragodoy@yahoo.com</t>
  </si>
  <si>
    <t>e387b8f5-c2cb-4dfe-a9c5-5747a0bf2ba4</t>
  </si>
  <si>
    <t>11/29/2024</t>
  </si>
  <si>
    <t>Blanca Gabriela Arenas</t>
  </si>
  <si>
    <t>ltapia@hotmail.com</t>
  </si>
  <si>
    <t>53cd2e8b-92e5-4411-a0ca-9f936ff0be49</t>
  </si>
  <si>
    <t>4/12/2024</t>
  </si>
  <si>
    <t>Arcelia Victoria Ferrer</t>
  </si>
  <si>
    <t>wcastillo@gmail.com</t>
  </si>
  <si>
    <t>5a679e4d-2017-44f1-8c69-308bd963826c</t>
  </si>
  <si>
    <t>Mar√≠a Cristina Valdivia Mondrag√≥n</t>
  </si>
  <si>
    <t>porfirio68@corporacin.biz</t>
  </si>
  <si>
    <t>9fc06fba-9376-4e96-97f1-0aeca2f00a87</t>
  </si>
  <si>
    <t>7/10/2024</t>
  </si>
  <si>
    <t>Lic. Luis Miguel Lerma</t>
  </si>
  <si>
    <t>aldo50@hotmail.com</t>
  </si>
  <si>
    <t>19e94e09-d952-49ce-b5b6-95c649d995d4</t>
  </si>
  <si>
    <t>Diego Fern√°ndez</t>
  </si>
  <si>
    <t>sessa76@casarez.com</t>
  </si>
  <si>
    <t>d1068262-a372-42f4-b5e9-48fa9a84b933</t>
  </si>
  <si>
    <t>Aug 5, 2024</t>
  </si>
  <si>
    <t>Luisa Dom√≠nguez Ocampo</t>
  </si>
  <si>
    <t>calderonblanca@candelaria-figueroa.biz</t>
  </si>
  <si>
    <t>7c0a6b67-d03e-4b5f-95bc-b0d715cb90f0</t>
  </si>
  <si>
    <t>Victoria Cabrera Armenta</t>
  </si>
  <si>
    <t>blancaromero@armenta-murillo.com</t>
  </si>
  <si>
    <t>bfe71cbd-5340-41ca-b9f4-c5301c10428f</t>
  </si>
  <si>
    <t>Germ√°n Corral</t>
  </si>
  <si>
    <t>eloy50@despacho.com</t>
  </si>
  <si>
    <t>87c5ffd3-6c28-4101-af3b-154ff4ae6392</t>
  </si>
  <si>
    <t>12/23/2024</t>
  </si>
  <si>
    <t>Liliana Altamirano Solano</t>
  </si>
  <si>
    <t>caraballosocorro@grupo.com</t>
  </si>
  <si>
    <t>20d27746-91f7-427d-9e21-02ca06d5e5c3</t>
  </si>
  <si>
    <t>Ana Luisa Araceli de la Cr√∫z</t>
  </si>
  <si>
    <t>jimenezirma@vega-mena.com</t>
  </si>
  <si>
    <t>720e7c71-4c87-47e1-b24a-7f8c021bc9a3</t>
  </si>
  <si>
    <t>Ing. Blanca Alfaro</t>
  </si>
  <si>
    <t>jaime62@industrias.com</t>
  </si>
  <si>
    <t>850ed2df-b6ba-4845-90f3-4d82ffd954aa</t>
  </si>
  <si>
    <t>2/12/2024</t>
  </si>
  <si>
    <t>Cornelio Jos√© Manu√©l Ure√±a Cazares</t>
  </si>
  <si>
    <t>oquintero@yahoo.com</t>
  </si>
  <si>
    <t>08269db4-0566-4ede-ba0a-3261c90dd7cc</t>
  </si>
  <si>
    <t>12/29/2024</t>
  </si>
  <si>
    <t>Dr. Ariadna de Jes√∫s</t>
  </si>
  <si>
    <t>monica51@gmail.com</t>
  </si>
  <si>
    <t>2394f979-8464-44ce-a630-ae28dbf2d042</t>
  </si>
  <si>
    <t>Natividad Fernando Gast√©lum</t>
  </si>
  <si>
    <t>ibarraza@hotmail.com</t>
  </si>
  <si>
    <t>30a44076-ebcc-4c8b-8064-9e1a18718512</t>
  </si>
  <si>
    <t>Sr(a). Armando Carre√≥n</t>
  </si>
  <si>
    <t>del-vallejorge@paz.biz</t>
  </si>
  <si>
    <t>018fc11e-35bf-41a6-9c2e-0fe1cb9dcb9b</t>
  </si>
  <si>
    <t>Dolores Jes√∫s Qui√±√≥nez Lebr√≥n</t>
  </si>
  <si>
    <t>nicolas17@gmail.com</t>
  </si>
  <si>
    <t>5c299656-4419-4c69-bdd2-2dc9b8af337b</t>
  </si>
  <si>
    <t>12/13/2024</t>
  </si>
  <si>
    <t xml:space="preserve">Monterrey.  </t>
  </si>
  <si>
    <t>Isabela Mario Vigil Colunga</t>
  </si>
  <si>
    <t>wde-la-rosa@club.com</t>
  </si>
  <si>
    <t>ddd463db-888b-4ab8-b2a7-396cacbc0f7c</t>
  </si>
  <si>
    <t>Paulina Cornejo</t>
  </si>
  <si>
    <t>mballesteros@escamilla-aguayo.info</t>
  </si>
  <si>
    <t>c0e13eaa-0352-4ecd-87d9-f5acfcbb40df</t>
  </si>
  <si>
    <t>8/12/2024</t>
  </si>
  <si>
    <t>Wilfrido Jorge Portillo Roque</t>
  </si>
  <si>
    <t>carlotaarevalo@hotmail.com</t>
  </si>
  <si>
    <t>a2415cd2-e7d5-4a04-aa89-a0821ac995b6</t>
  </si>
  <si>
    <t>Agust√≠n Montemayor Escobedo</t>
  </si>
  <si>
    <t>mojicajudith@sauceda-mendez.com</t>
  </si>
  <si>
    <t>d1dd5a1a-3f08-4909-b8b0-04384056d29b</t>
  </si>
  <si>
    <t>Roc√≠o Jos√© Luis Villareal Vargas</t>
  </si>
  <si>
    <t>ramon28@gmail.com</t>
  </si>
  <si>
    <t>5c84518e-8046-4ee0-802c-5c7e6eafa4c6</t>
  </si>
  <si>
    <t xml:space="preserve">Laptop-Gaming-4GB </t>
  </si>
  <si>
    <t>V√≠ctor Anguiano</t>
  </si>
  <si>
    <t>felipede-la-rosa@arredondo-hinojosa.net</t>
  </si>
  <si>
    <t>74e91e22-a440-4514-996c-da314a1c94c0</t>
  </si>
  <si>
    <t>Ernesto Quezada</t>
  </si>
  <si>
    <t>qcastellanos@partida-valles.com</t>
  </si>
  <si>
    <t>89cde298-9d2d-459e-ac2a-33f1db2b8db1</t>
  </si>
  <si>
    <t>Gilberto Hern√°n Murillo</t>
  </si>
  <si>
    <t>lgracia@corporacin.com</t>
  </si>
  <si>
    <t>39f5457f-dcd1-4ade-baf5-0b5ac2798271</t>
  </si>
  <si>
    <t>9/11/2024</t>
  </si>
  <si>
    <t>Perla Villase√±or Holgu√≠n</t>
  </si>
  <si>
    <t>jaquelineguerrero@hotmail.com</t>
  </si>
  <si>
    <t>cc9e3eb1-75ac-43c1-9836-fb3698df70e0</t>
  </si>
  <si>
    <t>Carolina Clara Cotto</t>
  </si>
  <si>
    <t>tamezjacinto@bravo.info</t>
  </si>
  <si>
    <t>9d189c13-ff1e-411f-93d3-ee251f727785</t>
  </si>
  <si>
    <t>Tania Jos√© Salcedo</t>
  </si>
  <si>
    <t>german49@yahoo.com</t>
  </si>
  <si>
    <t>7c83c051-cdef-4ee9-99b8-ab628e7e0137</t>
  </si>
  <si>
    <t>Ing. Cristina Gamez</t>
  </si>
  <si>
    <t>jose-luis02@hotmail.com</t>
  </si>
  <si>
    <t>4bf38add-780a-44cc-839a-27eadcf0009e</t>
  </si>
  <si>
    <t>4/11/2024</t>
  </si>
  <si>
    <t>Ernesto de la Fuente Lozano</t>
  </si>
  <si>
    <t>zcarrasco@ornelas.net</t>
  </si>
  <si>
    <t>b286124b-1bcf-484f-92a1-6fc89c6f74ee</t>
  </si>
  <si>
    <t>10/16/2024</t>
  </si>
  <si>
    <t>Lic. Abraham Guillen</t>
  </si>
  <si>
    <t>delgadogabino@hotmail.com</t>
  </si>
  <si>
    <t>0a037e7f-e874-4665-a3e4-734c560a30f9</t>
  </si>
  <si>
    <t>Auriculares-Bluetooth-32GB</t>
  </si>
  <si>
    <t>Dr. Eloisa Ballesteros</t>
  </si>
  <si>
    <t>concepcionnicolas@laboratorios.net</t>
  </si>
  <si>
    <t>8a9c117c-0931-4ed8-9d8f-3a5c2d9c904f</t>
  </si>
  <si>
    <t>Hugo Orellana Aguilera</t>
  </si>
  <si>
    <t>luztejeda@carrion.biz</t>
  </si>
  <si>
    <t>e2689eed-d7a5-4b39-a1e0-7b6894376ce5</t>
  </si>
  <si>
    <t>11/12/2024</t>
  </si>
  <si>
    <t>Ing. Fernando Calder√≥n</t>
  </si>
  <si>
    <t>cristinaarguello@del.info</t>
  </si>
  <si>
    <t>0877fac4-86db-45ad-94c8-6b0e1624953f</t>
  </si>
  <si>
    <t>Jorge Luis Blanca Regalado Mora</t>
  </si>
  <si>
    <t>horaciourrutia@saucedo.com</t>
  </si>
  <si>
    <t>cce81a35-f0aa-40e7-a33d-43e447f74b34</t>
  </si>
  <si>
    <t>Gerardo Elisa Franco</t>
  </si>
  <si>
    <t>nzapata@yahoo.com</t>
  </si>
  <si>
    <t>50041cfa-9dbe-4a33-855e-dfc293e0392e</t>
  </si>
  <si>
    <t>Beatriz Virginia Duarte Flores</t>
  </si>
  <si>
    <t>lmaldonado@yahoo.com</t>
  </si>
  <si>
    <t>d2226fcc-944b-4300-a358-816d2b168c5f</t>
  </si>
  <si>
    <t>11/16/2024</t>
  </si>
  <si>
    <t>Lic. Arturo Barraza</t>
  </si>
  <si>
    <t>nbarraza@yahoo.com</t>
  </si>
  <si>
    <t>0a5787f4-b611-4db3-9a36-d6bd45f0ce8e</t>
  </si>
  <si>
    <t>Nicol√°s Mart√≠n B√°ez</t>
  </si>
  <si>
    <t>alfredosamaniego@grupo.info</t>
  </si>
  <si>
    <t>3be08974-31f2-40c3-afb9-3a240fd500b5</t>
  </si>
  <si>
    <t>Yuridia Nayeli Armas Arag√≥n</t>
  </si>
  <si>
    <t>amadorana-maria@yahoo.com</t>
  </si>
  <si>
    <t>9b9cbe9b-905b-4b17-a60a-f42b5800d911</t>
  </si>
  <si>
    <t>12/25/2024</t>
  </si>
  <si>
    <t>Esteban Jos√© Emilio Polanco Valent√≠n</t>
  </si>
  <si>
    <t>ariastrinidad@despacho.com</t>
  </si>
  <si>
    <t>7c10c6c6-9acd-42a2-b74c-041e173a74ff</t>
  </si>
  <si>
    <t>Karina Jer√≥nimo P√©rez Mojica</t>
  </si>
  <si>
    <t>mauro20@urrutia.net</t>
  </si>
  <si>
    <t>581770ae-84a5-4fc3-ba77-826c11cb3e70</t>
  </si>
  <si>
    <t>In√©s Griego Lemus</t>
  </si>
  <si>
    <t>de-andavicente@robles.com</t>
  </si>
  <si>
    <t>14ad0f9b-ea8e-437c-b3d9-d3b4ddd90518</t>
  </si>
  <si>
    <t>Fabiola Ang√©lica Bravo</t>
  </si>
  <si>
    <t>correaestefania@yahoo.com</t>
  </si>
  <si>
    <t>76fde716-641c-4ff4-848c-ade7a38970de</t>
  </si>
  <si>
    <t>11/24/2024</t>
  </si>
  <si>
    <t>Nadia P√©rez Medina</t>
  </si>
  <si>
    <t>eduardo52@grupo.info</t>
  </si>
  <si>
    <t>a5740e45-38d1-421a-8d38-8a6d427463c6</t>
  </si>
  <si>
    <t>Ignacio Leonor Guajardo</t>
  </si>
  <si>
    <t>florenciaescamilla@industrias.com</t>
  </si>
  <si>
    <t>2ecd07a3-c49e-486f-a9f0-9a7b1dc20737</t>
  </si>
  <si>
    <t>Mtro. Zeferino Oquendo</t>
  </si>
  <si>
    <t>lbarajas@alva-montalvo.com</t>
  </si>
  <si>
    <t>8a06b4fc-26f2-4b8b-827b-2c6a1f537edf</t>
  </si>
  <si>
    <t>3/11/2024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</si>
  <si>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</si>
  <si>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</si>
  <si>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</si>
  <si>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</si>
  <si>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</si>
  <si>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</si>
  <si>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Nov 5, 2024</t>
  </si>
  <si>
    <t>Eloisa Octavio Quintero</t>
  </si>
  <si>
    <t>griegomonica@yahoo.com</t>
  </si>
  <si>
    <t>80c340bc-bd50-477d-a7dc-27237bf10b22</t>
  </si>
  <si>
    <t>Roberto Cas√°rez Lozada</t>
  </si>
  <si>
    <t>granadosaraceli@proyectos.net</t>
  </si>
  <si>
    <t>890c4fe3-a2aa-473b-a2ff-9c2704d3ac14</t>
  </si>
  <si>
    <t>Cynthia Oswaldo Olvera</t>
  </si>
  <si>
    <t>carbajaldulce-maria@club.info</t>
  </si>
  <si>
    <t>496f9895-2148-475d-9da8-8846db1a0d2e</t>
  </si>
  <si>
    <t>Iv√°n Fuentes Fierro</t>
  </si>
  <si>
    <t>indiraarroyo@gmail.com</t>
  </si>
  <si>
    <t>94019fc0-5f8a-4f46-b07d-b18f9ed2fb2d</t>
  </si>
  <si>
    <t>Ing. Vanesa Bustos</t>
  </si>
  <si>
    <t>ccintron@gmail.com</t>
  </si>
  <si>
    <t>7973d01c-f337-48a1-8f89-e3be9acd41ae</t>
  </si>
  <si>
    <t>12/26/2024</t>
  </si>
  <si>
    <t>Patricia Candelaria Ram√≥n</t>
  </si>
  <si>
    <t>maria-del-carmen56@alonzo.com</t>
  </si>
  <si>
    <t>791a6835-1e53-4dab-9537-f28d07071087</t>
  </si>
  <si>
    <t>Dr. Evelio Rosario</t>
  </si>
  <si>
    <t>xreyna@yahoo.com</t>
  </si>
  <si>
    <t>c6fe3646-36da-4379-b9d4-1237b3932c67</t>
  </si>
  <si>
    <t>Silvano Alvaro Enr√≠quez Pineda</t>
  </si>
  <si>
    <t>gonzalocarrero@proyectos.com</t>
  </si>
  <si>
    <t>9643a7f2-7f1e-4f3a-b67a-e4db4ac513f7</t>
  </si>
  <si>
    <t>Uriel Jos√© Mar√≠a Mercado</t>
  </si>
  <si>
    <t>sevillaemiliano@yahoo.com</t>
  </si>
  <si>
    <t>7d923bc2-e260-42ce-af34-40f80a5bb97e</t>
  </si>
  <si>
    <t>4/10/2024</t>
  </si>
  <si>
    <t>Lic. Mar√≠a Jos√© Carrera</t>
  </si>
  <si>
    <t>manuelhinojosa@yahoo.com</t>
  </si>
  <si>
    <t>7fdbc1e6-947e-4174-a90b-3e6fa8d1770d</t>
  </si>
  <si>
    <t>Sr(a). Genaro Paz</t>
  </si>
  <si>
    <t>esmeraldadavila@laureano.net</t>
  </si>
  <si>
    <t>b8257a06-d0a6-4198-b8a6-7c4130b98420</t>
  </si>
  <si>
    <t>Eva Julio Corrales</t>
  </si>
  <si>
    <t>ilebron@yahoo.com</t>
  </si>
  <si>
    <t>d8feecfb-981d-4008-b113-8a7aba34e4b1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</si>
  <si>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</si>
  <si>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</si>
  <si>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</si>
  <si>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</si>
  <si>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</si>
  <si>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</si>
  <si>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12/08/2024</t>
  </si>
  <si>
    <t>Araceli Ulloa Blanco</t>
  </si>
  <si>
    <t>flaviorivera@gmail.com</t>
  </si>
  <si>
    <t>a5a9edd5-c2b3-4542-ac87-c882564547e6</t>
  </si>
  <si>
    <t>Oct 01, 2024</t>
  </si>
  <si>
    <t>Rebeca Salvador Gamez Garc√≠a</t>
  </si>
  <si>
    <t>qcovarrubias@hotmail.com</t>
  </si>
  <si>
    <t>53a9e98d-d57a-488e-bcec-701bc4e1ec3e</t>
  </si>
  <si>
    <t xml:space="preserve">   Cali</t>
  </si>
  <si>
    <t>Marcela P√°ez</t>
  </si>
  <si>
    <t>gabrieljaime@club.com</t>
  </si>
  <si>
    <t>e98e23f8-e415-4062-bdbb-4e90ecd252c4</t>
  </si>
  <si>
    <t>Frida Alba</t>
  </si>
  <si>
    <t>carmen91@gonzales.org</t>
  </si>
  <si>
    <t>817537ef-9729-49a5-8458-d7108a639dab</t>
  </si>
  <si>
    <t>12/30/2024</t>
  </si>
  <si>
    <t>Guillermina Otero</t>
  </si>
  <si>
    <t>esmeraldaguajardo@yahoo.com</t>
  </si>
  <si>
    <t>6b2a6d67-9ca9-4751-9892-59fbd4257856</t>
  </si>
  <si>
    <t>10/06/2024</t>
  </si>
  <si>
    <t>Lic. Elena Zepeda</t>
  </si>
  <si>
    <t>emiliovillegas@diaz-ulibarri.net</t>
  </si>
  <si>
    <t>7424e9fb-eb47-4eb6-b0ee-330eb470b214</t>
  </si>
  <si>
    <t>Karina N√∫√±ez</t>
  </si>
  <si>
    <t>laura43@yahoo.com</t>
  </si>
  <si>
    <t>650656a9-a043-47bc-ae91-0380ba19f6d1</t>
  </si>
  <si>
    <t>Reynaldo Dar√≠o Rivas</t>
  </si>
  <si>
    <t>ynavarro@gmail.com</t>
  </si>
  <si>
    <t>357c27a8-d03f-45e6-be30-3565ec6d4ff5</t>
  </si>
  <si>
    <t>Carmen Colunga</t>
  </si>
  <si>
    <t>cesar12@hotmail.com</t>
  </si>
  <si>
    <t>95e49e46-be39-496b-8a9b-52bd39505406</t>
  </si>
  <si>
    <t>Federico Alfaro</t>
  </si>
  <si>
    <t>dmedina@gmail.com</t>
  </si>
  <si>
    <t>b847cf15-a430-4067-b4ba-2bca14b1ebd1</t>
  </si>
  <si>
    <t>Mtro. Andrea R√≠os</t>
  </si>
  <si>
    <t>ujasso@abreu-crespo.info</t>
  </si>
  <si>
    <t>c433376a-096b-4d0c-b385-da369f628996</t>
  </si>
  <si>
    <t>12/07/2024</t>
  </si>
  <si>
    <t>Eugenia Zambrano Casas</t>
  </si>
  <si>
    <t>esteban25@hotmail.com</t>
  </si>
  <si>
    <t>ae03b614-5581-49d6-bb73-db61d22a7b6c</t>
  </si>
  <si>
    <t>Jos√© Luis Ana Mar√≠a Robledo Cort√©s</t>
  </si>
  <si>
    <t>liliana23@despacho.com</t>
  </si>
  <si>
    <t>055f940c-62c7-485e-a8a9-6e6970c4bd9d</t>
  </si>
  <si>
    <t>Oct 15, 2024</t>
  </si>
  <si>
    <t>Sr(a). Julio C√©sar Collazo</t>
  </si>
  <si>
    <t>angel71@rincon-perea.com</t>
  </si>
  <si>
    <t>be245970-0c63-4d78-ae9d-e25f66cad9cf</t>
  </si>
  <si>
    <t>Lic. Jorge Alva</t>
  </si>
  <si>
    <t>felipe48@proyectos.com</t>
  </si>
  <si>
    <t>d4d30727-21e7-45cf-abfd-68611006864c</t>
  </si>
  <si>
    <t>Norma Gast√©lum Est√©vez</t>
  </si>
  <si>
    <t>qde-la-garza@alejandro.info</t>
  </si>
  <si>
    <t>7ca60689-ffdb-4ad9-b339-4085c13dfc70</t>
  </si>
  <si>
    <t>√örsula Guardado</t>
  </si>
  <si>
    <t>pradooctavio@yahoo.com</t>
  </si>
  <si>
    <t>36046905-c325-4177-8dd6-ef3a3eefbe09</t>
  </si>
  <si>
    <t>Dec 17, 2024</t>
  </si>
  <si>
    <t>Patricio Citlali Rico Jurado</t>
  </si>
  <si>
    <t>pvalencia@marin.com</t>
  </si>
  <si>
    <t>55359418-5f6c-4f2b-9e70-525bf3b5c143</t>
  </si>
  <si>
    <t>12/03/2024</t>
  </si>
  <si>
    <t>Marisol Ver√≥nica Vel√°squez</t>
  </si>
  <si>
    <t>lilianaamaya@rangel.com</t>
  </si>
  <si>
    <t>c331b5bf-7dc0-44f3-bbc6-33242970d6bd</t>
  </si>
  <si>
    <t>Jos√© Luis Alarc√≥n</t>
  </si>
  <si>
    <t>maximiliano11@garrido.com</t>
  </si>
  <si>
    <t>0d3db73a-8164-4ea7-82ec-bc976d02b86a</t>
  </si>
  <si>
    <t>11/19/2024</t>
  </si>
  <si>
    <t>Jer√≥nimo Evelio Serrano Almonte</t>
  </si>
  <si>
    <t>rmireles@hotmail.com</t>
  </si>
  <si>
    <t>5adc0581-cda3-450e-9af3-c3c10c954910</t>
  </si>
  <si>
    <t>Oct 23, 2024</t>
  </si>
  <si>
    <t>C√©sar Fabiola Palacios</t>
  </si>
  <si>
    <t>jose-emiliogamboa@laboratorios.biz</t>
  </si>
  <si>
    <t>0e28ad98-fe18-44a9-9a89-466a166843e3</t>
  </si>
  <si>
    <t>Julio Fuentes</t>
  </si>
  <si>
    <t>vnavarro@gmail.com</t>
  </si>
  <si>
    <t>36de6ea0-d38c-4032-a4ab-885c917e6447</t>
  </si>
  <si>
    <t>Sr(a). Aurelio Lemus</t>
  </si>
  <si>
    <t>garaymarco-antonio@gmail.com</t>
  </si>
  <si>
    <t>9cba1b15-28fd-439f-af54-d9a1bf7128b0</t>
  </si>
  <si>
    <t>H√©ctor Jos√© Luis Vaca</t>
  </si>
  <si>
    <t>ignaciocandelaria@merino.com</t>
  </si>
  <si>
    <t>a244bdbd-1394-4bdb-bbc3-e6fc452874c4</t>
  </si>
  <si>
    <t>Aldo Fonseca</t>
  </si>
  <si>
    <t>dpolanco@industrias.com</t>
  </si>
  <si>
    <t>8ccc7ee3-b4a6-404a-9faf-787343dc06f2</t>
  </si>
  <si>
    <t>11/14/2024</t>
  </si>
  <si>
    <t>Ing. Abraham Gir√≥n</t>
  </si>
  <si>
    <t>socorrodel-valle@gmail.com</t>
  </si>
  <si>
    <t>fe56b9b6-8658-46ab-b178-142e1c6c32ec</t>
  </si>
  <si>
    <t>Dec 06, 2024</t>
  </si>
  <si>
    <t>Cristal Leticia Varela Soliz</t>
  </si>
  <si>
    <t>marisoldiaz@gmail.com</t>
  </si>
  <si>
    <t>bc41d301-8342-4b13-a0a6-0094760ae37b</t>
  </si>
  <si>
    <t>Octavio Santacruz Lucero</t>
  </si>
  <si>
    <t>marisoldominguez@yahoo.com</t>
  </si>
  <si>
    <t>4473af02-2d6e-42ae-8fd6-1e6eb2b0c846</t>
  </si>
  <si>
    <t>Nov 22, 2024</t>
  </si>
  <si>
    <t>Dr. Abel Salcedo</t>
  </si>
  <si>
    <t>marisoltijerina@gmail.com</t>
  </si>
  <si>
    <t>38bac1f5-8a77-4803-a105-2adcca972ed6</t>
  </si>
  <si>
    <t>Abraham Israel Cort√©s Gait√°n</t>
  </si>
  <si>
    <t>maria-luisacaraballo@garcia-betancourt.com</t>
  </si>
  <si>
    <t>e14300c1-3569-475f-a547-4c787f5cf604</t>
  </si>
  <si>
    <t>Amador √ìscar Orellana</t>
  </si>
  <si>
    <t>rojohector@gmail.com</t>
  </si>
  <si>
    <t>f10d3d99-9f63-4b93-a89a-94e952ffcf1c</t>
  </si>
  <si>
    <t>Lourdes Godoy Ni√±o</t>
  </si>
  <si>
    <t>prietowendolin@abrego-mares.com</t>
  </si>
  <si>
    <t>8cfb7643-588b-4ac4-8843-ef2886b4bbea</t>
  </si>
  <si>
    <t>Oct 25, 2024</t>
  </si>
  <si>
    <t>Germ√°n Le√≥n</t>
  </si>
  <si>
    <t>xespinosa@maestas-zambrano.org</t>
  </si>
  <si>
    <t>d4f65876-1ffb-4376-ac69-30bc4a1f11d5</t>
  </si>
  <si>
    <t>Sergio Hugo Benav√≠dez Garc√≠a</t>
  </si>
  <si>
    <t>jaquezesteban@gmail.com</t>
  </si>
  <si>
    <t>c100b479-c169-4f62-8d2a-82994a8ef0fa</t>
  </si>
  <si>
    <t>Alejandro Rodrigo Guillen Paredes</t>
  </si>
  <si>
    <t>mitzynevarez@barrientos-roque.com</t>
  </si>
  <si>
    <t>cb2352c0-8796-4ebd-84d7-33203546a4cb</t>
  </si>
  <si>
    <t>Daniel Campos</t>
  </si>
  <si>
    <t>jossolorzano@berrios.info</t>
  </si>
  <si>
    <t>826d9505-bc85-407f-95a3-b12b5fe5566b</t>
  </si>
  <si>
    <t>Sr(a). Carla Nev√°rez</t>
  </si>
  <si>
    <t>gregoriocervantes@hotmail.com</t>
  </si>
  <si>
    <t>4e35c600-2a16-4f28-9de5-5ac2151674a5</t>
  </si>
  <si>
    <t>12/28/2024</t>
  </si>
  <si>
    <t>Armando M√≥nica Reyna</t>
  </si>
  <si>
    <t>bravofrancisco@gmail.com</t>
  </si>
  <si>
    <t>c29d00e9-6a9a-45f0-b194-a343ff209570</t>
  </si>
  <si>
    <t>Oct 13, 2024</t>
  </si>
  <si>
    <t>Alta  Gracia Alicia Guzm√°n</t>
  </si>
  <si>
    <t>rosasgabriela@gmail.com</t>
  </si>
  <si>
    <t>88268205-0f39-4e9a-9353-1a9ee68c009c</t>
  </si>
  <si>
    <t>Marcos Alba Becerra</t>
  </si>
  <si>
    <t>emiliano63@gmail.com</t>
  </si>
  <si>
    <t>1d0dc58b-5630-4061-a4c4-8af444dd978f</t>
  </si>
  <si>
    <t>Ing. Georgina Preciado</t>
  </si>
  <si>
    <t>jmacias@salazar.com</t>
  </si>
  <si>
    <t>fa63cc57-bb9c-4785-aff8-0c7c326b44bd</t>
  </si>
  <si>
    <t>Yuridia Riojas Cotto</t>
  </si>
  <si>
    <t>nvaladez@yahoo.com</t>
  </si>
  <si>
    <t>c7ef43ee-8690-4aa4-9f03-8c8f2d905b35</t>
  </si>
  <si>
    <t>Luis Manuel Ilse Apodaca</t>
  </si>
  <si>
    <t>ilse56@tapia-zavala.com</t>
  </si>
  <si>
    <t>a1cb1e10-0e31-479a-b8bb-5dc909b32b66</t>
  </si>
  <si>
    <t>Nov 08, 2024</t>
  </si>
  <si>
    <t>Karla Berr√≠os</t>
  </si>
  <si>
    <t>tmontoya@gmail.com</t>
  </si>
  <si>
    <t>34e4f422-3bd5-496a-af08-11ecf5856460</t>
  </si>
  <si>
    <t>Esther Dur√°n</t>
  </si>
  <si>
    <t>canalesgraciela@merino.net</t>
  </si>
  <si>
    <t>302bfa8d-a0d2-49bf-ba0e-92515d5d4911</t>
  </si>
  <si>
    <t>Camilo Terrazas Merino</t>
  </si>
  <si>
    <t>julio-cesarrazo@hotmail.com</t>
  </si>
  <si>
    <t>97a11539-f994-4f4b-9252-85c25f05e297</t>
  </si>
  <si>
    <t>Dec 10, 2024</t>
  </si>
  <si>
    <t>Jacobo Centeno Vel√°zquez</t>
  </si>
  <si>
    <t>ninosilvano@montano-rodriquez.com</t>
  </si>
  <si>
    <t>495441f0-2d83-4d9c-aafc-5c80643ab7b5</t>
  </si>
  <si>
    <t>Dr. Pedro Zapata</t>
  </si>
  <si>
    <t>ursulamenchaca@hotmail.com</t>
  </si>
  <si>
    <t>7413d048-5e1b-4043-9969-89781ce744b0</t>
  </si>
  <si>
    <t>Dalia Sosa</t>
  </si>
  <si>
    <t>monteroraul@yahoo.com</t>
  </si>
  <si>
    <t>6b1218cd-9317-4016-8163-c9066aeb1992</t>
  </si>
  <si>
    <t>Gilberto Mascare√±as</t>
  </si>
  <si>
    <t>toledojacobo@olivo.biz</t>
  </si>
  <si>
    <t>54fb7e8c-ef1d-4daf-815b-e5c1e7948ed3</t>
  </si>
  <si>
    <t>Diego Valdez</t>
  </si>
  <si>
    <t>ana-marialomeli@santana.net</t>
  </si>
  <si>
    <t>c9d412ed-c316-4612-a0d3-34580de6a8c0</t>
  </si>
  <si>
    <t>In√©s Meza Campos</t>
  </si>
  <si>
    <t>mariano56@gmail.com</t>
  </si>
  <si>
    <t>42475c68-ebdf-44e9-8ae2-152388b5d345</t>
  </si>
  <si>
    <t>Abel Emilio Robledo</t>
  </si>
  <si>
    <t>trevinoisaac@hotmail.com</t>
  </si>
  <si>
    <t>1a70ed1b-c3d7-4e03-b54a-3308b332ece5</t>
  </si>
  <si>
    <t>5/10/2024</t>
  </si>
  <si>
    <t>Judith Jos√© Eduardo Zaragoza</t>
  </si>
  <si>
    <t>gutierrezarturo@medina-vasquez.com</t>
  </si>
  <si>
    <t>6a60671f-259c-41c8-b7d6-e1848e4ca004</t>
  </si>
  <si>
    <t>Elsa Alonso Almanza</t>
  </si>
  <si>
    <t>felix81@madrid-samaniego.com</t>
  </si>
  <si>
    <t>d7b9f594-a51e-4402-948d-437dc2679714</t>
  </si>
  <si>
    <t>Isabel Quiroz</t>
  </si>
  <si>
    <t>riverocynthia@laboratorios.org</t>
  </si>
  <si>
    <t>9ed12598-d607-406c-a92d-66e498a65727</t>
  </si>
  <si>
    <t>Nov 7, 2024</t>
  </si>
  <si>
    <t>Ram√≥n Godoy</t>
  </si>
  <si>
    <t>yolanda26@montemayor.biz</t>
  </si>
  <si>
    <t>e686ffbf-1106-4e80-9c74-30ed3ca60174</t>
  </si>
  <si>
    <t>Santiago Perla Carrero</t>
  </si>
  <si>
    <t>maderaoliver@yahoo.com</t>
  </si>
  <si>
    <t>6a2ef805-75fa-4c53-b30f-57c35a82c2a4</t>
  </si>
  <si>
    <t>Eduardo Benav√≠dez Leal</t>
  </si>
  <si>
    <t>mariana08@jurado.org</t>
  </si>
  <si>
    <t>710a2493-760b-4c29-8181-ee456d867a10</t>
  </si>
  <si>
    <t>Pamela Dalia Hinojosa</t>
  </si>
  <si>
    <t>matiasmiguel@gmail.com</t>
  </si>
  <si>
    <t>402dc8b0-1539-48cc-8e45-054961cea52f</t>
  </si>
  <si>
    <t>Caridad Alvarado</t>
  </si>
  <si>
    <t>geronimoalmonte@hotmail.com</t>
  </si>
  <si>
    <t>0290472b-3bf5-4451-95ed-11349e543e25</t>
  </si>
  <si>
    <t>Ing. Bruno Miranda</t>
  </si>
  <si>
    <t>villarealana-luisa@aviles.org</t>
  </si>
  <si>
    <t>2a34b394-3a83-4acf-a98b-738080cc0de3</t>
  </si>
  <si>
    <t>Mariana Jer√≥nimo Partida Tejeda</t>
  </si>
  <si>
    <t>cristobal02@frias-mojica.biz</t>
  </si>
  <si>
    <t>50843e6d-c79e-434b-87b9-c3050b4bcc8f</t>
  </si>
  <si>
    <t>Patricio Narv√°ez Holgu√≠n</t>
  </si>
  <si>
    <t>tiradoberta@yahoo.com</t>
  </si>
  <si>
    <t>467ff27d-c3d7-4928-bade-34474e2a754a</t>
  </si>
  <si>
    <t>Ing. Jos√© Benav√≠dez</t>
  </si>
  <si>
    <t>cejamarisol@proyectos.com</t>
  </si>
  <si>
    <t>eb22a1ca-e765-4386-9637-b65cff10da6f</t>
  </si>
  <si>
    <t>Marcela Augusto Baca</t>
  </si>
  <si>
    <t>luisromo@grupo.org</t>
  </si>
  <si>
    <t>213520c6-9cb7-434b-bd54-ffac25a0f0c9</t>
  </si>
  <si>
    <t>6/12/2024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</si>
  <si>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</si>
  <si>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</si>
  <si>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</si>
  <si>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</si>
  <si>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</si>
  <si>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</si>
  <si>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Esperanza Dom√≠nguez</t>
  </si>
  <si>
    <t>eveliz@verdugo-covarrubias.com</t>
  </si>
  <si>
    <t>159a0e2b-f468-4295-9e69-b0d9dd79d890</t>
  </si>
  <si>
    <t>Salvador Bahena</t>
  </si>
  <si>
    <t>marisela80@gmail.com</t>
  </si>
  <si>
    <t>d7706a15-f812-457c-8d85-83d2a2d32412</t>
  </si>
  <si>
    <t>Marisol Lucio Perea</t>
  </si>
  <si>
    <t>helenanaranjo@roybal.org</t>
  </si>
  <si>
    <t>43e6f253-5964-4977-b9a4-0e5736909a2d</t>
  </si>
  <si>
    <t>Mar 09, 2024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</si>
  <si>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</si>
  <si>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</si>
  <si>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</si>
  <si>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</si>
  <si>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</si>
  <si>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</si>
  <si>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Ernesto Cavazos</t>
  </si>
  <si>
    <t>eloisaaragon@candelaria.org</t>
  </si>
  <si>
    <t>1c737d8d-798a-48ec-948e-46c132c3393f</t>
  </si>
  <si>
    <t>6/10/2024</t>
  </si>
  <si>
    <t>Samuel Alonzo</t>
  </si>
  <si>
    <t>hernandesjos@laboratorios.com</t>
  </si>
  <si>
    <t>fc5fb02d-66ba-4eb7-8c96-53c743ac52e7</t>
  </si>
  <si>
    <t>12/15/2024</t>
  </si>
  <si>
    <t>Rafa√©l Gerardo Serrato</t>
  </si>
  <si>
    <t>ballesterosvioleta@gallardo-jiminez.biz</t>
  </si>
  <si>
    <t>f778848a-1ec7-484b-a619-98ff8730961f</t>
  </si>
  <si>
    <t>Trinidad Holgu√≠n Bustamante</t>
  </si>
  <si>
    <t>uarroyo@manzanares.biz</t>
  </si>
  <si>
    <t>009ae06d-cf99-467d-9ca4-a01697f72e27</t>
  </si>
  <si>
    <t>Ing. Rosa God√≠nez</t>
  </si>
  <si>
    <t>eloytellez@badillo.com</t>
  </si>
  <si>
    <t>c2fdb9cb-b220-4f3e-952f-61a657955f70</t>
  </si>
  <si>
    <t>Alvaro Ontiveros</t>
  </si>
  <si>
    <t>elvira02@hotmail.com</t>
  </si>
  <si>
    <t>f04eeda0-c720-4430-b322-240c09bd8019</t>
  </si>
  <si>
    <t>√Ångel Bruno Pe√±a Ulibarri</t>
  </si>
  <si>
    <t>enriquepulido@yahoo.com</t>
  </si>
  <si>
    <t>9929413b-4955-42b3-b759-d93919a6a2c6</t>
  </si>
  <si>
    <t>8/11/2024</t>
  </si>
  <si>
    <t>Cecilia Abelardo Soto Quintana</t>
  </si>
  <si>
    <t>mariselapalomo@gmail.com</t>
  </si>
  <si>
    <t>36802342-00cd-4228-8e94-cc30c83b0652</t>
  </si>
  <si>
    <t>Alma Paola Godoy</t>
  </si>
  <si>
    <t>amadorzoe@proyectos.info</t>
  </si>
  <si>
    <t>e9aad92b-b3bc-438a-9893-00066fab9810</t>
  </si>
  <si>
    <t>3/12/2024</t>
  </si>
  <si>
    <t>Sr(a). Marisol Mota</t>
  </si>
  <si>
    <t>barbara08@hotmail.com</t>
  </si>
  <si>
    <t>c7d6ecb9-b4e6-44ac-bf56-caf4c24db02f</t>
  </si>
  <si>
    <t>Sr(a). Carlota T√≥rrez</t>
  </si>
  <si>
    <t>camilapuente@hotmail.com</t>
  </si>
  <si>
    <t>32958c32-9158-41e9-a53a-1fc911df997a</t>
  </si>
  <si>
    <t>Pamela Homero Arreola Godoy</t>
  </si>
  <si>
    <t>carolina12@valdes.com</t>
  </si>
  <si>
    <t>7a049296-c624-4bff-8f06-3b6b06011495</t>
  </si>
  <si>
    <t>Mtro. Bianca Mayorga</t>
  </si>
  <si>
    <t>maganafabiola@hinojosa-meraz.com</t>
  </si>
  <si>
    <t>028c3012-bbb3-43aa-964f-69aba65f05aa</t>
  </si>
  <si>
    <t>Horacio Emilio Espinosa Padr√≥n</t>
  </si>
  <si>
    <t>marcosarmendariz@yahoo.com</t>
  </si>
  <si>
    <t>93adef20-4cdb-4207-bbba-d4412eb8840b</t>
  </si>
  <si>
    <t>Israel Paredes</t>
  </si>
  <si>
    <t>josefinacarrero@zavala.com</t>
  </si>
  <si>
    <t>448e14d0-eae1-4771-8c1c-dd1f4ea21088</t>
  </si>
  <si>
    <t>Ignacio Guzm√°n Borrego</t>
  </si>
  <si>
    <t>rolandorendon@proyectos.com</t>
  </si>
  <si>
    <t>fd338d3a-d67f-4c10-bd09-55bbc6c310d1</t>
  </si>
  <si>
    <t>Margarita Guadalupe Ceja</t>
  </si>
  <si>
    <t>pvaca@padilla-calderon.com</t>
  </si>
  <si>
    <t>077fd234-6153-410d-a149-184f01f2e37a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</si>
  <si>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</si>
  <si>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</si>
  <si>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</si>
  <si>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</si>
  <si>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</si>
  <si>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</si>
  <si>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Hermelinda Clemente Sisneros</t>
  </si>
  <si>
    <t>citlaliramos@roque-velasco.biz</t>
  </si>
  <si>
    <t>af40dcd7-913c-4661-9539-8e5b477bae0b</t>
  </si>
  <si>
    <t>Esperanza Victoria Rend√≥n</t>
  </si>
  <si>
    <t>ortaasuncion@laboratorios.org</t>
  </si>
  <si>
    <t>b3ac9ad7-3336-45ee-8e9c-45dd90295e61</t>
  </si>
  <si>
    <t>Israel Barrag√°n</t>
  </si>
  <si>
    <t>barbara76@hotmail.com</t>
  </si>
  <si>
    <t>0cede563-5f38-42bf-93ca-f67930084cf1</t>
  </si>
  <si>
    <t>Bernab√© Colunga Cordero</t>
  </si>
  <si>
    <t>overa@hotmail.com</t>
  </si>
  <si>
    <t>a0229848-67ee-4a81-b13f-f722ded36349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</si>
  <si>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</si>
  <si>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</si>
  <si>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</si>
  <si>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</si>
  <si>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</si>
  <si>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</si>
  <si>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</si>
  <si>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</si>
  <si>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</si>
  <si>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Paulina Garibay Gracia</t>
  </si>
  <si>
    <t>eugenio94@yahoo.com</t>
  </si>
  <si>
    <t>3c957274-31de-4637-8c46-828eb2c095e9</t>
  </si>
  <si>
    <t>Zeferino Le√≥n</t>
  </si>
  <si>
    <t>trujilloalonso@gmail.com</t>
  </si>
  <si>
    <t>b7681cb8-fbde-4312-ba1b-0c772e149e82</t>
  </si>
  <si>
    <t>Concepci√≥n Colunga</t>
  </si>
  <si>
    <t>silvanozavala@gmail.com</t>
  </si>
  <si>
    <t>b1d25534-830a-470d-a41f-2a8ac404b047</t>
  </si>
  <si>
    <t>Lic. Pedro Jasso</t>
  </si>
  <si>
    <t>forosco@mesa.biz</t>
  </si>
  <si>
    <t>dd6c8ba4-bdce-4e89-8a25-248a85e34e96</t>
  </si>
  <si>
    <t>Blanca Juan Carlos Sisneros</t>
  </si>
  <si>
    <t>ariadna06@espino.org</t>
  </si>
  <si>
    <t>1a8c7e9d-606f-43dc-9e8a-38707414cb60</t>
  </si>
  <si>
    <t>2/10/2024</t>
  </si>
  <si>
    <t>Mtro. Mar√≠a Cristina Bernal</t>
  </si>
  <si>
    <t>raquelhernandez@yahoo.com</t>
  </si>
  <si>
    <t>9fea2180-a947-4e2f-b6c9-5371f9bac38e</t>
  </si>
  <si>
    <t>Olga Evelio Solorio</t>
  </si>
  <si>
    <t>isabela60@hotmail.com</t>
  </si>
  <si>
    <t>a54ade2d-7062-4dcd-a41a-a92c117729ad</t>
  </si>
  <si>
    <t>Lic. Patricia Feliciano</t>
  </si>
  <si>
    <t>pcruz@zelaya.com</t>
  </si>
  <si>
    <t>b9c6fc20-68c7-453f-b881-23c480cd6bd2</t>
  </si>
  <si>
    <t>Diego Benito Ramos Galv√°n</t>
  </si>
  <si>
    <t>pilarpena@gmail.com</t>
  </si>
  <si>
    <t>557a8a9d-fb81-41f2-9c1e-7c5651463eae</t>
  </si>
  <si>
    <t>Ing. David Valencia</t>
  </si>
  <si>
    <t>wmolina@yahoo.com</t>
  </si>
  <si>
    <t>f3c3146d-5022-4c1a-8a7c-38632c504802</t>
  </si>
  <si>
    <t>Elena Guardado Enr√≠quez</t>
  </si>
  <si>
    <t>carolina73@gmail.com</t>
  </si>
  <si>
    <t>a406d85a-6020-4738-b3ed-53d680678126</t>
  </si>
  <si>
    <t>10/26/2024</t>
  </si>
  <si>
    <t>Wendolin Elvia Osorio Gallardo</t>
  </si>
  <si>
    <t>camilareyes@yahoo.com</t>
  </si>
  <si>
    <t>b530707f-4d7d-4afc-bde4-e36c5328a487</t>
  </si>
  <si>
    <t>Francisco Javier Blanca Serrato</t>
  </si>
  <si>
    <t>montanezluis-miguel@industrias.com</t>
  </si>
  <si>
    <t>688bf8b0-b0ea-4f26-96a2-bf0bf26b0c06</t>
  </si>
  <si>
    <t>10/31/2024</t>
  </si>
  <si>
    <t>Violeta Celia Valverde</t>
  </si>
  <si>
    <t>silvano66@proyectos.com</t>
  </si>
  <si>
    <t>60d8025a-b531-49e9-a8a9-cc068cf74685</t>
  </si>
  <si>
    <t>Mtro. Salma de la Garza</t>
  </si>
  <si>
    <t>ana-luisa49@otero.org</t>
  </si>
  <si>
    <t>40b3bbac-c623-4647-a606-b5af9a39c69f</t>
  </si>
  <si>
    <t>Ofelia Francisco Javier Rojas</t>
  </si>
  <si>
    <t>reinasegovia@hotmail.com</t>
  </si>
  <si>
    <t>915c486d-4ef1-4e6b-953c-b179a8d2ba80</t>
  </si>
  <si>
    <t>1/11/2024</t>
  </si>
  <si>
    <t>Miguel Mariana Murillo Carrera</t>
  </si>
  <si>
    <t>rubynevarez@hotmail.com</t>
  </si>
  <si>
    <t>46e7ea20-4ea9-4a4d-a9d0-fe7ff0edc16b</t>
  </si>
  <si>
    <t>Lorenzo Collado Gast√©lum</t>
  </si>
  <si>
    <t>lorena10@gmail.com</t>
  </si>
  <si>
    <t>ad71df5b-e541-4c69-a100-86824806dfcc</t>
  </si>
  <si>
    <t>Guadalupe Vanesa Navarro</t>
  </si>
  <si>
    <t>reynaangelica@yahoo.com</t>
  </si>
  <si>
    <t>6a4bb496-8bb3-4227-aa74-8a7d94a78dd5</t>
  </si>
  <si>
    <t>Fidel Celia Roque Vallejo</t>
  </si>
  <si>
    <t>gamezjonas@estevez.org</t>
  </si>
  <si>
    <t>b2ccd416-d146-4511-9bd6-7eb3bd7333c6</t>
  </si>
  <si>
    <t>Lilia B√©tancourt Parra</t>
  </si>
  <si>
    <t>martha43@gmail.com</t>
  </si>
  <si>
    <t>5a5c3350-ddcf-484e-8349-4b078818dfc5</t>
  </si>
  <si>
    <t>Alma Galv√°n</t>
  </si>
  <si>
    <t>magdalena44@industrias.com</t>
  </si>
  <si>
    <t>bddbebd3-8d7c-4f54-b99a-707a32de78d9</t>
  </si>
  <si>
    <t>Marisela Preciado</t>
  </si>
  <si>
    <t>roblesmanuel@gmail.com</t>
  </si>
  <si>
    <t>3cd2ba34-59ca-4654-b969-558904dc2456</t>
  </si>
  <si>
    <t>6/11/2024</t>
  </si>
  <si>
    <t>Jos√© Manu√©l Lebr√≥n Peralta</t>
  </si>
  <si>
    <t>horacioguajardo@hotmail.com</t>
  </si>
  <si>
    <t>f72dc1de-5d72-4f3f-b45b-348ffb8c50ea</t>
  </si>
  <si>
    <t>Eugenio Juana Orta Chapa</t>
  </si>
  <si>
    <t>marco-antoniorosado@grupo.org</t>
  </si>
  <si>
    <t>3786d3a2-e035-4239-845a-3dce8eca0b61</t>
  </si>
  <si>
    <t>Jos√© Eduardo Conchita Barrientos Pulido</t>
  </si>
  <si>
    <t>hector75@despacho.org</t>
  </si>
  <si>
    <t>45b7faf6-5799-4708-8c79-9b6b478ccfc3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</si>
  <si>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</si>
  <si>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</si>
  <si>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</si>
  <si>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</si>
  <si>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</si>
  <si>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</si>
  <si>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Mauricio Jos√© Luis Arroyo Mascare√±as</t>
  </si>
  <si>
    <t>cristalfernandez@avalos-puga.org</t>
  </si>
  <si>
    <t>f10d9e5e-78e5-42f9-984f-478745f93fb9</t>
  </si>
  <si>
    <t>Eva Rivas Gallardo</t>
  </si>
  <si>
    <t>lpacheco@yahoo.com</t>
  </si>
  <si>
    <t>5d5d2fc9-2318-4ab5-b209-bb096e9dc1a1</t>
  </si>
  <si>
    <t>Luisa Gilberto Trujillo</t>
  </si>
  <si>
    <t>rolando62@hotmail.com</t>
  </si>
  <si>
    <t>62a79a02-2ff5-4434-a42e-150fc8d403dd</t>
  </si>
  <si>
    <t>Dr. Sessa Barrag√°n</t>
  </si>
  <si>
    <t>gmonroy@yahoo.com</t>
  </si>
  <si>
    <t>b1db7db2-5c54-40de-8504-0fd6675da8c4</t>
  </si>
  <si>
    <t>Amanda B√°ez</t>
  </si>
  <si>
    <t>zamudiooswaldo@rosales.com</t>
  </si>
  <si>
    <t>a7dfe4eb-5eeb-4472-bdee-bc2113869dcc</t>
  </si>
  <si>
    <t>9/10/2024</t>
  </si>
  <si>
    <t>Ilse Lozada</t>
  </si>
  <si>
    <t>mateomauricio@garica.org</t>
  </si>
  <si>
    <t>cebd42be-c5fb-495b-b850-22b67d7d538d</t>
  </si>
  <si>
    <t>Ing. Elsa Prieto</t>
  </si>
  <si>
    <t>marisol14@maestas.com</t>
  </si>
  <si>
    <t>4143d835-b0c6-4920-b3a2-df5339be92e0</t>
  </si>
  <si>
    <t>Ing. Zacar√≠as Galv√°n</t>
  </si>
  <si>
    <t>abrillemus@hotmail.com</t>
  </si>
  <si>
    <t>de4c96f0-b965-4289-ab99-9976cb8ce9b5</t>
  </si>
  <si>
    <t>Lic. Santiago Montenegro</t>
  </si>
  <si>
    <t>onavarro@proyectos.com</t>
  </si>
  <si>
    <t>a65e1da8-d4c4-4925-b15a-eefb65f84daa</t>
  </si>
  <si>
    <t>Amador Juan Tafoya Hinojosa</t>
  </si>
  <si>
    <t>jose-emiliovillanueva@hotmail.com</t>
  </si>
  <si>
    <t>95d058cf-b6bc-4829-8814-0306aba9f164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</si>
  <si>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</si>
  <si>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</si>
  <si>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</si>
  <si>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</si>
  <si>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</si>
  <si>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</si>
  <si>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</si>
  <si>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</si>
  <si>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</si>
  <si>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Claudio Anguiano Su√°rez</t>
  </si>
  <si>
    <t>cintronmanuel@gmail.com</t>
  </si>
  <si>
    <t>f8f7bac5-22e3-4fcd-8c93-90375d23c11b</t>
  </si>
  <si>
    <t>3/10/2024</t>
  </si>
  <si>
    <t>Pedro √ìliver de la Rosa</t>
  </si>
  <si>
    <t>aldonza88@hotmail.com</t>
  </si>
  <si>
    <t>3e1cb7d4-91f8-411b-bc26-a8e0b4391db9</t>
  </si>
  <si>
    <t>Octavio Madrid Acevedo</t>
  </si>
  <si>
    <t>jhernadez@yahoo.com</t>
  </si>
  <si>
    <t>32cbf6b2-5cd5-4174-8a02-005124de47a9</t>
  </si>
  <si>
    <t>Estela Tijerina</t>
  </si>
  <si>
    <t>guzmanalfonso@molina.com</t>
  </si>
  <si>
    <t>96edea28-2897-4637-85bd-60acc395c4c4</t>
  </si>
  <si>
    <t>7/11/2024</t>
  </si>
  <si>
    <t>Mtro. Dulce Mar√≠a Amador</t>
  </si>
  <si>
    <t>avazquez@corporacin.com</t>
  </si>
  <si>
    <t>e293657e-9d00-4bb4-a00b-b178850a3ccc</t>
  </si>
  <si>
    <t>Alfonso Alejandra Aguilera</t>
  </si>
  <si>
    <t>bfajardo@suarez.info</t>
  </si>
  <si>
    <t>c4d429ce-cdcb-4f2a-b91c-26eac3db495e</t>
  </si>
  <si>
    <t>Octavio Brise√±o Corrales</t>
  </si>
  <si>
    <t>antoniohernandez@gmail.com</t>
  </si>
  <si>
    <t>06092c99-a04c-49aa-b1e2-81711e255109</t>
  </si>
  <si>
    <t>Benjam√≠n Octavio Gaona</t>
  </si>
  <si>
    <t>armando09@gmail.com</t>
  </si>
  <si>
    <t>b4335591-8cf2-4447-be7b-0390e7645fec</t>
  </si>
  <si>
    <t>Lic. Mariana Urbina</t>
  </si>
  <si>
    <t>daniela26@hotmail.com</t>
  </si>
  <si>
    <t>cd9cf7e0-6da4-41df-8be9-2d02844b1c31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</si>
  <si>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</si>
  <si>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</si>
  <si>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</si>
  <si>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</si>
  <si>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</si>
  <si>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</si>
  <si>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</si>
  <si>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</si>
  <si>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</si>
  <si>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Lic. Lorenzo Zaragoza</t>
  </si>
  <si>
    <t>zarguello@yahoo.com</t>
  </si>
  <si>
    <t>66a70af2-e06b-4866-8aaa-a2912c261d68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</si>
  <si>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</si>
  <si>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</si>
  <si>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</si>
  <si>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</si>
  <si>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</si>
  <si>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</si>
  <si>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Patricio Puga</t>
  </si>
  <si>
    <t>maytecasares@yahoo.com</t>
  </si>
  <si>
    <t>428f89ef-5eb4-469e-b29a-14fcef36e9d3</t>
  </si>
  <si>
    <t>Ana Alvarado Zambrano</t>
  </si>
  <si>
    <t>ppineda@hotmail.com</t>
  </si>
  <si>
    <t>ec0799d5-b19c-407d-9997-ef035cb093a4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</si>
  <si>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</si>
  <si>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</si>
  <si>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</si>
  <si>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</si>
  <si>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</si>
  <si>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</si>
  <si>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</si>
  <si>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</si>
  <si>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</si>
  <si>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</si>
  <si>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</si>
  <si>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</si>
  <si>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Natalia Carmen Madrid</t>
  </si>
  <si>
    <t>jaimerenteria@despacho.com</t>
  </si>
  <si>
    <t>30697ee3-c6f1-4277-b269-c3c951095f84</t>
  </si>
  <si>
    <t>Dr. Jos√© Manu√©l Candelaria</t>
  </si>
  <si>
    <t>gabriel22@pineda-villarreal.info</t>
  </si>
  <si>
    <t>ece1df7a-ba2b-48cc-9d1f-e8d8a307a1c6</t>
  </si>
  <si>
    <t>Carmen Elvira Medina</t>
  </si>
  <si>
    <t>esparta21@yahoo.com</t>
  </si>
  <si>
    <t>922204f6-79f1-49ba-ab4c-25b2f7427397</t>
  </si>
  <si>
    <t>Hern√°n Angulo Ulibarri</t>
  </si>
  <si>
    <t>nelly89@yahoo.com</t>
  </si>
  <si>
    <t>d0dda286-bcb5-4649-a635-e4247f6a35d8</t>
  </si>
  <si>
    <t xml:space="preserve">Auriculares-Con cable-32GB </t>
  </si>
  <si>
    <t>Bruno Hern√°n Rivero</t>
  </si>
  <si>
    <t>noemirivera@hotmail.com</t>
  </si>
  <si>
    <t>8018872a-4ec4-4b51-8563-8d9d85f09396</t>
  </si>
  <si>
    <t>Dr. Lucas Barela</t>
  </si>
  <si>
    <t>antoniabarela@despacho.net</t>
  </si>
  <si>
    <t>f0651ccf-cec5-4eb0-881b-198e786e21cc</t>
  </si>
  <si>
    <t>Sessa Blanco</t>
  </si>
  <si>
    <t>navarretenelly@yahoo.com</t>
  </si>
  <si>
    <t>b5b62540-d5f3-4cd3-bdd3-48312389c2db</t>
  </si>
  <si>
    <t>1/12/2024</t>
  </si>
  <si>
    <t>Ing. Guillermo Merino</t>
  </si>
  <si>
    <t>serafinsanches@lugo.com</t>
  </si>
  <si>
    <t>55c662be-f3d2-40c4-ba87-75f3a5b76faf</t>
  </si>
  <si>
    <t>Omar Nelly Gamboa</t>
  </si>
  <si>
    <t>vcervantez@matos-villagomez.biz</t>
  </si>
  <si>
    <t>acec8856-d263-466f-b05c-84bd5b847fc1</t>
  </si>
  <si>
    <t>Norma √Åvila</t>
  </si>
  <si>
    <t>emoya@hotmail.com</t>
  </si>
  <si>
    <t>fbdb0e9b-584d-4085-8bf9-8d372b99ebfb</t>
  </si>
  <si>
    <t>Barbara Urrutia Palacios</t>
  </si>
  <si>
    <t>peresguadalupe@laboratorios.info</t>
  </si>
  <si>
    <t>b138908b-b0cd-458c-9da0-707f94b0ffcd</t>
  </si>
  <si>
    <t xml:space="preserve">Laptop-Gaming-32GB </t>
  </si>
  <si>
    <t>Esperanza Pablo Villa Segovia</t>
  </si>
  <si>
    <t>cortestrinidad@hotmail.com</t>
  </si>
  <si>
    <t>8cbd3d88-e898-4121-92bf-4315def5c26b</t>
  </si>
  <si>
    <t>Ing. Zacar√≠as Padr√≥n</t>
  </si>
  <si>
    <t>rsosa@laboratorios.com</t>
  </si>
  <si>
    <t>4d35d453-5b30-4e58-a33c-a870dde7a68f</t>
  </si>
  <si>
    <t>10/27/2024</t>
  </si>
  <si>
    <t>Victoria Gurule</t>
  </si>
  <si>
    <t>acovarrubias@yahoo.com</t>
  </si>
  <si>
    <t>26d71239-8773-4f98-a147-880cc7ae84cb</t>
  </si>
  <si>
    <t>Mar√≠a Luisa Roberto Holgu√≠n Zelaya</t>
  </si>
  <si>
    <t>trinidadguillen@yahoo.com</t>
  </si>
  <si>
    <t>3ce15a6c-2825-434c-ad46-cd79f4bc2381</t>
  </si>
  <si>
    <t>Tom√°s Cabrera Tijerina</t>
  </si>
  <si>
    <t>rene11@carrillo.com</t>
  </si>
  <si>
    <t>5548f892-9c81-4567-87e7-399e543e91d9</t>
  </si>
  <si>
    <t>C√©sar Burgos Fl√≥rez</t>
  </si>
  <si>
    <t>isaac34@aviles.biz</t>
  </si>
  <si>
    <t>15c161e7-84e8-482a-963e-a7e6326abc14</t>
  </si>
  <si>
    <t>Eric Bonilla</t>
  </si>
  <si>
    <t>sarabiakarla@gmail.com</t>
  </si>
  <si>
    <t>5c493940-b957-429c-b2c2-6378fa0e9e7b</t>
  </si>
  <si>
    <t>Sr(a). M√≥nica Monta√±ez</t>
  </si>
  <si>
    <t>znegron@hotmail.com</t>
  </si>
  <si>
    <t>b132b519-abc7-45bf-afcb-a51cf812697a</t>
  </si>
  <si>
    <t>Mar√≠a D√≠az</t>
  </si>
  <si>
    <t>qde-jesus@cazares-tamez.biz</t>
  </si>
  <si>
    <t>9a041544-4b70-4ae4-9dee-985076c979eb</t>
  </si>
  <si>
    <t>Dolores Minerva Fr√≠as Baeza</t>
  </si>
  <si>
    <t>maria-eugenia48@industrias.com</t>
  </si>
  <si>
    <t>08148c4c-9768-48b2-a627-96eb9c4ecb15</t>
  </si>
  <si>
    <t>Yuridia Madrid</t>
  </si>
  <si>
    <t>kmurillo@proyectos.net</t>
  </si>
  <si>
    <t>5b24d4c8-65a7-4ec1-8ca1-f46584e4d7f7</t>
  </si>
  <si>
    <t>Nelly Arce</t>
  </si>
  <si>
    <t>rodrigoalcantar@hotmail.com</t>
  </si>
  <si>
    <t>df4cc62b-b7d8-4963-99ea-48fe79203fbe</t>
  </si>
  <si>
    <t>9/12/2024</t>
  </si>
  <si>
    <t>Antonia Martha Esparza</t>
  </si>
  <si>
    <t>espinoelena@yahoo.com</t>
  </si>
  <si>
    <t>85c98452-482f-4a08-b9eb-a1cf145ad831</t>
  </si>
  <si>
    <t>√ìliver T√©llez</t>
  </si>
  <si>
    <t>ysaldivar@perales.com</t>
  </si>
  <si>
    <t>92e1c1ff-b495-49b7-a5b5-d0aeb1d04194</t>
  </si>
  <si>
    <t>√ìliver Julio C√©sar Cervantes</t>
  </si>
  <si>
    <t>ncardenas@hotmail.com</t>
  </si>
  <si>
    <t>1ee6182c-86b4-4ebe-b5e3-4e371ac515a7</t>
  </si>
  <si>
    <t>Camilo Cerv√°ntez</t>
  </si>
  <si>
    <t>isaac33@gmail.com</t>
  </si>
  <si>
    <t>6a272f91-94e7-4624-af64-2a57ea5ea246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</si>
  <si>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</si>
  <si>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</si>
  <si>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</si>
  <si>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</si>
  <si>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</si>
  <si>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</si>
  <si>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Estela Ver√≥nica Avil√©s</t>
  </si>
  <si>
    <t>ucisneros@hotmail.com</t>
  </si>
  <si>
    <t>77c7a554-42e9-435e-b1af-df86b0f8167f</t>
  </si>
  <si>
    <t>Dr. Eloy Valles</t>
  </si>
  <si>
    <t>lucas66@hotmail.com</t>
  </si>
  <si>
    <t>df469a69-84f1-42dd-80d3-89ef0d15476d</t>
  </si>
  <si>
    <t>Juan L√≥pez</t>
  </si>
  <si>
    <t>liliagonzalez@sanabria.info</t>
  </si>
  <si>
    <t>bda4c76c-8205-4def-8d46-9d2d6a40365e</t>
  </si>
  <si>
    <t>Julia Baeza</t>
  </si>
  <si>
    <t>leticiaduarte@yahoo.com</t>
  </si>
  <si>
    <t>09c37b10-c227-4f88-9c6a-eb146d381382</t>
  </si>
  <si>
    <t>5/11/2024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</si>
  <si>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</si>
  <si>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</si>
  <si>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</si>
  <si>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</si>
  <si>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</si>
  <si>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</si>
  <si>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</si>
  <si>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</si>
  <si>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</si>
  <si>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Luc√≠a Irma Z√∫√±iga</t>
  </si>
  <si>
    <t>quirozcristina@hotmail.com</t>
  </si>
  <si>
    <t>03e4dd2e-3e51-4d0d-a880-eb30ad369498</t>
  </si>
  <si>
    <t>Karla Amelia Garrido Zedillo</t>
  </si>
  <si>
    <t>abril49@yahoo.com</t>
  </si>
  <si>
    <t>5d45490d-e212-40da-9db3-7fe81d466e5d</t>
  </si>
  <si>
    <t>Wendolin Vallejo Bueno</t>
  </si>
  <si>
    <t>carreraofelia@gmail.com</t>
  </si>
  <si>
    <t>47707a3f-9323-4d55-944e-bc1bd0981b5d</t>
  </si>
  <si>
    <t>Jorge Sep√∫lveda</t>
  </si>
  <si>
    <t>uferrer@gmail.com</t>
  </si>
  <si>
    <t>44eb6606-bfe9-426e-8e4f-c7683d27a64a</t>
  </si>
  <si>
    <t>Isabela Cortez</t>
  </si>
  <si>
    <t>aalmaraz@yahoo.com</t>
  </si>
  <si>
    <t>18b6e7f0-7f1c-4914-ab72-945d8d766ba6</t>
  </si>
  <si>
    <t>Guillermina Carbajal</t>
  </si>
  <si>
    <t>martincandelaria@hotmail.com</t>
  </si>
  <si>
    <t>f0d38b06-2059-47d6-9f56-aefc70f2727d</t>
  </si>
  <si>
    <t>Aldonza Arriaga</t>
  </si>
  <si>
    <t>benjaminguerra@yahoo.com</t>
  </si>
  <si>
    <t>2d413f59-b03c-479d-84d2-e6d17034f1ce</t>
  </si>
  <si>
    <t>Mateo Flavio Uribe Garc√≠a</t>
  </si>
  <si>
    <t>eesquibel@campos.info</t>
  </si>
  <si>
    <t>de92a9b2-739f-4ffe-aeb7-97d14d474602</t>
  </si>
  <si>
    <t>Marcos Ruby Mateo Quiroz</t>
  </si>
  <si>
    <t>juancazares@juarez.com</t>
  </si>
  <si>
    <t>92b45d23-a69f-49fa-84fe-45e1c5d428e3</t>
  </si>
  <si>
    <t>Ofelia Su√°rez</t>
  </si>
  <si>
    <t>mauricio18@preciado-acuna.com</t>
  </si>
  <si>
    <t>e7e6c336-1e49-4295-a6a2-d4acf044ce4d</t>
  </si>
  <si>
    <t>Mtro. Delia Medrano</t>
  </si>
  <si>
    <t>zarateabril@club.org</t>
  </si>
  <si>
    <t>b89c9db5-89fd-4f46-92e3-9846d55a78cf</t>
  </si>
  <si>
    <t>Ing. Wilfrido Carranza</t>
  </si>
  <si>
    <t>sevillamicaela@villarreal.com</t>
  </si>
  <si>
    <t>7e9821f4-95d8-433f-958b-d88fd9985891</t>
  </si>
  <si>
    <t>Octavio Isabela Barraza</t>
  </si>
  <si>
    <t>irobles@gmail.com</t>
  </si>
  <si>
    <t>bb32f0ba-b764-401c-a691-3d59b0136679</t>
  </si>
  <si>
    <t>Emilia Federico Altamirano</t>
  </si>
  <si>
    <t>laboyleonor@yahoo.com</t>
  </si>
  <si>
    <t>fa3bf710-eb5a-4873-893c-d6a73dc7c4f9</t>
  </si>
  <si>
    <t>Concepci√≥n Elias Alonso Garrido</t>
  </si>
  <si>
    <t>jose-luisanaya@olivo-villa.com</t>
  </si>
  <si>
    <t>51261e24-fd4f-491f-82aa-f60c2d85e228</t>
  </si>
  <si>
    <t>Jos√© Eduardo Jer√≥nimo Montoya Loera</t>
  </si>
  <si>
    <t>genaroescobedo@castro-alonzo.com</t>
  </si>
  <si>
    <t>99993024-cdc4-433a-bc86-99d1960cf2a9</t>
  </si>
  <si>
    <t>Ana Mar√≠a Palacios Cardenas</t>
  </si>
  <si>
    <t>brunoferrer@hotmail.com</t>
  </si>
  <si>
    <t>147138ab-2800-4faa-9770-b5aac577f7f3</t>
  </si>
  <si>
    <t>Ruby Amador Quintero</t>
  </si>
  <si>
    <t>marianodelgadillo@proyectos.com</t>
  </si>
  <si>
    <t>7ce37500-a380-4f67-8cbb-04f3cb8e5cc8</t>
  </si>
  <si>
    <t>Ing. Pilar Laboy</t>
  </si>
  <si>
    <t>gdel-valle@covarrubias-marquez.com</t>
  </si>
  <si>
    <t>86e384a9-c2a7-45ca-a673-368c949b7a96</t>
  </si>
  <si>
    <t>Mtro. Alfredo de la Fuente</t>
  </si>
  <si>
    <t>dblanco@club.com</t>
  </si>
  <si>
    <t>93eed3fe-4660-4b73-ac92-7b7bf72ad00f</t>
  </si>
  <si>
    <t>Estela Iv√°n Figueroa</t>
  </si>
  <si>
    <t>maria-del-carmenramos@hotmail.com</t>
  </si>
  <si>
    <t>0e8a03cd-16fb-4487-accf-bc309a83a97e</t>
  </si>
  <si>
    <t>Liliana Pedraza</t>
  </si>
  <si>
    <t>ninovictor@gmail.com</t>
  </si>
  <si>
    <t>8b0b8f3a-d8c5-47fe-9e94-09d8d82d6464</t>
  </si>
  <si>
    <t>Victoria Galv√°n</t>
  </si>
  <si>
    <t>cornejocornelio@despacho.org</t>
  </si>
  <si>
    <t>c95e92f7-8dde-45fb-8837-d183a4786431</t>
  </si>
  <si>
    <t>Ricardo Bruno B√°ez</t>
  </si>
  <si>
    <t>teodoro81@hotmail.com</t>
  </si>
  <si>
    <t>c3a1ef5f-f105-4822-9c72-844ed7b0298f</t>
  </si>
  <si>
    <t>Guillermo Diana Curiel Verdugo</t>
  </si>
  <si>
    <t>sara48@gmail.com</t>
  </si>
  <si>
    <t>f76306ca-536d-4c20-8a36-77c9fc49afc0</t>
  </si>
  <si>
    <t>Susana Valadez de la Cr√∫z</t>
  </si>
  <si>
    <t>qrosado@hotmail.com</t>
  </si>
  <si>
    <t>4f8944d0-df82-4668-beab-3dcdc6f3cf2f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</si>
  <si>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</si>
  <si>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</si>
  <si>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</si>
  <si>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</si>
  <si>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</si>
  <si>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</si>
  <si>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Mar√≠a Teresa Ocasio Vera</t>
  </si>
  <si>
    <t>alvavioleta@grupo.com</t>
  </si>
  <si>
    <t>d9f6800f-10da-460e-b27e-bdbb10820a14</t>
  </si>
  <si>
    <t>Omar Carla Miranda</t>
  </si>
  <si>
    <t>renato62@gmail.com</t>
  </si>
  <si>
    <t>39880590-7dce-48d2-a8b2-dcef91f42511</t>
  </si>
  <si>
    <t>Yolanda Rafa√©l Gamez</t>
  </si>
  <si>
    <t>saavedrafelipe@yahoo.com</t>
  </si>
  <si>
    <t>d9c1410d-a481-442e-a55e-c877ab1e7b3f</t>
  </si>
  <si>
    <t>Ing. Nayeli del Valle</t>
  </si>
  <si>
    <t>esquibellucas@gmail.com</t>
  </si>
  <si>
    <t>e4d04092-1822-4155-841a-4386e1c16529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</si>
  <si>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</si>
  <si>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</si>
  <si>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</si>
  <si>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</si>
  <si>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</si>
  <si>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</si>
  <si>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</si>
  <si>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</si>
  <si>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</si>
  <si>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</si>
  <si>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</si>
  <si>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</si>
  <si>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Caridad Frida Villarreal</t>
  </si>
  <si>
    <t>homero86@segura.com</t>
  </si>
  <si>
    <t>41673c52-8873-43f3-b016-36a8c4e22ead</t>
  </si>
  <si>
    <t>Amanda Mariana Verduzco</t>
  </si>
  <si>
    <t>veronica31@gmail.com</t>
  </si>
  <si>
    <t>ac35ebfc-2fef-4aca-8a06-c9547d41dd8a</t>
  </si>
  <si>
    <t>Helena Salvador Alba</t>
  </si>
  <si>
    <t>indira82@miramontes-menendez.biz</t>
  </si>
  <si>
    <t>ff3bf349-be3d-4ed5-a05d-026306680047</t>
  </si>
  <si>
    <t>Sandra Cornelio Nava Galarza</t>
  </si>
  <si>
    <t>gaonagabriel@proyectos.org</t>
  </si>
  <si>
    <t>8a075c13-f70b-4b5b-909b-e961bf332236</t>
  </si>
  <si>
    <t>Leonardo Jos√© Luis Manzanares Trujillo</t>
  </si>
  <si>
    <t>garenas@verduzco.org</t>
  </si>
  <si>
    <t>969772b7-82a9-4281-b808-f08dbacfaa54</t>
  </si>
  <si>
    <t>Norma Paulina Qui√±ones</t>
  </si>
  <si>
    <t>bespino@rojo.com</t>
  </si>
  <si>
    <t>30208b2a-0356-49da-b9b5-5dadc87e2157</t>
  </si>
  <si>
    <t>Emilio Alva</t>
  </si>
  <si>
    <t>veronicalongoria@hotmail.com</t>
  </si>
  <si>
    <t>2c896ee7-2283-43d2-9ff9-44e43322ed6f</t>
  </si>
  <si>
    <t>Virginia Irma Rol√≥n Arteaga</t>
  </si>
  <si>
    <t>juan-carlosporras@hotmail.com</t>
  </si>
  <si>
    <t>8961a6a3-8576-4db8-bcfd-98eaefa53976</t>
  </si>
  <si>
    <t>Hilda Armando Padilla Castellanos</t>
  </si>
  <si>
    <t>zmejia@club.com</t>
  </si>
  <si>
    <t>36cbc08f-0000-4ac1-a306-2119638696af</t>
  </si>
  <si>
    <t>Javier Ofelia Quintanilla Villa</t>
  </si>
  <si>
    <t>sramirez@yahoo.com</t>
  </si>
  <si>
    <t>8a1ce3fb-e2c2-4c33-8f15-c428f8a97642</t>
  </si>
  <si>
    <t>Mauro Mel√©ndez</t>
  </si>
  <si>
    <t>patricia66@hotmail.com</t>
  </si>
  <si>
    <t>43c7bc6c-6c1b-481e-b0de-1a182eecc87e</t>
  </si>
  <si>
    <t>Emilio Peres</t>
  </si>
  <si>
    <t>ovillalpando@hotmail.com</t>
  </si>
  <si>
    <t>67e78427-8d9f-40c5-b32d-df9777d2029d</t>
  </si>
  <si>
    <t>Esteban Ure√±a</t>
  </si>
  <si>
    <t>gvazquez@burgos.com</t>
  </si>
  <si>
    <t>a4da2665-dfb9-46f3-b658-cc5d0505dd86</t>
  </si>
  <si>
    <t>Rufino Amador Ochoa</t>
  </si>
  <si>
    <t>anel99@hotmail.com</t>
  </si>
  <si>
    <t>731cae55-5431-4c89-89e4-ae12557b88e2</t>
  </si>
  <si>
    <t>Abel Leticia Calder√≥n Gallegos</t>
  </si>
  <si>
    <t>timoteo70@hotmail.com</t>
  </si>
  <si>
    <t>92461461-c9c6-41f5-ba8b-7e68bb7088ec</t>
  </si>
  <si>
    <t>Olivia Zavala</t>
  </si>
  <si>
    <t>isabelmunguia@de.com</t>
  </si>
  <si>
    <t>1bb7ccf0-5ad1-49e5-831c-01f403e1e8ae</t>
  </si>
  <si>
    <t>Hilda Vergara Tirado</t>
  </si>
  <si>
    <t>martin48@farias-huerta.com</t>
  </si>
  <si>
    <t>d8b5d3e5-0632-4dbf-9b3c-2094a15de8e8</t>
  </si>
  <si>
    <t>Aida Ojeda Galindo</t>
  </si>
  <si>
    <t>concepcion88@hotmail.com</t>
  </si>
  <si>
    <t>8d23f99e-11a9-4194-979d-e2f334eec6fa</t>
  </si>
  <si>
    <t>Gilberto Mitzy Aguirre Mac√≠as</t>
  </si>
  <si>
    <t>adelafierro@resendez.com</t>
  </si>
  <si>
    <t>853315fd-3f57-4c4d-b1c0-63876571d6be</t>
  </si>
  <si>
    <t>Lic. Yuridia Rivas</t>
  </si>
  <si>
    <t>samuel60@garica.biz</t>
  </si>
  <si>
    <t>0063b295-8de8-42db-a280-53ce8abd64d5</t>
  </si>
  <si>
    <t>Germ√°n Bustos</t>
  </si>
  <si>
    <t>luis-miguelsantacruz@yahoo.com</t>
  </si>
  <si>
    <t>ee1c498f-9419-41b5-aad7-950f328bcf29</t>
  </si>
  <si>
    <t>Carlota Helena Cepeda</t>
  </si>
  <si>
    <t>bermudezleonor@reynoso.net</t>
  </si>
  <si>
    <t>6c36c1bb-60d5-43fc-9b1f-840f4136899c</t>
  </si>
  <si>
    <t>Dar√≠o Antonia Medrano</t>
  </si>
  <si>
    <t>leonelponce@hotmail.com</t>
  </si>
  <si>
    <t>1721608b-9124-49ea-8ec0-ea350388ca09</t>
  </si>
  <si>
    <t>Ignacio Genaro Varela</t>
  </si>
  <si>
    <t>ricardoloera@torres-medina.com</t>
  </si>
  <si>
    <t>ffe80953-b756-448f-ad50-9fbbf034b1a3</t>
  </si>
  <si>
    <t>Lic. Juan Ortega</t>
  </si>
  <si>
    <t>ignaciochacon@gmail.com</t>
  </si>
  <si>
    <t>03d30ca8-82a1-4711-a969-6585129ef1c6</t>
  </si>
  <si>
    <t>Claudia Su√°rez Galv√°n</t>
  </si>
  <si>
    <t>nietohilda@yahoo.com</t>
  </si>
  <si>
    <t>008ee7b3-7786-4b09-b979-9ae857581c91</t>
  </si>
  <si>
    <t>Manuel Iv√°n Alarc√≥n Noriega</t>
  </si>
  <si>
    <t>claudia30@hotmail.com</t>
  </si>
  <si>
    <t>d513a436-d4fe-4ff3-8ec9-e92a32ed8cc7</t>
  </si>
  <si>
    <t>Pascual Trevi√±o</t>
  </si>
  <si>
    <t>mariafernandez@gmail.com</t>
  </si>
  <si>
    <t>1de0d9e2-fea5-4f41-858a-b4d39e7e4657</t>
  </si>
  <si>
    <t>Jaqueline Juan Osorio</t>
  </si>
  <si>
    <t>banuelosdalia@alonzo-ulibarri.info</t>
  </si>
  <si>
    <t>07ad1313-5817-452d-ae83-9deb77f566ff</t>
  </si>
  <si>
    <t>Mauricio Pamela Villegas</t>
  </si>
  <si>
    <t>jeronimo36@proyectos.info</t>
  </si>
  <si>
    <t>041c1c21-48c4-49bf-8301-a26b4b366c97</t>
  </si>
  <si>
    <t>Agust√≠n Rocha</t>
  </si>
  <si>
    <t>vparra@gmail.com</t>
  </si>
  <si>
    <t>bd82514d-6aed-4ca8-885d-60312b6b736b</t>
  </si>
  <si>
    <t>Fernando Almanza Dur√°n</t>
  </si>
  <si>
    <t>valmonte@gmail.com</t>
  </si>
  <si>
    <t>b033c422-b86e-4729-a448-c047ea02bb69</t>
  </si>
  <si>
    <t>Lic. Anel Cerv√°ntez</t>
  </si>
  <si>
    <t>casanovahugo@yahoo.com</t>
  </si>
  <si>
    <t>758acf48-c5d8-4ad9-8a21-e3e1440e091e</t>
  </si>
  <si>
    <t>D√©bora Uriel Montez</t>
  </si>
  <si>
    <t>sepulvedaalejandra@industrias.com</t>
  </si>
  <si>
    <t>be204235-85bb-4fe8-9216-a9791c716831</t>
  </si>
  <si>
    <t>Pedro Tamayo</t>
  </si>
  <si>
    <t>indira48@gmail.com</t>
  </si>
  <si>
    <t>53b6bfd4-05a9-41c3-adeb-dfaa20821700</t>
  </si>
  <si>
    <t>Dr. Irma Ba√±uelos</t>
  </si>
  <si>
    <t>hernadezalvaro@gmail.com</t>
  </si>
  <si>
    <t>2b9e4412-7cfc-4c93-b65b-fdd1b959ea0f</t>
  </si>
  <si>
    <t>Cynthia Rol√≥n</t>
  </si>
  <si>
    <t>emiliaesparza@santacruz.org</t>
  </si>
  <si>
    <t>dd4ae052-c48d-46dc-a438-fad5a215831b</t>
  </si>
  <si>
    <t>Bianca Abel Valent√≠n Alarc√≥n</t>
  </si>
  <si>
    <t>mendezmonica@chacon.com</t>
  </si>
  <si>
    <t>6e634080-3cde-4f41-b8b8-f7a29d0086fa</t>
  </si>
  <si>
    <t>Lic. Marisol Toledo</t>
  </si>
  <si>
    <t>emilianovillanueva@grupo.org</t>
  </si>
  <si>
    <t>715a22e4-0dbf-4ab3-9d6d-bc8cfaed54f3</t>
  </si>
  <si>
    <t>Federico Mat√≠as</t>
  </si>
  <si>
    <t>florencia21@grupo.com</t>
  </si>
  <si>
    <t>f3f6eded-9605-463d-befb-0ec09cb7398f</t>
  </si>
  <si>
    <t>Eloy Jaime Mercado Rold√°n</t>
  </si>
  <si>
    <t>jose-manuel14@madera-arenas.com</t>
  </si>
  <si>
    <t>54483220-8340-4be3-b6c6-51347b1f367c</t>
  </si>
  <si>
    <t xml:space="preserve">Tablet-Pro-4GB </t>
  </si>
  <si>
    <t>Ing. Catalina Montenegro</t>
  </si>
  <si>
    <t>socorrocolunga@rosales-caraballo.com</t>
  </si>
  <si>
    <t>0b7c1304-c2c5-4050-9b73-fd7e7c4c1936</t>
  </si>
  <si>
    <t>Armando √Ångela Ju√°rez</t>
  </si>
  <si>
    <t>marco-antonio11@proyectos.org</t>
  </si>
  <si>
    <t>31d353ab-28f4-4ab9-8b40-a16ebfc9742a</t>
  </si>
  <si>
    <t>Eugenio M√≥nica Res√©ndez</t>
  </si>
  <si>
    <t>rduarte@hotmail.com</t>
  </si>
  <si>
    <t>2acb1d18-6de4-4e08-ab0f-a43239b072ab</t>
  </si>
  <si>
    <t>Gilberto Tamez Sanches</t>
  </si>
  <si>
    <t>gcotto@alcala-espinoza.com</t>
  </si>
  <si>
    <t>239ba516-3ba4-4ab3-afd0-e7520e4284da</t>
  </si>
  <si>
    <t>Mariana Navarrete</t>
  </si>
  <si>
    <t>tgurule@hotmail.com</t>
  </si>
  <si>
    <t>1d192c49-58cc-4355-8ae6-4fc5be821369</t>
  </si>
  <si>
    <t>Victoria Wendolin Terrazas Carvajal</t>
  </si>
  <si>
    <t>avalosjosefina@gmail.com</t>
  </si>
  <si>
    <t>e469cff8-fcc0-4664-b06d-c801efd84779</t>
  </si>
  <si>
    <t>Agust√≠n Esparza</t>
  </si>
  <si>
    <t>octavio81@granados.biz</t>
  </si>
  <si>
    <t>a8f00c77-f3a2-4ae2-a236-7df93148023d</t>
  </si>
  <si>
    <t>Jos√© Aparicio</t>
  </si>
  <si>
    <t>olivia24@yahoo.com</t>
  </si>
  <si>
    <t>4185aaab-33a2-4e6e-bebe-5b6cf12100d2</t>
  </si>
  <si>
    <t>Mtro. Estela Villanueva</t>
  </si>
  <si>
    <t>salma61@gmail.com</t>
  </si>
  <si>
    <t>8cbf9f9b-f7d4-44ca-9484-0940e88fe51a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</si>
  <si>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</si>
  <si>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</si>
  <si>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</si>
  <si>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</si>
  <si>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</si>
  <si>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</si>
  <si>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Mtro. Emiliano Est√©vez</t>
  </si>
  <si>
    <t>ballesterosevelio@yahoo.com</t>
  </si>
  <si>
    <t>d06b5f3f-acab-4f8e-bf1a-8c1dfe18228e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</si>
  <si>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</si>
  <si>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</si>
  <si>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</si>
  <si>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</si>
  <si>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</si>
  <si>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</si>
  <si>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</si>
  <si>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</si>
  <si>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</si>
  <si>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Enrique Crespo Alvarez</t>
  </si>
  <si>
    <t>pamela41@grupo.com</t>
  </si>
  <si>
    <t>6321df0f-9103-4ad4-8571-120df4dd675b</t>
  </si>
  <si>
    <t>Mar√≠a Cristina Rebeca Qui√±ones D√°vila</t>
  </si>
  <si>
    <t>teresa90@yahoo.com</t>
  </si>
  <si>
    <t>a2820ce9-6172-4e14-acb4-dbc156430397</t>
  </si>
  <si>
    <t>Ad√°n Ana Ornelas Samaniego</t>
  </si>
  <si>
    <t>de-jesusnatividad@santana.com</t>
  </si>
  <si>
    <t>d6516497-6c06-4709-8da9-2fbc709d5c67</t>
  </si>
  <si>
    <t>Antonio Adriana Razo</t>
  </si>
  <si>
    <t>reyesespartaco@hotmail.com</t>
  </si>
  <si>
    <t>c08f9ba9-0e32-4277-937a-eae40b912ab0</t>
  </si>
  <si>
    <t>Isaac Reina Nieto</t>
  </si>
  <si>
    <t>angela19@gmail.com</t>
  </si>
  <si>
    <t>ab493d65-9af2-465e-9886-dbff53ffd8a3</t>
  </si>
  <si>
    <t>Amanda Cant√∫ Segura</t>
  </si>
  <si>
    <t>mercedes40@lozano-borrego.org</t>
  </si>
  <si>
    <t>51322ec3-e52c-417f-9f2c-20ffb25bf684</t>
  </si>
  <si>
    <t>Leonor Mar√≠a Luisa Calder√≥n Negr√≥n</t>
  </si>
  <si>
    <t>kalmanza@yahoo.com</t>
  </si>
  <si>
    <t>4fd78018-da91-4f39-9975-a34231cffcba</t>
  </si>
  <si>
    <t>Citlali Pantoja</t>
  </si>
  <si>
    <t>raulzayas@gmail.com</t>
  </si>
  <si>
    <t>4c7d52b9-0e48-4e31-bcf4-e5fd45e48176</t>
  </si>
  <si>
    <t>Amelia Hilda Reyes</t>
  </si>
  <si>
    <t>tejadauriel@hotmail.com</t>
  </si>
  <si>
    <t>0d39987c-fdfb-4ae0-a487-86b097bcd57d</t>
  </si>
  <si>
    <t>Indira Brito</t>
  </si>
  <si>
    <t>galfaro@yahoo.com</t>
  </si>
  <si>
    <t>4b439440-bf95-4e0b-865c-32dff4dfe00b</t>
  </si>
  <si>
    <t>√Ångel Echeverr√≠a</t>
  </si>
  <si>
    <t>bmenchaca@pulido-estrada.biz</t>
  </si>
  <si>
    <t>d8d9e077-3fb8-4ad4-b860-e6a47239634d</t>
  </si>
  <si>
    <t>Rodrigo Vanegas Serna</t>
  </si>
  <si>
    <t>vicentezelaya@valdez.com</t>
  </si>
  <si>
    <t>426433ea-0410-4d24-b435-247c7b633415</t>
  </si>
  <si>
    <t>Mercedes Sessa Valladares</t>
  </si>
  <si>
    <t>martin12@yahoo.com</t>
  </si>
  <si>
    <t>0b7f03ef-aac2-4547-b835-a7f3a3348e06</t>
  </si>
  <si>
    <t>Dulce Mar√≠a Rend√≥n Zedillo</t>
  </si>
  <si>
    <t>jassomarco-antonio@gmail.com</t>
  </si>
  <si>
    <t>dbe8b52b-292f-4415-82d6-3dad0ebf96c7</t>
  </si>
  <si>
    <t>Yeni Diego Mateo Irizarry</t>
  </si>
  <si>
    <t>esthervillalobos@covarrubias-montalvo.net</t>
  </si>
  <si>
    <t>5e0eecec-2dab-48b7-a609-0fd963d1d90a</t>
  </si>
  <si>
    <t>Camilo Eric Medina</t>
  </si>
  <si>
    <t>bernaberenteria@hotmail.com</t>
  </si>
  <si>
    <t>89fcd453-c6b3-469a-96fa-b54ec64f874f</t>
  </si>
  <si>
    <t>Lic. √ìscar Valenzuela</t>
  </si>
  <si>
    <t>genaro55@yahoo.com</t>
  </si>
  <si>
    <t>8d3b7c03-8540-49a4-a954-d8b7b6b2fa06</t>
  </si>
  <si>
    <t>Mar√≠a Eugenia Guajardo Ayala</t>
  </si>
  <si>
    <t>cervanteshermelinda@godinez.net</t>
  </si>
  <si>
    <t>42eeb64c-1110-40be-a856-c0a364fb8c30</t>
  </si>
  <si>
    <t>Emilio Campos Grijalva</t>
  </si>
  <si>
    <t>ojaimes@yahoo.com</t>
  </si>
  <si>
    <t>4c0c62c7-01f1-4c1a-be44-12a93c7d2e39</t>
  </si>
  <si>
    <t>Cecilia Casas Ledesma</t>
  </si>
  <si>
    <t>gabinopolanco@gmail.com</t>
  </si>
  <si>
    <t>31af08be-2649-4947-9338-28fb518be843</t>
  </si>
  <si>
    <t>Alonso Ignacio Hidalgo Montes</t>
  </si>
  <si>
    <t>emiliano86@gmail.com</t>
  </si>
  <si>
    <t>50ca8d12-6f3b-4d72-852c-ddb04e41ecb0</t>
  </si>
  <si>
    <t>Sr(a). Socorro Jurado</t>
  </si>
  <si>
    <t>sepulvedacarlos@amaya-ortega.com</t>
  </si>
  <si>
    <t>e6cdf437-19fd-4174-9933-e60c7eb6eab2</t>
  </si>
  <si>
    <t>Camila Mar√≠a Teresa Reyna Lucero</t>
  </si>
  <si>
    <t>bde-la-torre@hotmail.com</t>
  </si>
  <si>
    <t>8d5984e4-42c5-40ea-a6b1-0829494656fe</t>
  </si>
  <si>
    <t>Mar√≠a Luisa Cardenas Montemayor</t>
  </si>
  <si>
    <t>rgarza@castellanos-cedillo.net</t>
  </si>
  <si>
    <t>d337811c-59ff-494c-9e71-77b6282c296c</t>
  </si>
  <si>
    <t>Iv√°n Amaya</t>
  </si>
  <si>
    <t>leticiajurado@yahoo.com</t>
  </si>
  <si>
    <t>f055f3a8-2041-4c8b-a2df-fc620ea22103</t>
  </si>
  <si>
    <t>Julia Dulce Mar√≠a Rodarte Dur√°n</t>
  </si>
  <si>
    <t>ilsebriseno@proyectos.com</t>
  </si>
  <si>
    <t>b2d5a4a0-38d6-4f4e-beee-12c24b103604</t>
  </si>
  <si>
    <t>M√≥nica Cristal Chac√≥n Candelaria</t>
  </si>
  <si>
    <t>sierravictoria@yahoo.com</t>
  </si>
  <si>
    <t>838f9377-c59f-4f9a-a769-8126696776e4</t>
  </si>
  <si>
    <t>Hilda Soto Serna</t>
  </si>
  <si>
    <t>eric39@gmail.com</t>
  </si>
  <si>
    <t>6658ba19-5ccb-4206-84b8-fcfc241901bd</t>
  </si>
  <si>
    <t>Laura Vaca Madera</t>
  </si>
  <si>
    <t>gfranco@grupo.com</t>
  </si>
  <si>
    <t>0cf77e4b-7fd3-4462-8680-6cbd693e9c0f</t>
  </si>
  <si>
    <t>Graciela Merino</t>
  </si>
  <si>
    <t>hernan45@yahoo.com</t>
  </si>
  <si>
    <t>c744e13d-7463-4060-ba2d-cdabdb1c3b2d</t>
  </si>
  <si>
    <t>√örsula Cristian Ledesma Lara</t>
  </si>
  <si>
    <t>aholguin@industrias.com</t>
  </si>
  <si>
    <t>db925419-778f-4d29-963a-7f15f6e37629</t>
  </si>
  <si>
    <t>Abel Toro</t>
  </si>
  <si>
    <t>sramos@hotmail.com</t>
  </si>
  <si>
    <t>a7ec5218-20b5-4ecf-b899-d9c26fa6614c</t>
  </si>
  <si>
    <t>Lic. Berta Cort√©s</t>
  </si>
  <si>
    <t>malaveleonor@hotmail.com</t>
  </si>
  <si>
    <t>bedb2d59-276e-4a43-a057-2331a8689f9f</t>
  </si>
  <si>
    <t>Gregorio Cristal Amaya Zelaya</t>
  </si>
  <si>
    <t>oliviamaestas@club.biz</t>
  </si>
  <si>
    <t>f4ecf59b-ae01-485b-a05f-b80aa788d151</t>
  </si>
  <si>
    <t>Isabel Maya</t>
  </si>
  <si>
    <t>tozuna@yahoo.com</t>
  </si>
  <si>
    <t>e8070b1a-de24-4296-b9ca-c4d62784eb47</t>
  </si>
  <si>
    <t>Lic. Ana Luisa Montalvo</t>
  </si>
  <si>
    <t>pedrobaeza@caban.com</t>
  </si>
  <si>
    <t>0a48305d-5c9c-4afa-9ee6-8e31efd58718</t>
  </si>
  <si>
    <t>Linda Tom√°s Cuellar</t>
  </si>
  <si>
    <t>guerrahernan@hotmail.com</t>
  </si>
  <si>
    <t>4181125d-2bd6-43ef-b4f7-d88b503ebcc9</t>
  </si>
  <si>
    <t>Elias Carmen T√©llez</t>
  </si>
  <si>
    <t>teresaaguirre@despacho.com</t>
  </si>
  <si>
    <t>6563276b-f905-470d-b64b-37b07114a824</t>
  </si>
  <si>
    <t>Espartaco Esperanza Armenta Gait√°n</t>
  </si>
  <si>
    <t>escobedoilse@proyectos.biz</t>
  </si>
  <si>
    <t>3ee7965a-242b-453a-bf95-82e9c7bb26d1</t>
  </si>
  <si>
    <t>Elvia Mariano Rend√≥n Coronado</t>
  </si>
  <si>
    <t>cabannayeli@despacho.org</t>
  </si>
  <si>
    <t>4d127c49-b5bc-4cbb-a0a0-ccd12275f405</t>
  </si>
  <si>
    <t>Lic. Carlota Ontiveros</t>
  </si>
  <si>
    <t>francisco-javierzamudio@gmail.com</t>
  </si>
  <si>
    <t>19a6e9f7-0a45-4879-ab17-df6979e1e612</t>
  </si>
  <si>
    <t>Jos√© Carlos Rojo P√°ez</t>
  </si>
  <si>
    <t>beatriz73@yahoo.com</t>
  </si>
  <si>
    <t>6f429ee1-fdee-4a46-88b6-217e010bf7ca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</si>
  <si>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</si>
  <si>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</si>
  <si>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</si>
  <si>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</si>
  <si>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</si>
  <si>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</si>
  <si>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Tania Soto Nieves</t>
  </si>
  <si>
    <t>jeronimovigil@hotmail.com</t>
  </si>
  <si>
    <t>af87cfff-afb0-4f85-888d-e5db29ae4766</t>
  </si>
  <si>
    <t>Jon√°s Osorio</t>
  </si>
  <si>
    <t>josefina80@hotmail.com</t>
  </si>
  <si>
    <t>7bfb5106-b10b-44e9-8093-4df0ba80e372</t>
  </si>
  <si>
    <t>Alma Leonel Morales Anguiano</t>
  </si>
  <si>
    <t>de-la-cruzisabel@grupo.com</t>
  </si>
  <si>
    <t>3f395849-b4c1-4e2b-9b2f-e88f10b94e05</t>
  </si>
  <si>
    <t>Jes√∫s Burgos Ballesteros</t>
  </si>
  <si>
    <t>yeni67@hotmail.com</t>
  </si>
  <si>
    <t>117eebda-32b4-42cc-95e1-dc2c259fffa6</t>
  </si>
  <si>
    <t>Elena Delgado Men√©ndez</t>
  </si>
  <si>
    <t>cristianbrito@gmail.com</t>
  </si>
  <si>
    <t>8ad2a9d2-c3c0-4b9e-8d31-bc798c2a566c</t>
  </si>
  <si>
    <t>Lic. Vanesa Enr√≠quez</t>
  </si>
  <si>
    <t>kponce@yahoo.com</t>
  </si>
  <si>
    <t>c039c16a-b7e7-4616-8b5d-dbc120a30d24</t>
  </si>
  <si>
    <t>Ing. Marcela Linares</t>
  </si>
  <si>
    <t>noriegasara@uribe.com</t>
  </si>
  <si>
    <t>294b26f6-bf81-4c20-9d69-4b0d99e6fdc0</t>
  </si>
  <si>
    <t>Mario Gilberto T√≥rrez</t>
  </si>
  <si>
    <t>zeferinomadera@ramos.org</t>
  </si>
  <si>
    <t>bea55d48-ca8e-4a5e-81da-22d3ae44e9a0</t>
  </si>
  <si>
    <t>Jes√∫s Carre√≥n</t>
  </si>
  <si>
    <t>victorialeal@hotmail.com</t>
  </si>
  <si>
    <t>dc08f2b8-94f2-4889-8156-0e3c3724d0ff</t>
  </si>
  <si>
    <t>Sr(a). Juana Negrete</t>
  </si>
  <si>
    <t>arandateresa@frias-santillan.com</t>
  </si>
  <si>
    <t>93708c46-9f11-459e-baaa-d1222d691d65</t>
  </si>
  <si>
    <t>Mtro. Abelardo R√≠os</t>
  </si>
  <si>
    <t>jaquelinecaban@muniz.info</t>
  </si>
  <si>
    <t>99b0e8dd-7174-4559-a628-143ef6d46608</t>
  </si>
  <si>
    <t>C√©sar Jim√≠nez</t>
  </si>
  <si>
    <t>albertourena@yahoo.com</t>
  </si>
  <si>
    <t>5b96a097-c481-4d3e-86e5-63c57b646a68</t>
  </si>
  <si>
    <t>Ana Mar√≠a Hidalgo Razo</t>
  </si>
  <si>
    <t>gustavoozuna@yahoo.com</t>
  </si>
  <si>
    <t>1c9a7d40-c4aa-47ee-b862-881e78aebdcd</t>
  </si>
  <si>
    <t>Guillermina Ba√±uelos Varela</t>
  </si>
  <si>
    <t>lucasirizarry@corporacin.com</t>
  </si>
  <si>
    <t>b87357bf-0adf-494c-9fb2-d5fb5810088e</t>
  </si>
  <si>
    <t>Maximiliano Puga</t>
  </si>
  <si>
    <t>ilongoria@gmail.com</t>
  </si>
  <si>
    <t>89989cae-b728-4235-9a32-5fbf288f2094</t>
  </si>
  <si>
    <t>Sr(a). Juana Rangel</t>
  </si>
  <si>
    <t>salvador03@gmail.com</t>
  </si>
  <si>
    <t>165472a7-d6ca-4fd8-9f05-0a98ddac11f5</t>
  </si>
  <si>
    <t>Eugenio Lourdes Portillo Olvera</t>
  </si>
  <si>
    <t>marinlourdes@rangel.com</t>
  </si>
  <si>
    <t>6a4f1549-65b1-4c76-9fc9-eb216605d11b</t>
  </si>
  <si>
    <t>Dalia Mar√≠a Cristina Robledo Escobar</t>
  </si>
  <si>
    <t>galvancamilo@santana-farias.com</t>
  </si>
  <si>
    <t>41cf07f1-c8b8-4719-8e87-4c6a66e4a90e</t>
  </si>
  <si>
    <t>Emiliano Liliana Olivares Ba√±uelos</t>
  </si>
  <si>
    <t>eugenio20@yahoo.com</t>
  </si>
  <si>
    <t>5118c46e-3697-423d-b0f6-bcb15c09e38d</t>
  </si>
  <si>
    <t>Sr(a). Camilo Partida</t>
  </si>
  <si>
    <t>alfredocastro@oquendo.com</t>
  </si>
  <si>
    <t>c2384374-01f4-4848-97cd-a1327649abfe</t>
  </si>
  <si>
    <t>Cristina Esteban Quintero</t>
  </si>
  <si>
    <t>francisca45@espinal.com</t>
  </si>
  <si>
    <t>fa85138f-7fb2-499a-acc2-02957ef92673</t>
  </si>
  <si>
    <t>Luis Camila Guardado</t>
  </si>
  <si>
    <t>deborallamas@hotmail.com</t>
  </si>
  <si>
    <t>dca19bf4-3f5f-484c-bfdb-75c9ded28858</t>
  </si>
  <si>
    <t>Juan Carlos Teresa Gir√≥n Sosa</t>
  </si>
  <si>
    <t>reynaldo69@gmail.com</t>
  </si>
  <si>
    <t>c52c3f64-0bf6-4119-ab4d-0c0c46049424</t>
  </si>
  <si>
    <t>Mtro. Alberto Calvillo</t>
  </si>
  <si>
    <t>carvajalesmeralda@gmail.com</t>
  </si>
  <si>
    <t>ac1d0457-8737-4d32-adc3-08dc6711b75b</t>
  </si>
  <si>
    <t>Clara Echeverr√≠a</t>
  </si>
  <si>
    <t>jluevano@grupo.org</t>
  </si>
  <si>
    <t>d6c6c3cb-6cf5-40a9-b8d5-65640f8dab1c</t>
  </si>
  <si>
    <t>Hermelinda Mota</t>
  </si>
  <si>
    <t>quirozjose-maria@valdivia.biz</t>
  </si>
  <si>
    <t>46378c72-4067-4729-b1e5-3d39203ab930</t>
  </si>
  <si>
    <t>Patricia Santana</t>
  </si>
  <si>
    <t>lilianatamayo@proyectos.info</t>
  </si>
  <si>
    <t>4f50dcb6-7cbd-478c-baf6-9689eb8eab31</t>
  </si>
  <si>
    <t>1/10/2024</t>
  </si>
  <si>
    <t>Alfredo Lerma</t>
  </si>
  <si>
    <t>gironabelardo@gmail.com</t>
  </si>
  <si>
    <t>c757a287-6f17-4368-b595-ae2d6879f392</t>
  </si>
  <si>
    <t>Patricio Abigail Meza</t>
  </si>
  <si>
    <t>ocasiofrancisco-javier@yahoo.com</t>
  </si>
  <si>
    <t>8a373805-0041-447e-8540-70bded3c26c5</t>
  </si>
  <si>
    <t>Wilfrido Mariana Rivero Mart√≠nez</t>
  </si>
  <si>
    <t>darioquintero@grupo.biz</t>
  </si>
  <si>
    <t>efd76242-e0b5-4aca-8c44-84ce7f553f97</t>
  </si>
  <si>
    <t>Leticia Luevano Mayorga</t>
  </si>
  <si>
    <t>orascon@corporacin.com</t>
  </si>
  <si>
    <t>f0548b33-86eb-4b3f-a1f4-cef9f9f11955</t>
  </si>
  <si>
    <t>√ìscar Ulloa Valdivia</t>
  </si>
  <si>
    <t>alvaro06@yahoo.com</t>
  </si>
  <si>
    <t>5150f58c-f863-4f35-bdd4-d6cfc1a1ef10</t>
  </si>
  <si>
    <t>Estefan√≠a Modesto Lebr√≥n Figueroa</t>
  </si>
  <si>
    <t>mauriciogarcia@gmail.com</t>
  </si>
  <si>
    <t>13dacdaa-eb35-4a33-acaf-5c98625d9304</t>
  </si>
  <si>
    <t>Socorro Arcelia Alejandro</t>
  </si>
  <si>
    <t>nazarioandrea@hotmail.com</t>
  </si>
  <si>
    <t>892ddf8c-3dff-4e70-bc34-fe5c8d39a78f</t>
  </si>
  <si>
    <t>V√≠ctor Jaramillo</t>
  </si>
  <si>
    <t>vallejogustavo@despacho.net</t>
  </si>
  <si>
    <t>cb4fece9-bf8f-4e7d-8218-b9d826729e46</t>
  </si>
  <si>
    <t>Julia N√°jera</t>
  </si>
  <si>
    <t>santillancamila@hotmail.com</t>
  </si>
  <si>
    <t>7a847fe9-f974-4d38-9d3a-114f4c95ca6c</t>
  </si>
  <si>
    <t>Dr. Ram√≥n Reyes</t>
  </si>
  <si>
    <t>hilda07@gmail.com</t>
  </si>
  <si>
    <t>26797519-98dd-42f4-8c83-b6e7fadde63a</t>
  </si>
  <si>
    <t>Lic. Carmen Brito</t>
  </si>
  <si>
    <t>estefania59@club.com</t>
  </si>
  <si>
    <t>d035d687-44b0-4ce5-a8c5-2c6ad05a14b6</t>
  </si>
  <si>
    <t>Jos Bernab√© Osorio</t>
  </si>
  <si>
    <t>abrilluna@yahoo.com</t>
  </si>
  <si>
    <t>61f84332-1ec2-4e0d-a005-9d6532dfe8b6</t>
  </si>
  <si>
    <t>Sara Jorge Alvarez</t>
  </si>
  <si>
    <t>micaela56@corporacin.com</t>
  </si>
  <si>
    <t>74aa1913-0ff5-4bb1-b6ab-0793b04293d5</t>
  </si>
  <si>
    <t>Mar√≠a Renato Ochoa Aguilera</t>
  </si>
  <si>
    <t>pde-jesus@yahoo.com</t>
  </si>
  <si>
    <t>aeae3ab8-cc1b-48bb-8dc8-c1ece4d21277</t>
  </si>
  <si>
    <t>Elvia Pulido Brito</t>
  </si>
  <si>
    <t>oscar45@tovar.info</t>
  </si>
  <si>
    <t>261825fa-a4ad-4a21-a7ab-e2b644eaa67a</t>
  </si>
  <si>
    <t>Miguel Granados Oquendo</t>
  </si>
  <si>
    <t>raquelzamudio@corporacin.org</t>
  </si>
  <si>
    <t>3cad7de1-68ae-4cc7-b586-20c1f7e16a6f</t>
  </si>
  <si>
    <t>Rub√©n Cecilia Zarate</t>
  </si>
  <si>
    <t>vcarreon@industrias.net</t>
  </si>
  <si>
    <t>9376962f-fb7b-4390-9eee-6e8d5c685697</t>
  </si>
  <si>
    <t>Amanda Jos√© Eduardo Rol√≥n</t>
  </si>
  <si>
    <t>ochoaasuncion@gmail.com</t>
  </si>
  <si>
    <t>a73cd6f4-c471-4e0a-9570-af0860e0c5d1</t>
  </si>
  <si>
    <t>Espartaco Godoy Fuentes</t>
  </si>
  <si>
    <t>natividad96@toro.biz</t>
  </si>
  <si>
    <t>ec823a46-e1bb-48d2-a563-9abba872b426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</si>
  <si>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</si>
  <si>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</si>
  <si>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</si>
  <si>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</si>
  <si>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</si>
  <si>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</si>
  <si>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Jon√°s Corrales</t>
  </si>
  <si>
    <t>whuerta@cornejo.com</t>
  </si>
  <si>
    <t>5deb41b9-32d8-431b-91ea-ba2fc94ad0f0</t>
  </si>
  <si>
    <t>Alicia Barela</t>
  </si>
  <si>
    <t>rosascristina@club.com</t>
  </si>
  <si>
    <t>dcdc9582-af1b-48f9-9862-62eff619038d</t>
  </si>
  <si>
    <t>Dr. C√©sar Portillo</t>
  </si>
  <si>
    <t>ireneberrios@torres.biz</t>
  </si>
  <si>
    <t>20632308-0231-4070-97bf-4fc82c188f74</t>
  </si>
  <si>
    <t>Mar√≠a Gonz√°lez</t>
  </si>
  <si>
    <t>zoeguevara@hotmail.com</t>
  </si>
  <si>
    <t>3820b6cc-8345-41e5-85aa-bd7f843a64c7</t>
  </si>
  <si>
    <t>Mitzy Fidel Aguirre Barrag√°n</t>
  </si>
  <si>
    <t>bmatos@hotmail.com</t>
  </si>
  <si>
    <t>32258448-6b2d-4224-a41c-d14a47992b1d</t>
  </si>
  <si>
    <t>Josefina Zarate</t>
  </si>
  <si>
    <t>rosaliabatista@hurtado.com</t>
  </si>
  <si>
    <t>0db62a2e-44b2-4c21-8063-f5b1546b6955</t>
  </si>
  <si>
    <t>Gloria Cab√°n Santana</t>
  </si>
  <si>
    <t>alejandra48@yahoo.com</t>
  </si>
  <si>
    <t>9183f20d-2692-4cfd-9433-54c64739a537</t>
  </si>
  <si>
    <t>Micaela Zavala Borrego</t>
  </si>
  <si>
    <t>gcalvillo@gmail.com</t>
  </si>
  <si>
    <t>5d97fe11-f95b-42c8-8f10-ab98a05aedf1</t>
  </si>
  <si>
    <t>Yolanda Elisa de la Garza</t>
  </si>
  <si>
    <t>rodrigo57@centeno-meza.org</t>
  </si>
  <si>
    <t>63bf917d-0951-46b0-8ecc-bca9b657690f</t>
  </si>
  <si>
    <t>Emiliano Ofelia Luevano</t>
  </si>
  <si>
    <t>almonteadriana@chapa-grijalva.biz</t>
  </si>
  <si>
    <t>627df819-fafe-490b-ae7e-587db323ca23</t>
  </si>
  <si>
    <t>Dr. Juan Aranda</t>
  </si>
  <si>
    <t>angelavalenzuela@hotmail.com</t>
  </si>
  <si>
    <t>8d289647-c833-4bdd-9d10-71a2f5a73822</t>
  </si>
  <si>
    <t>Wilfrido Daniela Alonso Gayt√°n</t>
  </si>
  <si>
    <t>norma09@hotmail.com</t>
  </si>
  <si>
    <t>63edf886-6d4d-489d-a1a2-e321304707b2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</si>
  <si>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</si>
  <si>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</si>
  <si>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</si>
  <si>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</si>
  <si>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</si>
  <si>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</si>
  <si>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Mar√≠a Teresa Citlali Negrete</t>
  </si>
  <si>
    <t>nayeli04@villagomez-salcido.com</t>
  </si>
  <si>
    <t>f6d11075-7912-4e6a-b081-b8502c35c2e8</t>
  </si>
  <si>
    <t>Cristian God√≠nez</t>
  </si>
  <si>
    <t>jruelas@hotmail.com</t>
  </si>
  <si>
    <t>9c256de2-6001-4873-beef-336a82436867</t>
  </si>
  <si>
    <t>Alejandro Aida Esquibel Candelaria</t>
  </si>
  <si>
    <t>cornelio81@hotmail.com</t>
  </si>
  <si>
    <t>a684008b-46bc-446c-9f1d-5210c524215e</t>
  </si>
  <si>
    <t>Luz Eduardo Villegas Le√≥n</t>
  </si>
  <si>
    <t>wmontoya@yahoo.com</t>
  </si>
  <si>
    <t>9e5f6867-749d-4b5b-97ef-2330c2558d3d</t>
  </si>
  <si>
    <t>Alejandra Marco Antonio Salas Contreras</t>
  </si>
  <si>
    <t>abelurrutia@grupo.com</t>
  </si>
  <si>
    <t>200bbda1-4911-48eb-b2f0-a013eecdf376</t>
  </si>
  <si>
    <t>Delia Jacinto Quintanilla Olvera</t>
  </si>
  <si>
    <t>jorge11@yahoo.com</t>
  </si>
  <si>
    <t>4f7b91d2-aac8-4620-9241-12ffa5035fae</t>
  </si>
  <si>
    <t>Eugenio Marcos Lara</t>
  </si>
  <si>
    <t>guadalupe65@cervantez.info</t>
  </si>
  <si>
    <t>1f9cafc0-71e6-4941-89cd-cd0654b8509f</t>
  </si>
  <si>
    <t>Isaac Ignacio Ben√≠tez</t>
  </si>
  <si>
    <t>nicolas25@gmail.com</t>
  </si>
  <si>
    <t>e2aaad5e-d941-478c-b128-021e21417ee5</t>
  </si>
  <si>
    <t>Lic. Leonel Orosco</t>
  </si>
  <si>
    <t>dponce@verdugo.info</t>
  </si>
  <si>
    <t>972dd545-20a8-49a2-be8a-93f570eba58b</t>
  </si>
  <si>
    <t>Carlos Esteban Nieves Zarate</t>
  </si>
  <si>
    <t>enriqueaguirre@tamayo-roldan.com</t>
  </si>
  <si>
    <t>748ca89e-cc7c-4b74-9211-5c7153943bea</t>
  </si>
  <si>
    <t>Dalia Cornelio Trevi√±o de la O</t>
  </si>
  <si>
    <t>rvillanueva@gmail.com</t>
  </si>
  <si>
    <t>86e77ae0-7bda-40b1-a21d-bd010a7db5de</t>
  </si>
  <si>
    <t>Rolando Guti√©rrez Barrera</t>
  </si>
  <si>
    <t>perezvictoria@barela.com</t>
  </si>
  <si>
    <t>619f05ab-6826-42c6-a241-6073b5679aad</t>
  </si>
  <si>
    <t>Hern√°n Anguiano</t>
  </si>
  <si>
    <t>adriana27@hotmail.com</t>
  </si>
  <si>
    <t>6b47665a-5972-4a11-a9e7-d42e56cf42a4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</si>
  <si>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</si>
  <si>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</si>
  <si>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</si>
  <si>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</si>
  <si>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</si>
  <si>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</si>
  <si>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Georgina Arenas</t>
  </si>
  <si>
    <t>vmadrigal@bravo.com</t>
  </si>
  <si>
    <t>60fe9134-df81-46f3-ad0a-16da706fecac</t>
  </si>
  <si>
    <t>Ing. Ilse Ocasio</t>
  </si>
  <si>
    <t>abel08@laboratorios.com</t>
  </si>
  <si>
    <t>9fa9acba-1ca0-43da-be32-3ee4f9804f9e</t>
  </si>
  <si>
    <t>Antonia Borrego</t>
  </si>
  <si>
    <t>bcotto@hotmail.com</t>
  </si>
  <si>
    <t>9569ccbc-bd8e-4611-8386-71eeb9e0963f</t>
  </si>
  <si>
    <t>Jos√© Manu√©l Indira Ledesma Trevi√±o</t>
  </si>
  <si>
    <t>raquelyanez@hotmail.com</t>
  </si>
  <si>
    <t>b17b1651-8264-42dd-ac16-7674416db2f4</t>
  </si>
  <si>
    <t>Itzel Puente T√©llez</t>
  </si>
  <si>
    <t>emontalvo@angulo.info</t>
  </si>
  <si>
    <t>e1d56019-1e10-4a1a-9dff-bff7048987d6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</si>
  <si>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</si>
  <si>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</si>
  <si>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</si>
  <si>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</si>
  <si>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</si>
  <si>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</si>
  <si>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Ing. Mitzy Ord√≥√±ez</t>
  </si>
  <si>
    <t>urielojeda@fierro-cordero.com</t>
  </si>
  <si>
    <t>d0cc2a3f-64b1-4463-bad8-280dbaa0e01e</t>
  </si>
  <si>
    <t>Yolanda Joaqu√≠n Barela M√©ndez</t>
  </si>
  <si>
    <t>amandabarela@gmail.com</t>
  </si>
  <si>
    <t>d8cce44d-2d8e-494b-b543-022a5aa32bef</t>
  </si>
  <si>
    <t>Ivonne In√©s Solorzano</t>
  </si>
  <si>
    <t>alcantarconcepcion@yahoo.com</t>
  </si>
  <si>
    <t>a9080111-fd89-4e06-96e1-327168122bd3</t>
  </si>
  <si>
    <t>Ing. Anabel Carre√≥n</t>
  </si>
  <si>
    <t>moraclara@hotmail.com</t>
  </si>
  <si>
    <t>700aef49-fe52-4fd6-8401-bbfa8ba48024</t>
  </si>
  <si>
    <t>Mtro. Rafa√©l N√°jera</t>
  </si>
  <si>
    <t>fernando51@yahoo.com</t>
  </si>
  <si>
    <t>7594ffab-c88c-40b4-b851-6897e6230fb0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</si>
  <si>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</si>
  <si>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</si>
  <si>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</si>
  <si>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</si>
  <si>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</si>
  <si>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</si>
  <si>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</si>
  <si>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</si>
  <si>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</si>
  <si>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Sr(a). Magdalena Bustamante</t>
  </si>
  <si>
    <t>jose-eduardo38@hotmail.com</t>
  </si>
  <si>
    <t>9fd5d30c-2b67-444a-b0bd-e6ce0c2a3c03</t>
  </si>
  <si>
    <t>Dr. Jos√© Eduardo Moreno</t>
  </si>
  <si>
    <t>pbarrera@gmail.com</t>
  </si>
  <si>
    <t>017b54f8-9568-458c-be6a-2127e15e3349</t>
  </si>
  <si>
    <t>Estela Zamora T√©llez</t>
  </si>
  <si>
    <t>luisaquintanilla@regalado-tejeda.com</t>
  </si>
  <si>
    <t>8ce73f48-2cc5-4586-974b-db612bc9d6ae</t>
  </si>
  <si>
    <t>Mayte Muro</t>
  </si>
  <si>
    <t>florencia21@hotmail.com</t>
  </si>
  <si>
    <t>69e33745-af53-42a9-8a08-ab9b741268f8</t>
  </si>
  <si>
    <t>Diego Abigail Henr√≠quez</t>
  </si>
  <si>
    <t>archuletafrancisca@gmail.com</t>
  </si>
  <si>
    <t>1a445c40-669c-4d48-9f7e-e41b2c6006d6</t>
  </si>
  <si>
    <t>Uriel Abel Rivero Vargas</t>
  </si>
  <si>
    <t>mariasevilla@caldera-valdivia.com</t>
  </si>
  <si>
    <t>b5d71709-4790-49a2-b5ad-435f7ed9b979</t>
  </si>
  <si>
    <t>Vanesa Jos√© Santana</t>
  </si>
  <si>
    <t>javierraya@hotmail.com</t>
  </si>
  <si>
    <t>165c0023-40a6-48a9-847c-8e2378c194fd</t>
  </si>
  <si>
    <t>Mar√≠a Cristina Amelia Rosario Trujillo</t>
  </si>
  <si>
    <t>fjasso@hotmail.com</t>
  </si>
  <si>
    <t>4b28f4e5-d521-4d6e-94a1-2e2d06559b71</t>
  </si>
  <si>
    <t>Mtro. Miriam Rosales</t>
  </si>
  <si>
    <t>carbajalalma@gmail.com</t>
  </si>
  <si>
    <t>2fe40e73-e64d-4041-8cab-8d5839371f3e</t>
  </si>
  <si>
    <t>2/11/2024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</si>
  <si>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</si>
  <si>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</si>
  <si>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</si>
  <si>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</si>
  <si>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</si>
  <si>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</si>
  <si>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Mtro. √örsula Palacios</t>
  </si>
  <si>
    <t>violetaorta@hotmail.com</t>
  </si>
  <si>
    <t>8d755bac-229c-4065-93f5-cba971acb014</t>
  </si>
  <si>
    <t>Mtro. Flavio Ter√°n</t>
  </si>
  <si>
    <t>merinovicente@hotmail.com</t>
  </si>
  <si>
    <t>59db14ef-c72f-4719-807c-e681756eb5ee</t>
  </si>
  <si>
    <t>Conchita Barrientos Olvera</t>
  </si>
  <si>
    <t>elvira67@grijalva.com</t>
  </si>
  <si>
    <t>03e2d336-f9ca-4b38-a731-4fc42de09dfd</t>
  </si>
  <si>
    <t>Humberto Benavides</t>
  </si>
  <si>
    <t>zacarias94@padron-holguin.com</t>
  </si>
  <si>
    <t>4473f6a9-94d1-4880-bb1c-9090765954e5</t>
  </si>
  <si>
    <t>Clemente Lucas de la Cr√∫z Fl√≥rez</t>
  </si>
  <si>
    <t>miriam03@laboratorios.com</t>
  </si>
  <si>
    <t>306238f0-70d8-49c3-bc3f-5c9df03698bf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</si>
  <si>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</si>
  <si>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</si>
  <si>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</si>
  <si>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</si>
  <si>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</si>
  <si>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</si>
  <si>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Ramiro Adriana Botello</t>
  </si>
  <si>
    <t>wgarica@industrias.info</t>
  </si>
  <si>
    <t>0fcf615c-8bf9-42ad-9b7b-8c8dfce43c46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</si>
  <si>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</si>
  <si>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</si>
  <si>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</si>
  <si>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</si>
  <si>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</si>
  <si>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</si>
  <si>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</si>
  <si>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</si>
  <si>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</si>
  <si>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Lorenzo Zaragoza Ni√±o</t>
  </si>
  <si>
    <t>yeni63@gmail.com</t>
  </si>
  <si>
    <t>afbe8b22-f099-435c-a4a9-2882252b6103</t>
  </si>
  <si>
    <t>Lic. Estela Vanegas</t>
  </si>
  <si>
    <t>asuncionespino@gmail.com</t>
  </si>
  <si>
    <t>24f20540-a81a-4ad1-acf0-df3af36dae7d</t>
  </si>
  <si>
    <t>Asunci√≥n Badillo</t>
  </si>
  <si>
    <t>carlota45@yahoo.com</t>
  </si>
  <si>
    <t>a279348c-c747-4e18-b056-f066a8c54d22</t>
  </si>
  <si>
    <t>Lic. Ignacio Corrales</t>
  </si>
  <si>
    <t>veronicagaona@yahoo.com</t>
  </si>
  <si>
    <t>68461278-65b9-41b1-b4b7-f73c4451f4cf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</si>
  <si>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</si>
  <si>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</si>
  <si>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</si>
  <si>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</si>
  <si>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</si>
  <si>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</si>
  <si>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√Ångela Homero Bravo</t>
  </si>
  <si>
    <t>cruzhoracio@yahoo.com</t>
  </si>
  <si>
    <t>7a1fbf36-eb1f-47d5-9a36-263dd8af1257</t>
  </si>
  <si>
    <t>Roberto Alem√°n Duarte</t>
  </si>
  <si>
    <t>gabriela38@gmail.com</t>
  </si>
  <si>
    <t>a9af6b62-1d3a-42df-99e5-230a527f9cf6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</si>
  <si>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</si>
  <si>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</si>
  <si>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</si>
  <si>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</si>
  <si>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</si>
  <si>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</si>
  <si>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Hilda Corrales Ram√≥n</t>
  </si>
  <si>
    <t>aldomarrero@hotmail.com</t>
  </si>
  <si>
    <t>582a5e26-8066-4160-aeff-a40ad4fe52e2</t>
  </si>
  <si>
    <t>Esther Casares</t>
  </si>
  <si>
    <t>qvilla@gmail.com</t>
  </si>
  <si>
    <t>2a51a5bd-6af1-4306-8be1-f8bb0f7106d3</t>
  </si>
  <si>
    <t>Olga Fr√≠as Paz</t>
  </si>
  <si>
    <t>maytezamudio@hotmail.com</t>
  </si>
  <si>
    <t>e4cf76ae-abd2-47d4-a0b7-6238612481ae</t>
  </si>
  <si>
    <t>Pamela Magdalena Pantoja Sisneros</t>
  </si>
  <si>
    <t>vanesa92@gmail.com</t>
  </si>
  <si>
    <t>8ade79e6-11e9-4fba-b189-eb3b62f4cbd6</t>
  </si>
  <si>
    <t>Natividad Balderas</t>
  </si>
  <si>
    <t>socorroarmenta@hotmail.com</t>
  </si>
  <si>
    <t>33abf96f-5053-40a9-926d-c62cf710d5d7</t>
  </si>
  <si>
    <t>D√©bora Alberto de Jes√∫s Rodr√≠guez</t>
  </si>
  <si>
    <t>josefinabueno@despacho.com</t>
  </si>
  <si>
    <t>bdb0c3e4-d084-49a5-a6b4-ba900b20e2ae</t>
  </si>
  <si>
    <t>√ìscar Cadena Valle</t>
  </si>
  <si>
    <t>corneliohidalgo@hotmail.com</t>
  </si>
  <si>
    <t>dffbee9b-2a20-4916-9f32-44754d3fae5d</t>
  </si>
  <si>
    <t>Olga Castillo Longoria</t>
  </si>
  <si>
    <t>cejaantonio@gmail.com</t>
  </si>
  <si>
    <t>8d1f42be-4310-48c3-951b-e030b1423297</t>
  </si>
  <si>
    <t>Clemente Omar Olivo</t>
  </si>
  <si>
    <t>corralrolando@yahoo.com</t>
  </si>
  <si>
    <t>1d820555-0e65-4a21-b58e-10930e326e7b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</si>
  <si>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</si>
  <si>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</si>
  <si>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</si>
  <si>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</si>
  <si>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</si>
  <si>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</si>
  <si>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Eric Joaqu√≠n Navarrete</t>
  </si>
  <si>
    <t>emiliano90@zayas-valentin.com</t>
  </si>
  <si>
    <t>2cd50550-d603-41b2-a403-b06bf90f402c</t>
  </si>
  <si>
    <t>Jos√© Manu√©l Barrios</t>
  </si>
  <si>
    <t>pserrano@gmail.com</t>
  </si>
  <si>
    <t>b34e56ee-bab9-42ce-a5f4-4476f3368f27</t>
  </si>
  <si>
    <t>Blanca Acosta</t>
  </si>
  <si>
    <t>jimenezesmeralda@yahoo.com</t>
  </si>
  <si>
    <t>0fd63ae6-044a-43d2-a798-092f0a9ca3ab</t>
  </si>
  <si>
    <t>Alejandro Tom√°s Arellano</t>
  </si>
  <si>
    <t>cfajardo@ferrer-candelaria.net</t>
  </si>
  <si>
    <t>1abba075-8634-44a4-b6c5-0ea6c8708df0</t>
  </si>
  <si>
    <t>Ang√©lica Berta Alem√°n</t>
  </si>
  <si>
    <t>leonardo19@laboratorios.com</t>
  </si>
  <si>
    <t>214a4b85-cfb9-4315-8151-787c0f67ac19</t>
  </si>
  <si>
    <t>Mariano Cruz</t>
  </si>
  <si>
    <t>velasquezandres@laboratorios.com</t>
  </si>
  <si>
    <t>d28fd44c-05cd-4575-a1d4-081b8663b676</t>
  </si>
  <si>
    <t>Guadalupe Marisol Negr√≥n Cazares</t>
  </si>
  <si>
    <t>jacinto56@laboratorios.biz</t>
  </si>
  <si>
    <t>76bda0d9-e9f9-4356-9c98-ac7e6cc773af</t>
  </si>
  <si>
    <t>Cristobal Frida Lucero Chapa</t>
  </si>
  <si>
    <t>gregoriopuente@laboratorios.info</t>
  </si>
  <si>
    <t>1af3b08f-465e-4aef-884a-7fb512a724c1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</si>
  <si>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</si>
  <si>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</si>
  <si>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</si>
  <si>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</si>
  <si>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</si>
  <si>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</si>
  <si>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</si>
  <si>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</si>
  <si>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</si>
  <si>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</si>
  <si>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</si>
  <si>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</si>
  <si>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</si>
  <si>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</si>
  <si>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</si>
  <si>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</si>
  <si>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</si>
  <si>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</si>
  <si>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</si>
  <si>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</si>
  <si>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</si>
  <si>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Mtro. Perla Mel√©ndez</t>
  </si>
  <si>
    <t>renedominguez@osorio.com</t>
  </si>
  <si>
    <t>98d1bc59-ba9c-4923-b9cd-06d3c57ffe57</t>
  </si>
  <si>
    <t>Cristobal Renato Malave Mercado</t>
  </si>
  <si>
    <t>israel06@industrias.net</t>
  </si>
  <si>
    <t>c800eb85-be04-43c5-950c-4be1b628b942</t>
  </si>
  <si>
    <t>David Jos√© Luis Espinosa Alonso</t>
  </si>
  <si>
    <t>karlavillegas@urias.com</t>
  </si>
  <si>
    <t>fdba0744-ad19-42dc-a09e-8fc306cf7732</t>
  </si>
  <si>
    <t>Nayeli Abrego</t>
  </si>
  <si>
    <t>julio55@yahoo.com</t>
  </si>
  <si>
    <t>f6a4c26a-3865-4f58-99c7-07d8e2ca6da0</t>
  </si>
  <si>
    <t>Magdalena del R√≠o Covarrubias</t>
  </si>
  <si>
    <t>xramirez@laboratorios.com</t>
  </si>
  <si>
    <t>df30a4f3-dbd9-408b-aef6-130263821f4b</t>
  </si>
  <si>
    <t>Mauricio Horacio Mar√≠n</t>
  </si>
  <si>
    <t>lopezdiana@gmail.com</t>
  </si>
  <si>
    <t>d3e4b4f5-0e5d-46c7-a6d9-b15a09e90033</t>
  </si>
  <si>
    <t>Eric Amador Santiago</t>
  </si>
  <si>
    <t>barrazaclaudia@hotmail.com</t>
  </si>
  <si>
    <t>b07b2920-9fbe-4a2c-ab22-d232c3ad228c</t>
  </si>
  <si>
    <t>Dr. Salma de Anda</t>
  </si>
  <si>
    <t>amayajavier@gmail.com</t>
  </si>
  <si>
    <t>68c5e3c1-7b1b-43a7-acde-3a8ad2cd8bac</t>
  </si>
  <si>
    <t>Lorena Jacinto Lim√≥n</t>
  </si>
  <si>
    <t>rtejeda@pelayo.net</t>
  </si>
  <si>
    <t>60d79197-fd4c-4a31-a577-d7d861b32c67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</si>
  <si>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</si>
  <si>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</si>
  <si>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</si>
  <si>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</si>
  <si>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</si>
  <si>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</si>
  <si>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Judith Jos√© Mar√≠a Menchaca Nieves</t>
  </si>
  <si>
    <t>anabelgalarza@gmail.com</t>
  </si>
  <si>
    <t>bf0d8fdb-9d95-48a0-8ea7-0981d07129f1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</si>
  <si>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</si>
  <si>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</si>
  <si>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</si>
  <si>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</si>
  <si>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</si>
  <si>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</si>
  <si>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Amelia Baca</t>
  </si>
  <si>
    <t>seguralinda@gmail.com</t>
  </si>
  <si>
    <t>54181b0d-ea89-4121-a212-605c632d4222</t>
  </si>
  <si>
    <t>Nelly Vaca Santana</t>
  </si>
  <si>
    <t>lermaespartaco@yahoo.com</t>
  </si>
  <si>
    <t>38689b3f-5f78-4f2d-8f10-c3c9cd750a01</t>
  </si>
  <si>
    <t>Miguel √Ångel Alberto Tamayo</t>
  </si>
  <si>
    <t>mitzy72@gmail.com</t>
  </si>
  <si>
    <t>5e092005-bbaf-4295-9ccc-3c9493b48d04</t>
  </si>
  <si>
    <t>Sr(a). Luis Manuel Arriaga</t>
  </si>
  <si>
    <t>yenivaldes@quesada.com</t>
  </si>
  <si>
    <t>7fcd384b-a0e3-4e0f-a707-c4a8a1b4c112</t>
  </si>
  <si>
    <t>Dr. Adela Alcala</t>
  </si>
  <si>
    <t>ymayorga@gmail.com</t>
  </si>
  <si>
    <t>b402f6a3-5340-4177-a05b-5f6189a1ccf6</t>
  </si>
  <si>
    <t>Luisa Eugenio V√°squez Alem√°n</t>
  </si>
  <si>
    <t>xcamacho@gmail.com</t>
  </si>
  <si>
    <t>c1fae86b-bd50-4387-a36c-f6dd0feee517</t>
  </si>
  <si>
    <t>Jorge Luis Mar√≠a Calder√≥n Valdivia</t>
  </si>
  <si>
    <t>arceliagracia@ramos-carrillo.com</t>
  </si>
  <si>
    <t>590172c6-7ce0-48b6-82b2-7436a3631331</t>
  </si>
  <si>
    <t>Marcela Micaela de la Garza Alarc√≥n</t>
  </si>
  <si>
    <t>velazquezjos@gmail.com</t>
  </si>
  <si>
    <t>28276074-9e08-4dbc-9f92-a0e62c97932d</t>
  </si>
  <si>
    <t>Berta Aldonza Toro Colunga</t>
  </si>
  <si>
    <t>merazoliver@yahoo.com</t>
  </si>
  <si>
    <t>b159a2a3-ef00-43a9-86db-5aa4f2337f02</t>
  </si>
  <si>
    <t>Augusto Oswaldo Arce Guardado</t>
  </si>
  <si>
    <t>marcos44@yahoo.com</t>
  </si>
  <si>
    <t>b510688e-fa24-4654-b955-0b6adeee039e</t>
  </si>
  <si>
    <t>Andr√©s Brito</t>
  </si>
  <si>
    <t>concepcion07@hotmail.com</t>
  </si>
  <si>
    <t>a05c93ff-9a7b-4d33-9591-f2fbfbc01017</t>
  </si>
  <si>
    <t>Mariano Borrego</t>
  </si>
  <si>
    <t>galindoabelardo@hotmail.com</t>
  </si>
  <si>
    <t>45b0ad4b-932c-441b-b413-53565decfa94</t>
  </si>
  <si>
    <t>Mtro. Mar√≠a Luisa Benavides</t>
  </si>
  <si>
    <t>ana-maria86@laboratorios.biz</t>
  </si>
  <si>
    <t>445ea43e-bacc-4f11-b46f-c0f73b30a387</t>
  </si>
  <si>
    <t>Asunci√≥n Maximiliano Baca Ram√≠rez</t>
  </si>
  <si>
    <t>amayalucas@roque.biz</t>
  </si>
  <si>
    <t>6962b6a9-7e9b-4fc9-80fb-8d56c5243ad2</t>
  </si>
  <si>
    <t>Dr. Yolanda Miranda</t>
  </si>
  <si>
    <t>oswaldo20@proyectos.net</t>
  </si>
  <si>
    <t>8e55023b-2774-4015-86a2-780e882c0d87</t>
  </si>
  <si>
    <t>Alonso √örsula Ord√≥√±ez Quezada</t>
  </si>
  <si>
    <t>mendozarenato@gmail.com</t>
  </si>
  <si>
    <t>92474c1b-8e9f-4328-9dba-0478c7b8eff7</t>
  </si>
  <si>
    <t>Ana Perla Zavala Laboy</t>
  </si>
  <si>
    <t>benavidezgabino@hotmail.com</t>
  </si>
  <si>
    <t>972e7cf2-8e0a-43e6-a952-bbda3382870a</t>
  </si>
  <si>
    <t>Dr. Zo√© Alejandro</t>
  </si>
  <si>
    <t>psolorzano@proyectos.org</t>
  </si>
  <si>
    <t>43dd123c-830b-4e71-8f96-a6643feac4d9</t>
  </si>
  <si>
    <t>Dr. Pascual Bravo</t>
  </si>
  <si>
    <t>jacoboalcantar@bahena.info</t>
  </si>
  <si>
    <t>c04d55c7-13f0-4d59-820e-72c4f05b3e9a</t>
  </si>
  <si>
    <t>Alma Karina Mungu√≠a Paredes</t>
  </si>
  <si>
    <t>jaquelineontiveros@grupo.com</t>
  </si>
  <si>
    <t>770c656a-1e48-4e6d-8a82-6d225a04964e</t>
  </si>
  <si>
    <t>Maximiliano Omar Brito Vega</t>
  </si>
  <si>
    <t>julio50@hotmail.com</t>
  </si>
  <si>
    <t>99bc21fb-dcd1-48e4-be06-9bd0b762b73e</t>
  </si>
  <si>
    <t>Mar√≠a Cristina de la Cr√∫z</t>
  </si>
  <si>
    <t>marisela52@laboratorios.info</t>
  </si>
  <si>
    <t>5c8c2dfc-51fd-4224-a71e-92d06b2b0fa1</t>
  </si>
  <si>
    <t>Sr(a). David Preciado</t>
  </si>
  <si>
    <t>fheredia@amador.biz</t>
  </si>
  <si>
    <t>ef211983-e418-498f-bd94-b407618f19f2</t>
  </si>
  <si>
    <t xml:space="preserve">Tablet-Mini-4GB </t>
  </si>
  <si>
    <t>Jes√∫s Arce Valles</t>
  </si>
  <si>
    <t>cabanaraceli@despacho.org</t>
  </si>
  <si>
    <t>32d07aeb-5e62-4984-b015-b54c974f9568</t>
  </si>
  <si>
    <t>Vanesa Valverde Gaona</t>
  </si>
  <si>
    <t>rodriguezluis@corporacin.com</t>
  </si>
  <si>
    <t>57a6f553-cfd0-401a-ab8d-e08db3b7b54c</t>
  </si>
  <si>
    <t>Leonel Noelia Sol√≠s</t>
  </si>
  <si>
    <t>fviera@farias.info</t>
  </si>
  <si>
    <t>342d4b10-ea36-4f9d-a345-cbb571e1445f</t>
  </si>
  <si>
    <t>Porfirio Lorenzo Cordero</t>
  </si>
  <si>
    <t>pugasilvano@gmail.com</t>
  </si>
  <si>
    <t>6b289530-390b-4fbc-a2f2-7adff1dc65eb</t>
  </si>
  <si>
    <t>Pascual Gracia Robles</t>
  </si>
  <si>
    <t>teodorogarrido@barragan.biz</t>
  </si>
  <si>
    <t>1b8b26e6-8632-4b38-8f73-c6f0e70ccf60</t>
  </si>
  <si>
    <t>Bianca √Åvalos Cant√∫</t>
  </si>
  <si>
    <t>hborrego@hotmail.com</t>
  </si>
  <si>
    <t>46208692-578c-41c7-a7ca-6da2fc87ff43</t>
  </si>
  <si>
    <t>Espartaco Jos√© Eduardo Zayas</t>
  </si>
  <si>
    <t>bustosclemente@quinones-carreon.com</t>
  </si>
  <si>
    <t>d67ed293-5149-4284-baa6-032c288347c3</t>
  </si>
  <si>
    <t>Alma Mondrag√≥n Elizondo</t>
  </si>
  <si>
    <t>margarita66@hotmail.com</t>
  </si>
  <si>
    <t>a12e4ea3-c46c-4bfd-9028-7458aa0b25d1</t>
  </si>
  <si>
    <t>Dr. Aida Perales</t>
  </si>
  <si>
    <t>abrilbadillo@hotmail.com</t>
  </si>
  <si>
    <t>3bd772bc-8bbc-41a0-b2df-bdeee19f3595</t>
  </si>
  <si>
    <t>Jos√© Urrutia</t>
  </si>
  <si>
    <t>santiagorodriquez@despacho.com</t>
  </si>
  <si>
    <t>6150fdc0-97c3-4c8a-9865-22d23587632f</t>
  </si>
  <si>
    <t>Humberto Yeni Ceballos</t>
  </si>
  <si>
    <t>rgomez@gmail.com</t>
  </si>
  <si>
    <t>5532c3c2-1fd2-4b63-a93a-fe0891b55345</t>
  </si>
  <si>
    <t>Lorenzo Rafa√©l Morales Valles</t>
  </si>
  <si>
    <t>zoe02@yahoo.com</t>
  </si>
  <si>
    <t>346d7c42-eb45-461e-a667-5669781129fb</t>
  </si>
  <si>
    <t>Florencia Viera</t>
  </si>
  <si>
    <t>nataliamaestas@yahoo.com</t>
  </si>
  <si>
    <t>c18afb66-4e4c-4a10-8418-cc817467cd65</t>
  </si>
  <si>
    <t>Camila Arcelia Enr√≠quez Hinojosa</t>
  </si>
  <si>
    <t>ehernandez@nieto.com</t>
  </si>
  <si>
    <t>3f4e6744-9808-4bca-91b6-ef2b005468ab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</si>
  <si>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</si>
  <si>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</si>
  <si>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</si>
  <si>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</si>
  <si>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</si>
  <si>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</si>
  <si>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Nadia Canales N√∫√±ez</t>
  </si>
  <si>
    <t>miriam44@bravo.com</t>
  </si>
  <si>
    <t>0aaaf135-b356-4f2c-bdf2-f1df1f461081</t>
  </si>
  <si>
    <t>Soledad Yeni Gonzales</t>
  </si>
  <si>
    <t>marco-antonioverduzco@yahoo.com</t>
  </si>
  <si>
    <t>27424277-2200-4cc7-a0af-4c423a089f4b</t>
  </si>
  <si>
    <t>Samuel Esteban Caraballo Balderas</t>
  </si>
  <si>
    <t>eugeniocano@yahoo.com</t>
  </si>
  <si>
    <t>7262df37-0083-41ed-b686-43f93dc8ea21</t>
  </si>
  <si>
    <t>Rosalia Florencia Contreras</t>
  </si>
  <si>
    <t>olverapamela@yahoo.com</t>
  </si>
  <si>
    <t>54ac59d8-1eda-4373-bd55-691a4a1a13f9</t>
  </si>
  <si>
    <t>Eugenio Almonte</t>
  </si>
  <si>
    <t>kescamilla@garza-olivares.com</t>
  </si>
  <si>
    <t>b5bf5404-1040-4584-9e23-bd9aa4a748c4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</si>
  <si>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</si>
  <si>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</si>
  <si>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</si>
  <si>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</si>
  <si>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</si>
  <si>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</si>
  <si>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Cristina Anguiano</t>
  </si>
  <si>
    <t>felixramon@gmail.com</t>
  </si>
  <si>
    <t>21534354-fc0b-48d9-9d78-62a4badc1a43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</si>
  <si>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</si>
  <si>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</si>
  <si>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</si>
  <si>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</si>
  <si>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</si>
  <si>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</si>
  <si>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Esperanza √ìscar Zelaya</t>
  </si>
  <si>
    <t>ceciliasaiz@industrias.com</t>
  </si>
  <si>
    <t>e6a2b4de-97d2-4faf-82a6-28b39ab6b1b4</t>
  </si>
  <si>
    <t>Estefan√≠a Ruiz</t>
  </si>
  <si>
    <t>mateocastro@club.com</t>
  </si>
  <si>
    <t>6fbf18c0-1d19-4cf9-b5cc-83d5970b7678</t>
  </si>
  <si>
    <t>Mariana Guerrero Arreola</t>
  </si>
  <si>
    <t>catalina70@gmail.com</t>
  </si>
  <si>
    <t>08b75205-ce56-4b95-a64f-9819304e40e0</t>
  </si>
  <si>
    <t>Francisco Javier Gustavo Gracia Arteaga</t>
  </si>
  <si>
    <t>saldanawilfrido@grupo.com</t>
  </si>
  <si>
    <t>54e1665d-4b89-4a00-ac21-c0dbd0a9f8e2</t>
  </si>
  <si>
    <t>Eloisa Orta</t>
  </si>
  <si>
    <t>yzedillo@despacho.org</t>
  </si>
  <si>
    <t>8f822140-8a36-4160-bf5d-68a254229e14</t>
  </si>
  <si>
    <t>Magdalena Carlota P√©rez</t>
  </si>
  <si>
    <t>wulloa@industrias.com</t>
  </si>
  <si>
    <t>76479ec1-d623-4c0b-afe8-94ed5d2b1841</t>
  </si>
  <si>
    <t>Cristal Andr√©s G√≥mez</t>
  </si>
  <si>
    <t>villarebeca@gmail.com</t>
  </si>
  <si>
    <t>70a2c437-9cb0-4e0b-9cd5-ec6294260bb1</t>
  </si>
  <si>
    <t>Celia Cardona Griego</t>
  </si>
  <si>
    <t>luiscastellanos@club.com</t>
  </si>
  <si>
    <t>dac9f21c-448d-4f16-bcea-f8eb66b827c1</t>
  </si>
  <si>
    <t>Marisela Zeferino Adame Ure√±a</t>
  </si>
  <si>
    <t>cintronjose-emilio@rascon-najera.com</t>
  </si>
  <si>
    <t>ed9aad8e-d0c1-4dda-a2ae-ab5809b7fd52</t>
  </si>
  <si>
    <t>Leonel Ponce</t>
  </si>
  <si>
    <t>pazrocio@gmail.com</t>
  </si>
  <si>
    <t>fa9e790b-934a-4153-b8d1-cb8319d59c61</t>
  </si>
  <si>
    <t>Santiago Fr√≠as</t>
  </si>
  <si>
    <t>nayelipedroza@samaniego.com</t>
  </si>
  <si>
    <t>2fcfe31d-bbe3-4d02-997b-2a688e44aa4a</t>
  </si>
  <si>
    <t>Dr. Eugenia J√°quez</t>
  </si>
  <si>
    <t>graya@quintero.com</t>
  </si>
  <si>
    <t>24b8ae05-3a27-4a1d-b704-94fbf52b7e78</t>
  </si>
  <si>
    <t>Ignacio de la Garza</t>
  </si>
  <si>
    <t>rodolfolucio@gmail.com</t>
  </si>
  <si>
    <t>0e47c0df-dd8b-487b-8097-21c972837f36</t>
  </si>
  <si>
    <t>Eugenia Maga√±a Tejeda</t>
  </si>
  <si>
    <t>paolaverdugo@yanez.com</t>
  </si>
  <si>
    <t>f021cbf0-6ce0-45dd-82d0-c26df5f5cc72</t>
  </si>
  <si>
    <t>Alfonso Ger√≥nimo Tovar Merino</t>
  </si>
  <si>
    <t>xnino@yahoo.com</t>
  </si>
  <si>
    <t>0a194163-91a5-4990-a439-13d2a04cdd0d</t>
  </si>
  <si>
    <t>Lilia Esteban Lucio</t>
  </si>
  <si>
    <t>rosarioalmaraz@gmail.com</t>
  </si>
  <si>
    <t>26650ad1-0a4e-4c43-b8b0-99095f0adc66</t>
  </si>
  <si>
    <t>Abril Fonseca</t>
  </si>
  <si>
    <t>jorgecervantes@yahoo.com</t>
  </si>
  <si>
    <t>0c2c5144-f911-42db-bd29-5f8d9540954e</t>
  </si>
  <si>
    <t>Adalberto Nayeli Villarreal D√°vila</t>
  </si>
  <si>
    <t>raulbarela@barrera-najera.org</t>
  </si>
  <si>
    <t>8e4ddf27-be01-4cd2-bc4a-4045e7298017</t>
  </si>
  <si>
    <t>Lic. Alfredo Fl√≥rez</t>
  </si>
  <si>
    <t>franciscaarredondo@club.com</t>
  </si>
  <si>
    <t>e17b8e31-1444-4e73-8d2e-98e479a23fab</t>
  </si>
  <si>
    <t>Mtro. Josefina Miramontes</t>
  </si>
  <si>
    <t>veronicaalarcon@gmail.com</t>
  </si>
  <si>
    <t>89a9fe2d-5336-4fdd-98cc-119f72686d97</t>
  </si>
  <si>
    <t>Seraf√≠n Antonio Fonseca</t>
  </si>
  <si>
    <t>karinacarrera@mascarenas.info</t>
  </si>
  <si>
    <t>b6857111-61b8-43f5-8981-c8ec006f2fb9</t>
  </si>
  <si>
    <t>Pedro Eric Parra Palacios</t>
  </si>
  <si>
    <t>barrazacornelio@yahoo.com</t>
  </si>
  <si>
    <t>2ee16a28-cb66-41ad-9e11-480593b992f3</t>
  </si>
  <si>
    <t>Mitzy Noelia Ramos Menchaca</t>
  </si>
  <si>
    <t>montezmicaela@laboratorios.org</t>
  </si>
  <si>
    <t>1801df3c-96b3-4e4a-be9c-19777e295ccd</t>
  </si>
  <si>
    <t>Marisol Santana</t>
  </si>
  <si>
    <t>ypichardo@hotmail.com</t>
  </si>
  <si>
    <t>2928f18a-0aa5-4ac6-90e5-f816a534a90a</t>
  </si>
  <si>
    <t>Diego Armando Portillo</t>
  </si>
  <si>
    <t>rociopalomino@valenzuela.com</t>
  </si>
  <si>
    <t>278f1d63-6044-406a-b286-8ed51ce0b45a</t>
  </si>
  <si>
    <t>Marcos Adriana Orosco B√©tancourt</t>
  </si>
  <si>
    <t>franciscabonilla@yahoo.com</t>
  </si>
  <si>
    <t>673092af-8716-453b-88f4-efdc6f33c1e5</t>
  </si>
  <si>
    <t>Diego Nancy Madrid Cornejo</t>
  </si>
  <si>
    <t>velafabiola@hotmail.com</t>
  </si>
  <si>
    <t>69ab5c31-c863-41d0-94a7-8aa6b0126003</t>
  </si>
  <si>
    <t>Ofelia Duarte</t>
  </si>
  <si>
    <t>elenagallardo@corporacin.com</t>
  </si>
  <si>
    <t>572359f3-27ef-41f5-90d5-4388fd663182</t>
  </si>
  <si>
    <t>Benjam√≠n Luisa Marrero Fr√≠as</t>
  </si>
  <si>
    <t>maria-cristinamatos@hotmail.com</t>
  </si>
  <si>
    <t>111af87c-5fa3-4502-94ae-5ee5b28a52c9</t>
  </si>
  <si>
    <t>Daniela Uribe</t>
  </si>
  <si>
    <t>qcolon@laureano-solorzano.net</t>
  </si>
  <si>
    <t>a1278508-c2d2-4e1a-9ab3-cd5dcc25c9cf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</si>
  <si>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</si>
  <si>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</si>
  <si>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</si>
  <si>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</si>
  <si>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</si>
  <si>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</si>
  <si>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</si>
  <si>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</si>
  <si>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</si>
  <si>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Ing. Judith Ayala</t>
  </si>
  <si>
    <t>paolavergara@laboratorios.net</t>
  </si>
  <si>
    <t>64e8cb7b-f59e-470c-b704-3f79a8f2cc9e</t>
  </si>
  <si>
    <t>Lic. Cristobal Ortega</t>
  </si>
  <si>
    <t>halfaro@despacho.com</t>
  </si>
  <si>
    <t>b73ffa14-dae4-45da-b61f-6c3f7f80a89e</t>
  </si>
  <si>
    <t>Leonel Cruz Enr√≠quez</t>
  </si>
  <si>
    <t>marmas@gmail.com</t>
  </si>
  <si>
    <t>a49f90f7-8839-4571-8758-445882bf113d</t>
  </si>
  <si>
    <t>Jer√≥nimo Jos√© Manu√©l Maga√±a</t>
  </si>
  <si>
    <t>amaliaespino@mota-bernal.info</t>
  </si>
  <si>
    <t>63646080-8a8e-4da1-9008-d9bbefce4fdd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</si>
  <si>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</si>
  <si>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</si>
  <si>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</si>
  <si>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</si>
  <si>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</si>
  <si>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</si>
  <si>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Indira Eugenia Fuentes</t>
  </si>
  <si>
    <t>cabreraabelardo@gmail.com</t>
  </si>
  <si>
    <t>3cef5bc2-1b15-4ce6-a4a3-3a3e5951e220</t>
  </si>
  <si>
    <t>Dr. Graciela Garibay</t>
  </si>
  <si>
    <t>indiracarrasco@gmail.com</t>
  </si>
  <si>
    <t>d7d84721-5bb1-4a4d-b1af-1660508cc586</t>
  </si>
  <si>
    <t>Dolores Rodolfo Rojas Arellano</t>
  </si>
  <si>
    <t>isabela67@hotmail.com</t>
  </si>
  <si>
    <t>231bf5a4-802c-4e67-87f9-145a7ddc42e3</t>
  </si>
  <si>
    <t>Karina G√°lvez Dur√°n</t>
  </si>
  <si>
    <t>navajose-eduardo@peralta.org</t>
  </si>
  <si>
    <t>39df2d77-4667-462c-a9a5-a4502b01e2af</t>
  </si>
  <si>
    <t>Flavio Iv√°n Casillas</t>
  </si>
  <si>
    <t>sonia90@yahoo.com</t>
  </si>
  <si>
    <t>d2791f68-c024-4553-af35-174d74e629f4</t>
  </si>
  <si>
    <t>Dr. Emilio Leiva</t>
  </si>
  <si>
    <t>mejiaricardo@yahoo.com</t>
  </si>
  <si>
    <t>9a710806-780e-4656-b1d2-a4266eab7458</t>
  </si>
  <si>
    <t>Alicia Rosales</t>
  </si>
  <si>
    <t>cochoa@industrias.com</t>
  </si>
  <si>
    <t>cf2331f6-6c22-469f-92b8-831ddcc71327</t>
  </si>
  <si>
    <t>Elvira Marisol Reyes Alfaro</t>
  </si>
  <si>
    <t>carlotaacevedo@benavidez.com</t>
  </si>
  <si>
    <t>a07f9aa3-2d4a-44b5-983f-9e8c4f941136</t>
  </si>
  <si>
    <t>Fidel Mateo Parra Ulloa</t>
  </si>
  <si>
    <t>cardonapascual@industrias.info</t>
  </si>
  <si>
    <t>348f55a1-ec49-4749-b0f2-d28f1d6587c1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</si>
  <si>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</si>
  <si>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</si>
  <si>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</si>
  <si>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</si>
  <si>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</si>
  <si>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</si>
  <si>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Ing. Hern√°n Vallejo</t>
  </si>
  <si>
    <t>sernaemilia@yahoo.com</t>
  </si>
  <si>
    <t>f0291dc4-c15b-4bcc-97f0-04c50c8926f6</t>
  </si>
  <si>
    <t>Miriam Arcelia Casares</t>
  </si>
  <si>
    <t>reynaldoestevez@club.com</t>
  </si>
  <si>
    <t>0147e75f-4472-491b-8912-4bd7d08758ad</t>
  </si>
  <si>
    <t>Clara del Valle</t>
  </si>
  <si>
    <t>carlotacastro@yahoo.com</t>
  </si>
  <si>
    <t>af657191-85e9-4afd-94e6-b34adf3aa8e2</t>
  </si>
  <si>
    <t>Claudio Ana Aguirre Ur√≠as</t>
  </si>
  <si>
    <t>celia37@guardado.com</t>
  </si>
  <si>
    <t>594ee58d-dd9f-43f8-bbcc-5f4716f3b8bf</t>
  </si>
  <si>
    <t>Ing. Georgina Murillo</t>
  </si>
  <si>
    <t>angel23@yahoo.com</t>
  </si>
  <si>
    <t>7a491145-3991-4010-a1e5-3b0f7d86b7e3</t>
  </si>
  <si>
    <t>Sr(a). Catalina Mat√≠as</t>
  </si>
  <si>
    <t>molinadaniel@aleman.com</t>
  </si>
  <si>
    <t>d433dfae-3ab4-4d09-9f43-eecdb06eb894</t>
  </si>
  <si>
    <t xml:space="preserve">    Monterrey</t>
  </si>
  <si>
    <t>Sr(a). Mar√≠a Navarrete</t>
  </si>
  <si>
    <t>valverdeadalberto@bernal-arellano.com</t>
  </si>
  <si>
    <t>d079bbf1-e637-4020-8ca5-6bb2c45c34f9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</si>
  <si>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</si>
  <si>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</si>
  <si>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</si>
  <si>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</si>
  <si>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</si>
  <si>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</si>
  <si>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</si>
  <si>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</si>
  <si>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</si>
  <si>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Benito Monta√±ez</t>
  </si>
  <si>
    <t>etoledo@gmail.com</t>
  </si>
  <si>
    <t>32755cad-98f9-4eda-8888-7def2a0dd965</t>
  </si>
  <si>
    <t>Mtro. Emilia Rol√≥n</t>
  </si>
  <si>
    <t>alicia10@yahoo.com</t>
  </si>
  <si>
    <t>3773bcf2-e766-445f-90a8-279d0bd1b1ae</t>
  </si>
  <si>
    <t>Aldo Lira</t>
  </si>
  <si>
    <t>riveraleonardo@carrasco.com</t>
  </si>
  <si>
    <t>757f4440-b8cd-45b5-9b13-c97ac0e0b03c</t>
  </si>
  <si>
    <t>Elvira Laboy</t>
  </si>
  <si>
    <t>henriquezjose-maria@gurule.net</t>
  </si>
  <si>
    <t>29b35046-a922-4222-bb43-d4f2e673f05e</t>
  </si>
  <si>
    <t>Evelio Pilar Urbina</t>
  </si>
  <si>
    <t>cgallegos@vaca-bahena.net</t>
  </si>
  <si>
    <t>1f4ac01b-7a1a-4d64-ae6d-a13b0dd45606</t>
  </si>
  <si>
    <t>Indira Orozco Cuellar</t>
  </si>
  <si>
    <t>esthersantacruz@gmail.com</t>
  </si>
  <si>
    <t>a2ab5f05-64d9-4b5f-a606-40a5bd1bb17c</t>
  </si>
  <si>
    <t>Gilberto Fajardo Esquivel</t>
  </si>
  <si>
    <t>tvaldivia@alarcon.info</t>
  </si>
  <si>
    <t>5cfc2d19-d3e9-408a-82b3-9e72a480e588</t>
  </si>
  <si>
    <t>Elena Ballesteros</t>
  </si>
  <si>
    <t>de-la-torrelorenzo@yahoo.com</t>
  </si>
  <si>
    <t>36cc47e7-ea9e-410e-ab8c-53adeed2d905</t>
  </si>
  <si>
    <t>Ing. Cecilia Gurule</t>
  </si>
  <si>
    <t>pulidoindira@industrias.org</t>
  </si>
  <si>
    <t>13857721-e31a-444e-a2c2-774566eb5f26</t>
  </si>
  <si>
    <t>Esmeralda Eugenia Ceja</t>
  </si>
  <si>
    <t>hruelas@gmail.com</t>
  </si>
  <si>
    <t>37a9f5be-b24a-4f6c-97bd-9b822a31fa1d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</si>
  <si>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</si>
  <si>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</si>
  <si>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</si>
  <si>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</si>
  <si>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</si>
  <si>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</si>
  <si>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>Carmen Curiel Samaniego</t>
  </si>
  <si>
    <t>warellano@hotmail.com</t>
  </si>
  <si>
    <t>cb8f4dea-863b-4651-a226-6e0dec00b253</t>
  </si>
  <si>
    <t>Mariano Fuentes Esquibel</t>
  </si>
  <si>
    <t>juana28@hotmail.com</t>
  </si>
  <si>
    <t>538c9408-8b8b-4785-b9f9-cd2657097173</t>
  </si>
  <si>
    <t xml:space="preserve">Teléfono-Gama baja-8GB </t>
  </si>
  <si>
    <t>Lic. Ana Mar√≠a N√°jera</t>
  </si>
  <si>
    <t>jacinto89@cadena.com</t>
  </si>
  <si>
    <t>100275b6-8299-499c-9ddf-e472309c9cf0</t>
  </si>
  <si>
    <t>Mtro. D√©bora Escamilla</t>
  </si>
  <si>
    <t>malaveluz@yahoo.com</t>
  </si>
  <si>
    <t>1e54c09b-4c64-4a56-be8d-61e1318d7de9</t>
  </si>
  <si>
    <t>Eric Monta√±ez Vel√°zquez</t>
  </si>
  <si>
    <t>eugeniobravo@gmail.com</t>
  </si>
  <si>
    <t>be84e0fe-9e4b-46e0-be04-6f0f71667755</t>
  </si>
  <si>
    <t>Delia Wilfrido Valladares Tapia</t>
  </si>
  <si>
    <t>dolores01@gmail.com</t>
  </si>
  <si>
    <t>ee97ba16-5d7f-4349-b9a0-cc9069b8707b</t>
  </si>
  <si>
    <t>Olivia Amelia Cadena</t>
  </si>
  <si>
    <t>barriosconchita@industrias.com</t>
  </si>
  <si>
    <t>4166e455-ac94-49a0-9bd8-7a5c8a17ac45</t>
  </si>
  <si>
    <t>Ad√°n Prado</t>
  </si>
  <si>
    <t>mesaursula@barragan-chapa.com</t>
  </si>
  <si>
    <t>2613eb8c-73dd-4b40-8ff0-7cf4fa29b165</t>
  </si>
  <si>
    <t>Mariano Corrales Orosco</t>
  </si>
  <si>
    <t>jorge49@gmail.com</t>
  </si>
  <si>
    <t>22325f75-012a-4872-929d-f3dcad77dde8</t>
  </si>
  <si>
    <t>Ana Mar√≠a Pichardo Sep√∫lveda</t>
  </si>
  <si>
    <t>partidaisrael@ramon.info</t>
  </si>
  <si>
    <t>4404f1db-09be-4f2c-92f0-2d65ee6b0394</t>
  </si>
  <si>
    <t>Cristina del R√≠o Longoria</t>
  </si>
  <si>
    <t>olverahelena@yahoo.com</t>
  </si>
  <si>
    <t>daf5edee-c366-417d-9cd7-be77ad5d329a</t>
  </si>
  <si>
    <t>Dr. Mar√≠a Eugenia Valdivia</t>
  </si>
  <si>
    <t>dvaladez@saldivar.biz</t>
  </si>
  <si>
    <t>66f10c57-ee31-4fe2-b3a9-4e88f49e1e71</t>
  </si>
  <si>
    <t>Miguel Romo</t>
  </si>
  <si>
    <t>barbara15@laboratorios.info</t>
  </si>
  <si>
    <t>c3bb3562-c65e-4e05-bfb3-9df465d18c89</t>
  </si>
  <si>
    <t>Alejandro Hermelinda Mondrag√≥n Alvarado</t>
  </si>
  <si>
    <t>tcamarillo@gmail.com</t>
  </si>
  <si>
    <t>a84bc74c-2d98-4331-a5a9-c762bb61fb2e</t>
  </si>
  <si>
    <t>Roc√≠o Villareal</t>
  </si>
  <si>
    <t>roqueelsa@gmail.com</t>
  </si>
  <si>
    <t>6c3fead4-1fe5-4288-be37-3b39d5d98304</t>
  </si>
  <si>
    <t>Dr. Carlos Peralta</t>
  </si>
  <si>
    <t>sierraluis-miguel@hotmail.com</t>
  </si>
  <si>
    <t>2f42e9be-b4f9-41cd-9925-02253d8b26bb</t>
  </si>
  <si>
    <t>Olga Georgina Iglesias</t>
  </si>
  <si>
    <t>jrobledo@proyectos.org</t>
  </si>
  <si>
    <t>d7e693a3-06a8-4900-a649-17ebdc044442</t>
  </si>
  <si>
    <t>Dalia Barrera</t>
  </si>
  <si>
    <t>ymendez@yahoo.com</t>
  </si>
  <si>
    <t>47c5d8d5-18ad-4bf9-80ad-542822b25aca</t>
  </si>
  <si>
    <t>Jorge Bernardo √Åvalos</t>
  </si>
  <si>
    <t>silvano60@velasco.com</t>
  </si>
  <si>
    <t>e13367f1-7d08-4bb3-a252-f1741f4928d8</t>
  </si>
  <si>
    <t>Emiliano Violeta Anguiano Paz</t>
  </si>
  <si>
    <t>verdugooswaldo@industrias.org</t>
  </si>
  <si>
    <t>0c6b7809-83fa-4fe8-ae0d-766b000834e5</t>
  </si>
  <si>
    <t>Ing. Guadalupe Borrego</t>
  </si>
  <si>
    <t>isuarez@rodriguez.info</t>
  </si>
  <si>
    <t>a87e348f-adbc-474d-84ab-934239890915</t>
  </si>
  <si>
    <t>Lic. Benito Ram√≥n</t>
  </si>
  <si>
    <t>villalobosmaximiliano@laboratorios.com</t>
  </si>
  <si>
    <t>0b90db1b-0e53-4695-b650-7bf4633ec0f6</t>
  </si>
  <si>
    <t>Sr(a). Ricardo Velasco</t>
  </si>
  <si>
    <t>yeni97@hotmail.com</t>
  </si>
  <si>
    <t>ec133e61-2767-4fb0-ab9c-665b9e47a3d2</t>
  </si>
  <si>
    <t>Amanda Gollum</t>
  </si>
  <si>
    <t>agaona@despacho.com</t>
  </si>
  <si>
    <t>caf893af-e7d0-485a-b903-5b6bb7b717d6</t>
  </si>
  <si>
    <t>Mercedes Amanda Jurado Centeno</t>
  </si>
  <si>
    <t>bacaelvia@gmail.com</t>
  </si>
  <si>
    <t>fcfe31f4-1827-4f08-8c09-fac8682e5bbc</t>
  </si>
  <si>
    <t>Mtro. Marcos Rivas</t>
  </si>
  <si>
    <t>bbenavides@grupo.biz</t>
  </si>
  <si>
    <t>5b8c2387-f4d6-4823-8d42-a41707a832ef</t>
  </si>
  <si>
    <t>Norma Mel√©ndez</t>
  </si>
  <si>
    <t>gcaban@laboratorios.net</t>
  </si>
  <si>
    <t>053c462d-890c-45f0-8bb4-0f12c91d58e7</t>
  </si>
  <si>
    <t>Augusto Ad√°n Ni√±o</t>
  </si>
  <si>
    <t>karla73@yahoo.com</t>
  </si>
  <si>
    <t>4f0f1770-3af6-4b65-a5e9-61a996e12a76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</si>
  <si>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</si>
  <si>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</si>
  <si>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</si>
  <si>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</si>
  <si>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</si>
  <si>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</si>
  <si>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</si>
  <si>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</si>
  <si>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</si>
  <si>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Liliana Verduzco</t>
  </si>
  <si>
    <t>yamaya@yahoo.com</t>
  </si>
  <si>
    <t>75a62e15-6018-4f88-b473-5dd4eb79e63b</t>
  </si>
  <si>
    <t>Espartaco Arguello Bustamante</t>
  </si>
  <si>
    <t>oscararmas@grupo.com</t>
  </si>
  <si>
    <t>ed2a25dc-7b7a-4810-9252-9fa56521ff40</t>
  </si>
  <si>
    <t>Evelio Ramiro Arce</t>
  </si>
  <si>
    <t>gaytansergio@navarro.info</t>
  </si>
  <si>
    <t>10c739f0-f7fb-4c8e-a239-ed1f5c295465</t>
  </si>
  <si>
    <t>Elias Juan Carlos Est√©vez Cepeda</t>
  </si>
  <si>
    <t>virginiameraz@yahoo.com</t>
  </si>
  <si>
    <t>a2d32009-f750-4260-8311-8300bd425ff8</t>
  </si>
  <si>
    <t>Mtro. Carmen Leyva</t>
  </si>
  <si>
    <t>reynadulce-maria@hotmail.com</t>
  </si>
  <si>
    <t>15d306a8-d422-44fb-9ae9-88cc0402b65d</t>
  </si>
  <si>
    <t>Oswaldo Maga√±a</t>
  </si>
  <si>
    <t>najerazeferino@hotmail.com</t>
  </si>
  <si>
    <t>4d3c7cfd-d33e-47a8-a31b-f2a694c31429</t>
  </si>
  <si>
    <t>Cristal Rinc√≥n</t>
  </si>
  <si>
    <t>maria-teresaibarra@yahoo.com</t>
  </si>
  <si>
    <t>a4b8a935-59ba-43d2-9d68-660ee91a5acd</t>
  </si>
  <si>
    <t>Mar√≠a Maximiliano Ochoa</t>
  </si>
  <si>
    <t>zramos@bahena-maya.info</t>
  </si>
  <si>
    <t>8f691093-3270-4ace-ae7f-f6404f3e9c97</t>
  </si>
  <si>
    <t>Nelly Hern√°n R√≠os Guardado</t>
  </si>
  <si>
    <t>francisco-javiersalcedo@hotmail.com</t>
  </si>
  <si>
    <t>c6f0a1e2-99c5-4a17-b0d8-ad6d416c81cc</t>
  </si>
  <si>
    <t>Yeni Tafoya</t>
  </si>
  <si>
    <t>umata@despacho.com</t>
  </si>
  <si>
    <t>b8d7d438-42a6-490e-878a-eabf47bc2626</t>
  </si>
  <si>
    <t>Estela Alejandro Caballero</t>
  </si>
  <si>
    <t>olivia25@proyectos.com</t>
  </si>
  <si>
    <t>325642ee-2d8b-4a13-a954-d573be58d386</t>
  </si>
  <si>
    <t>Federico Angulo</t>
  </si>
  <si>
    <t>federico70@velasco.biz</t>
  </si>
  <si>
    <t>b97d18e7-1657-470e-bc41-0860e9f0889b</t>
  </si>
  <si>
    <t>Dr. Felix Pizarro</t>
  </si>
  <si>
    <t>elena24@despacho.info</t>
  </si>
  <si>
    <t>eec053a4-5ae1-415f-b30f-845523ab472b</t>
  </si>
  <si>
    <t>Alonso Guti√©rrez Gonzales</t>
  </si>
  <si>
    <t>vdavila@gmail.com</t>
  </si>
  <si>
    <t>8ea7037d-ea94-41a9-96b7-83c29d8264c3</t>
  </si>
  <si>
    <t>Natividad Armenta Espino</t>
  </si>
  <si>
    <t>vcontreras@yahoo.com</t>
  </si>
  <si>
    <t>a7a8f827-451d-439f-95ca-6682c5127351</t>
  </si>
  <si>
    <t>Sr(a). Diego Adame</t>
  </si>
  <si>
    <t>hestevez@yahoo.com</t>
  </si>
  <si>
    <t>8dac1bb0-62a5-4b93-9f18-74bb64e1f8a8</t>
  </si>
  <si>
    <t>Dr. Rosa Serrano</t>
  </si>
  <si>
    <t>agustin99@hotmail.com</t>
  </si>
  <si>
    <t>01033810-39b1-401b-94e8-71a15ff61d49</t>
  </si>
  <si>
    <t>Nancy Horacio Porras</t>
  </si>
  <si>
    <t>karinajaimes@grupo.net</t>
  </si>
  <si>
    <t>6486d7e7-8b63-4036-a105-6f846c2be7ab</t>
  </si>
  <si>
    <t>Lic. Hugo Polanco</t>
  </si>
  <si>
    <t>aldoescamilla@grupo.com</t>
  </si>
  <si>
    <t>570e94ce-b053-46a5-8a1e-1a663553c880</t>
  </si>
  <si>
    <t>Sr(a). Alta  Gracia Espino</t>
  </si>
  <si>
    <t>montanoreina@navarrete-botello.net</t>
  </si>
  <si>
    <t>2c43e82b-a86a-44f0-a9c7-359db0ff3d83</t>
  </si>
  <si>
    <t>Ver√≥nica Jurado Gonzales</t>
  </si>
  <si>
    <t>ivenegas@club.com</t>
  </si>
  <si>
    <t>c959873c-5ee3-4647-bd0b-df86bd37e523</t>
  </si>
  <si>
    <t>Carolina Cab√°n Ur√≠as</t>
  </si>
  <si>
    <t>bruno96@hotmail.com</t>
  </si>
  <si>
    <t>6df2b0ce-9ac0-4cf2-946a-557bf24c972f</t>
  </si>
  <si>
    <t xml:space="preserve">Tablet-Mini-16GB </t>
  </si>
  <si>
    <t>Evelio Holgu√≠n Galarza</t>
  </si>
  <si>
    <t>aurelio09@fuentes.com</t>
  </si>
  <si>
    <t>2f004d71-2bd5-4fdb-a629-c4409dbaf7b8</t>
  </si>
  <si>
    <t>Oswaldo Jorge Mota</t>
  </si>
  <si>
    <t>luis-manuelperes@club.info</t>
  </si>
  <si>
    <t>c6836bfa-f154-46e7-81fa-88577b4553a6</t>
  </si>
  <si>
    <t>Dr. Diana Olivas</t>
  </si>
  <si>
    <t>vmesa@valdes-suarez.com</t>
  </si>
  <si>
    <t>f2f8a751-e6da-4e2b-b90b-7189fd4833ad</t>
  </si>
  <si>
    <t>Dolores Pablo Men√©ndez</t>
  </si>
  <si>
    <t>beatriz85@almanza-carrera.com</t>
  </si>
  <si>
    <t>2119f43d-1200-4439-ad32-eab189cb6475</t>
  </si>
  <si>
    <t>Abigail Castillo</t>
  </si>
  <si>
    <t>flavio50@proyectos.com</t>
  </si>
  <si>
    <t>4d39c9a6-3193-454d-9981-2f01cdfb6409</t>
  </si>
  <si>
    <t xml:space="preserve">Auriculares-Bluetooth-8GB </t>
  </si>
  <si>
    <t>Dr. Ram√≥n Miramontes</t>
  </si>
  <si>
    <t>prietojorge@hotmail.com</t>
  </si>
  <si>
    <t>33b5cb0d-ba44-4160-8e1f-1175cb33b310</t>
  </si>
  <si>
    <t>Mart√≠n Sara Verduzco</t>
  </si>
  <si>
    <t>susanarodrigez@granado-mora.com</t>
  </si>
  <si>
    <t>b21c5672-3d61-481e-bd82-6e363e042060</t>
  </si>
  <si>
    <t>Omar Irene Corral</t>
  </si>
  <si>
    <t>agamboa@corporacin.com</t>
  </si>
  <si>
    <t>41fe435e-4e1c-498f-8112-8a52ebd37db7</t>
  </si>
  <si>
    <t>Irene Saldivar</t>
  </si>
  <si>
    <t>isabel20@macias.org</t>
  </si>
  <si>
    <t>df7beeeb-1466-45c0-b687-7861cff4c459</t>
  </si>
  <si>
    <t>Raquel Crespo Carri√≥n</t>
  </si>
  <si>
    <t>flaviorosado@yahoo.com</t>
  </si>
  <si>
    <t>7896d226-252e-4fbf-902d-719da7aaaf24</t>
  </si>
  <si>
    <t>Raquel Dom√≠nguez Vanegas</t>
  </si>
  <si>
    <t>victor71@hotmail.com</t>
  </si>
  <si>
    <t>732de4a4-0325-4391-a400-19ffb39fdec9</t>
  </si>
  <si>
    <t>Antonio Jes√∫s Vallejo Bravo</t>
  </si>
  <si>
    <t>uescalante@gmail.com</t>
  </si>
  <si>
    <t>3a57b856-992a-4aa3-a497-f62acef32235</t>
  </si>
  <si>
    <t>Barbara Perla God√≠nez</t>
  </si>
  <si>
    <t>yolandamontalvo@gmail.com</t>
  </si>
  <si>
    <t>1dada63c-2f5a-48d7-8e04-d26aacd30687</t>
  </si>
  <si>
    <t>Salvador Barela</t>
  </si>
  <si>
    <t>itapia@despacho.com</t>
  </si>
  <si>
    <t>11a0323a-7513-4fd6-84cf-79c923b2e72e</t>
  </si>
  <si>
    <t>Mayte Acevedo Viera</t>
  </si>
  <si>
    <t>umayorga@yahoo.com</t>
  </si>
  <si>
    <t>c7da08b2-c581-41ed-8398-757d407a24ef</t>
  </si>
  <si>
    <t>Carmen Mac√≠as</t>
  </si>
  <si>
    <t>zmelgar@corporacin.com</t>
  </si>
  <si>
    <t>d9c044d0-2d9f-4974-b4ef-0cbae299e695</t>
  </si>
  <si>
    <t>Sr(a). Luc√≠a Montoya</t>
  </si>
  <si>
    <t>jcintron@hotmail.com</t>
  </si>
  <si>
    <t>c048f440-4471-4f5b-8f49-4805f745f284</t>
  </si>
  <si>
    <t>Eugenio Fernando Delgado</t>
  </si>
  <si>
    <t>zcamarillo@yahoo.com</t>
  </si>
  <si>
    <t>983f661d-1d5c-478c-aef5-611a679c13a6</t>
  </si>
  <si>
    <t>Alta  Gracia Marrero Ocasio</t>
  </si>
  <si>
    <t>leonardorosas@laboratorios.com</t>
  </si>
  <si>
    <t>fad038ce-1b32-4c25-85bc-38c2262677ee</t>
  </si>
  <si>
    <t>Conchita Calvillo Alba</t>
  </si>
  <si>
    <t>sara71@lucero.com</t>
  </si>
  <si>
    <t>257f5799-af41-462b-b2f9-acae82ba412c</t>
  </si>
  <si>
    <t>Alicia Agust√≠n Pi√±a</t>
  </si>
  <si>
    <t>melgarbenjamin@laboratorios.com</t>
  </si>
  <si>
    <t>586df37b-bacf-4952-94e8-20049c50d537</t>
  </si>
  <si>
    <t>Cristian Mercedes Rubio Medrano</t>
  </si>
  <si>
    <t>armando76@grupo.net</t>
  </si>
  <si>
    <t>9e9a947c-796d-4653-bc4d-b777a5aa5e38</t>
  </si>
  <si>
    <t>Gustavo Berta Arag√≥n</t>
  </si>
  <si>
    <t>del-riojuan@velasco.com</t>
  </si>
  <si>
    <t>afc92f17-61fe-4e4e-84c2-09515ccc8e07</t>
  </si>
  <si>
    <t>√ìliver Ulloa</t>
  </si>
  <si>
    <t>anel88@lugo.com</t>
  </si>
  <si>
    <t>0d9c3f44-a748-478b-8652-36bac0fde7f7</t>
  </si>
  <si>
    <t>Lourdes Reyes Valladares</t>
  </si>
  <si>
    <t>calderontania@hotmail.com</t>
  </si>
  <si>
    <t>32a2277a-2bbc-47d0-9874-fcd6195b5e16</t>
  </si>
  <si>
    <t>Humberto Rosas</t>
  </si>
  <si>
    <t>andresquinonez@yahoo.com</t>
  </si>
  <si>
    <t>98bc06e4-82c3-4589-93d7-e941e1ae7c85</t>
  </si>
  <si>
    <t>Jer√≥nimo Palomino Lozano</t>
  </si>
  <si>
    <t>aguilarespartaco@luevano.com</t>
  </si>
  <si>
    <t>2d00fa46-ed9d-4a83-8d4f-00268740aa20</t>
  </si>
  <si>
    <t>Carmen Rufino T√©llez Benavides</t>
  </si>
  <si>
    <t>leonortoledo@solorzano.com</t>
  </si>
  <si>
    <t>dac843fc-5bc0-475f-a01e-8c48a965a9c2</t>
  </si>
  <si>
    <t>Anel Marco Antonio Pati√±o</t>
  </si>
  <si>
    <t>soledad84@yahoo.com</t>
  </si>
  <si>
    <t>8faa345b-0095-4a30-b89a-79a7b53e217a</t>
  </si>
  <si>
    <t>Alejandra N√°jera Miramontes</t>
  </si>
  <si>
    <t>umadrigal@despacho.biz</t>
  </si>
  <si>
    <t>38daf333-0f89-435f-9b2d-a6d639ff33df</t>
  </si>
  <si>
    <t>Jon√°s Pe√±a</t>
  </si>
  <si>
    <t>rzavala@yahoo.com</t>
  </si>
  <si>
    <t>71b6157e-f3ed-4bd0-83ed-fc382c96bff0</t>
  </si>
  <si>
    <t>Abril Rolando Cardona</t>
  </si>
  <si>
    <t>estefania56@marrero.com</t>
  </si>
  <si>
    <t>1e7c8a1d-abaf-4fac-be1b-22c8312a6026</t>
  </si>
  <si>
    <t>Gabriela Aida Chapa</t>
  </si>
  <si>
    <t>ycolon@gmail.com</t>
  </si>
  <si>
    <t>b343399a-8398-43c0-a157-92dd7a44f5c7</t>
  </si>
  <si>
    <t>Guillermina Guajardo Griego</t>
  </si>
  <si>
    <t>noelia85@gmail.com</t>
  </si>
  <si>
    <t>0df64a43-b0b9-4928-8b22-58438782855d</t>
  </si>
  <si>
    <t>Olga Merino Benavides</t>
  </si>
  <si>
    <t>juanaceja@corporacin.org</t>
  </si>
  <si>
    <t>3d80365e-3ca4-4c40-b7b5-8655955878bf</t>
  </si>
  <si>
    <t>16/16/2024</t>
  </si>
  <si>
    <t>Florencia Jaramillo</t>
  </si>
  <si>
    <t>trinidadmoya@yahoo.com</t>
  </si>
  <si>
    <t>8f0f8ae1-20a3-4c9d-b76d-f1ebaf765b63</t>
  </si>
  <si>
    <t>√Ångel Aldo Tello Noriega</t>
  </si>
  <si>
    <t>rivascristian@grupo.com</t>
  </si>
  <si>
    <t>60961cdf-09a7-4a32-8c6c-2d05f517439d</t>
  </si>
  <si>
    <t>Timoteo Alvaro Lemus</t>
  </si>
  <si>
    <t>eveliolara@peres.com</t>
  </si>
  <si>
    <t>ba9d11bd-abcf-425b-a84b-aa0bb71654e0</t>
  </si>
  <si>
    <t>Dr. Fabiola Galindo</t>
  </si>
  <si>
    <t>asuncion98@yahoo.com</t>
  </si>
  <si>
    <t>a8b647c7-bcba-44a0-8e1a-6b49fad5f46a</t>
  </si>
  <si>
    <t>Cristina Alejandro</t>
  </si>
  <si>
    <t>mayteramon@gmail.com</t>
  </si>
  <si>
    <t>df1772a5-47bc-4e80-a07f-cca86b2ebcdc</t>
  </si>
  <si>
    <t>Wendolin Fonseca</t>
  </si>
  <si>
    <t>linda23@gmail.com</t>
  </si>
  <si>
    <t>fc8a05ee-e84e-44f7-96be-898033a352b4</t>
  </si>
  <si>
    <t>Dr. Cristobal Villa</t>
  </si>
  <si>
    <t>linda75@hotmail.com</t>
  </si>
  <si>
    <t>27c73c7b-510b-4161-81d3-83559a1ad5b1</t>
  </si>
  <si>
    <t>Mar√≠a Cristina Esparta Partida Lozano</t>
  </si>
  <si>
    <t>valenzuelarodolfo@yahoo.com</t>
  </si>
  <si>
    <t>344db87d-a5d1-4172-aec9-fa915cf7c5b7</t>
  </si>
  <si>
    <t>Columna 1</t>
  </si>
  <si>
    <t>Fecha</t>
  </si>
  <si>
    <t>Tipo</t>
  </si>
  <si>
    <t>Especificaciones</t>
  </si>
  <si>
    <t>Producto unido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</si>
  <si>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</si>
  <si>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</si>
  <si>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</si>
  <si>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</si>
  <si>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</si>
  <si>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</si>
  <si>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Ciudad con las mayores ventas totales</t>
  </si>
  <si>
    <t>Mes con los mejores resultados</t>
  </si>
  <si>
    <t>Mes de octubre</t>
  </si>
  <si>
    <t>Precio promedio por categoría de producto</t>
  </si>
  <si>
    <t>Ciudad De México</t>
  </si>
  <si>
    <t>Suma total</t>
  </si>
  <si>
    <t>SUM de Monto total</t>
  </si>
  <si>
    <t>Resumen ejecutivo</t>
  </si>
  <si>
    <t>Categoría</t>
  </si>
  <si>
    <t>1. Limpieza</t>
  </si>
  <si>
    <t>Cantidad de datos duplicados</t>
  </si>
  <si>
    <t>No se muestran datos duplicados tomando en cuenta el ID de orden 19 datos vacios en columnas "precio y monto" se sustituyeron con regla de 3; estos equivalen al 1.9% del total</t>
  </si>
  <si>
    <t>2. Hallazgos principales</t>
  </si>
  <si>
    <t>Producto más vendido por cantidad</t>
  </si>
  <si>
    <t>Laptop Oficina 32 Gb cpm im total de 116 piezas $321,991.69</t>
  </si>
  <si>
    <t>Ciudad con mayor volumen de ventas totales</t>
  </si>
  <si>
    <t>Ciudad De México domina el volumen de ventas totales con un monto de: $556,084.37</t>
  </si>
  <si>
    <t>Se tomó categoría la columna: "Especificaciones" hay 4 categorías y el promedio total de las 4 es el valor de $1,256,212.44</t>
  </si>
  <si>
    <t>Recomendación</t>
  </si>
  <si>
    <t>Es necesaria la homologación de la captura de datos, Es necesario poner en mayor observancia a Tulum ya que sus ventas representan un  1.72%  de la venta, gran probabilidad de no ser rentable</t>
  </si>
  <si>
    <t>3. Metodología de limpieza</t>
  </si>
  <si>
    <t>Observación, separación de caracteres especiales y errores mas comunes. Aplicación de fórmulas que resuelvan la próblematica y depuren los datos. Se establecen tablas dinámicas para obtener información</t>
  </si>
  <si>
    <t>Problemas encontrados en los datos originales.</t>
  </si>
  <si>
    <t>Demasiados caracteres especiales, espacios en blanco, puntos y comas, los nombres personales no deben de estar con una profesión abreviada</t>
  </si>
  <si>
    <t>4. Limitaciones</t>
  </si>
  <si>
    <t>Información adicional requerida</t>
  </si>
  <si>
    <t>Falta de conocimiento en la aplicación de formulas que limpien de una forma mas rápida el contenido de la hoja</t>
  </si>
  <si>
    <t>AVERAGE de Monto total</t>
  </si>
  <si>
    <t>Fecha - Mes</t>
  </si>
  <si>
    <t>oct</t>
  </si>
  <si>
    <t>nov</t>
  </si>
  <si>
    <t>COUNT de Monto total</t>
  </si>
  <si>
    <t>dic</t>
  </si>
  <si>
    <t>sep</t>
  </si>
  <si>
    <t>may</t>
  </si>
  <si>
    <t>mar</t>
  </si>
  <si>
    <t>SUM de Cantidad</t>
  </si>
  <si>
    <t>ene</t>
  </si>
  <si>
    <t>Laptop Oficina 32GB</t>
  </si>
  <si>
    <t>ago</t>
  </si>
  <si>
    <t>Tablet Estándar 4GB</t>
  </si>
  <si>
    <t>jun</t>
  </si>
  <si>
    <t>Tablet Estándar 8GB</t>
  </si>
  <si>
    <t>abr</t>
  </si>
  <si>
    <t>Auriculares Con cable 32GB</t>
  </si>
  <si>
    <t>jul</t>
  </si>
  <si>
    <t>Tablet Mini 16GB</t>
  </si>
  <si>
    <t>feb</t>
  </si>
  <si>
    <t>Laptop Oficina 16GB</t>
  </si>
  <si>
    <t>Auriculares Cancelación de ruido 4GB</t>
  </si>
  <si>
    <t>Tablet Mini 4GB</t>
  </si>
  <si>
    <t>Tablet Pro 16GB</t>
  </si>
  <si>
    <t>Auriculares Bluetooth 4GB</t>
  </si>
  <si>
    <t>Tablet Pro 8GB</t>
  </si>
  <si>
    <t>Teléfono Gama media 4GB</t>
  </si>
  <si>
    <t>Tablet Pro 4GB</t>
  </si>
  <si>
    <t>Teléfono Gama baja 4GB</t>
  </si>
  <si>
    <t>Teléfono Gama alta 16GB</t>
  </si>
  <si>
    <t>Teléfono Gama media 8GB</t>
  </si>
  <si>
    <t>Teléfono Gama media 32GB</t>
  </si>
  <si>
    <t>Auriculares Bluetooth 16GB</t>
  </si>
  <si>
    <t>Tablet Estándar 16GB</t>
  </si>
  <si>
    <t>Laptop Gaming 4GB</t>
  </si>
  <si>
    <t>Teléfono Gama baja 32GB</t>
  </si>
  <si>
    <t>Teléfono Gama alta 4GB</t>
  </si>
  <si>
    <t>16GB</t>
  </si>
  <si>
    <t>32GB</t>
  </si>
  <si>
    <t>4GB</t>
  </si>
  <si>
    <t>8GB</t>
  </si>
  <si>
    <t>Teléfono Gama media 16GB</t>
  </si>
  <si>
    <t>SUM de Precio unitario</t>
  </si>
  <si>
    <t>Laptop Gaming 32GB</t>
  </si>
  <si>
    <t>Teléfono Gama alta 8GB</t>
  </si>
  <si>
    <t>Laptop Ultraliviana 16GB</t>
  </si>
  <si>
    <t>Auriculares Bluetooth 8GB</t>
  </si>
  <si>
    <t>Laptop Ultraliviana 8GB</t>
  </si>
  <si>
    <t>Auriculares Con cable 16GB</t>
  </si>
  <si>
    <t>Laptop Ultraliviana 4GB</t>
  </si>
  <si>
    <t>Teléfono Gama baja 16GB</t>
  </si>
  <si>
    <t>Auriculares Con cable 4GB</t>
  </si>
  <si>
    <t>Auriculares Cancelación de ruido 16GB</t>
  </si>
  <si>
    <t>Tablet Mini 32GB</t>
  </si>
  <si>
    <t>Laptop Oficina 8GB</t>
  </si>
  <si>
    <t>Tablet Pro 32GB</t>
  </si>
  <si>
    <t>Tablet Estándar 32GB</t>
  </si>
  <si>
    <t>Teléfono Gama alta 32GB</t>
  </si>
  <si>
    <t>Auriculares Bluetooth 32GB</t>
  </si>
  <si>
    <t>Laptop Oficina 4GB</t>
  </si>
  <si>
    <t>Laptop Gaming 16GB</t>
  </si>
  <si>
    <t>Teléfono Gama baja 8GB</t>
  </si>
  <si>
    <t>Tablet Mini 8GB</t>
  </si>
  <si>
    <t>Auriculares Cancelación de ruido 8GB</t>
  </si>
  <si>
    <t>Laptop Ultraliviana 32GB</t>
  </si>
  <si>
    <t>Auriculares Con cable 8GB</t>
  </si>
  <si>
    <t>Auriculares Cancelación de ruido 32GB</t>
  </si>
  <si>
    <t>Laptop Gaming 8GB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</si>
</sst>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--&quot;dmyy"/>
    <numFmt numFmtId="165" formatCode="[$$]#,##0.00"/>
    <numFmt numFmtId="166" formatCode="dd&quot;/&quot;mm&quot;/&quot;yyyy"/>
    <numFmt numFmtId="167" formatCode="m/d/yyyy h:mm:ss"/>
  </numFmts>
  <fonts count="10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20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4D7F0"/>
        <bgColor rgb="FFD4D7F0"/>
      </patternFill>
    </fill>
  </fills>
  <borders count="18">
    <border/>
    <border>
      <left style="thin">
        <color rgb="FF3E4791"/>
      </left>
      <right style="thin">
        <color rgb="FF00FF00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F1C232"/>
      </left>
      <right style="thin">
        <color rgb="FFF1C232"/>
      </right>
      <top style="thin">
        <color rgb="FF3E4791"/>
      </top>
      <bottom style="thin">
        <color rgb="FF3E4791"/>
      </bottom>
    </border>
    <border>
      <left style="thin">
        <color rgb="FFCC0000"/>
      </left>
      <right style="thin">
        <color rgb="FFCC0000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D4D7F0"/>
      </right>
      <top>
        <color rgb="FF3E4791"/>
      </top>
      <bottom style="thin">
        <color rgb="FF3E4791"/>
      </bottom>
    </border>
    <border>
      <left style="thin">
        <color rgb="FFD4D7F0"/>
      </left>
      <right style="thin">
        <color rgb="FFD4D7F0"/>
      </right>
      <top>
        <color rgb="FF3E4791"/>
      </top>
      <bottom style="thin">
        <color rgb="FF3E4791"/>
      </bottom>
    </border>
    <border>
      <left style="thin">
        <color rgb="FFD4D7F0"/>
      </left>
      <right style="thin">
        <color rgb="FF3E4791"/>
      </right>
      <top>
        <color rgb="FF3E4791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11" xfId="0" applyFont="1" applyNumberFormat="1"/>
    <xf borderId="0" fillId="0" fontId="2" numFmtId="49" xfId="0" applyFont="1" applyNumberFormat="1"/>
    <xf borderId="0" fillId="0" fontId="3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2" fontId="1" numFmtId="49" xfId="0" applyFill="1" applyFont="1" applyNumberFormat="1"/>
    <xf borderId="1" fillId="3" fontId="1" numFmtId="49" xfId="0" applyAlignment="1" applyBorder="1" applyFill="1" applyFont="1" applyNumberFormat="1">
      <alignment horizontal="left" readingOrder="0" shrinkToFit="0" vertical="center" wrapText="0"/>
    </xf>
    <xf borderId="2" fillId="0" fontId="4" numFmtId="49" xfId="0" applyAlignment="1" applyBorder="1" applyFont="1" applyNumberFormat="1">
      <alignment horizontal="left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3" fillId="4" fontId="5" numFmtId="0" xfId="0" applyAlignment="1" applyBorder="1" applyFill="1" applyFont="1">
      <alignment horizontal="left" readingOrder="0" shrinkToFit="0" vertical="center" wrapText="0"/>
    </xf>
    <xf borderId="3" fillId="4" fontId="3" numFmtId="0" xfId="0" applyAlignment="1" applyBorder="1" applyFont="1">
      <alignment horizontal="left" readingOrder="0" shrinkToFit="0" vertical="center" wrapText="0"/>
    </xf>
    <xf borderId="2" fillId="0" fontId="5" numFmtId="165" xfId="0" applyAlignment="1" applyBorder="1" applyFont="1" applyNumberFormat="1">
      <alignment horizontal="right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4" fillId="5" fontId="5" numFmtId="0" xfId="0" applyAlignment="1" applyBorder="1" applyFill="1" applyFont="1">
      <alignment horizontal="righ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3" numFmtId="166" xfId="0" applyAlignment="1" applyBorder="1" applyFont="1" applyNumberFormat="1">
      <alignment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7" fillId="0" fontId="4" numFmtId="165" xfId="0" applyAlignment="1" applyBorder="1" applyFont="1" applyNumberFormat="1">
      <alignment horizontal="right" shrinkToFit="0" vertical="center" wrapText="0"/>
    </xf>
    <xf borderId="8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3" numFmtId="166" xfId="0" applyAlignment="1" applyBorder="1" applyFont="1" applyNumberFormat="1">
      <alignment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shrinkToFit="0" vertical="center" wrapText="0"/>
    </xf>
    <xf borderId="10" fillId="0" fontId="4" numFmtId="165" xfId="0" applyAlignment="1" applyBorder="1" applyFont="1" applyNumberFormat="1">
      <alignment horizontal="right" shrinkToFit="0" vertical="center" wrapText="0"/>
    </xf>
    <xf borderId="11" fillId="0" fontId="4" numFmtId="0" xfId="0" applyAlignment="1" applyBorder="1" applyFont="1">
      <alignment shrinkToFit="0" vertical="center" wrapText="0"/>
    </xf>
    <xf borderId="10" fillId="0" fontId="4" numFmtId="11" xfId="0" applyAlignment="1" applyBorder="1" applyFont="1" applyNumberFormat="1">
      <alignment shrinkToFit="0" vertical="center" wrapText="0"/>
    </xf>
    <xf borderId="0" fillId="0" fontId="4" numFmtId="165" xfId="0" applyFont="1" applyNumberFormat="1"/>
    <xf borderId="7" fillId="0" fontId="4" numFmtId="11" xfId="0" applyAlignment="1" applyBorder="1" applyFont="1" applyNumberFormat="1">
      <alignment shrinkToFit="0" vertical="center" wrapText="0"/>
    </xf>
    <xf borderId="10" fillId="0" fontId="4" numFmtId="0" xfId="0" applyAlignment="1" applyBorder="1" applyFont="1">
      <alignment horizontal="right" shrinkToFit="0" vertical="center" wrapText="0"/>
    </xf>
    <xf borderId="7" fillId="0" fontId="4" numFmtId="0" xfId="0" applyAlignment="1" applyBorder="1" applyFont="1">
      <alignment horizontal="right" shrinkToFit="0" vertical="center" wrapText="0"/>
    </xf>
    <xf borderId="0" fillId="0" fontId="2" numFmtId="164" xfId="0" applyFont="1" applyNumberFormat="1"/>
    <xf borderId="0" fillId="0" fontId="3" numFmtId="164" xfId="0" applyFont="1" applyNumberFormat="1"/>
    <xf borderId="0" fillId="0" fontId="3" numFmtId="0" xfId="0" applyAlignment="1" applyFont="1">
      <alignment readingOrder="0"/>
    </xf>
    <xf borderId="12" fillId="6" fontId="4" numFmtId="0" xfId="0" applyAlignment="1" applyBorder="1" applyFill="1" applyFont="1">
      <alignment shrinkToFit="0" vertical="center" wrapText="0"/>
    </xf>
    <xf borderId="13" fillId="6" fontId="4" numFmtId="0" xfId="0" applyAlignment="1" applyBorder="1" applyFont="1">
      <alignment readingOrder="0" shrinkToFit="0" vertical="center" wrapText="0"/>
    </xf>
    <xf borderId="13" fillId="6" fontId="4" numFmtId="0" xfId="0" applyAlignment="1" applyBorder="1" applyFont="1">
      <alignment shrinkToFit="0" vertical="center" wrapText="0"/>
    </xf>
    <xf borderId="13" fillId="6" fontId="4" numFmtId="0" xfId="0" applyAlignment="1" applyBorder="1" applyFont="1">
      <alignment horizontal="right" shrinkToFit="0" vertical="center" wrapText="0"/>
    </xf>
    <xf borderId="13" fillId="6" fontId="4" numFmtId="165" xfId="0" applyAlignment="1" applyBorder="1" applyFont="1" applyNumberFormat="1">
      <alignment horizontal="right" shrinkToFit="0" vertical="center" wrapText="0"/>
    </xf>
    <xf borderId="14" fillId="6" fontId="4" numFmtId="0" xfId="0" applyAlignment="1" applyBorder="1" applyFont="1">
      <alignment shrinkToFit="0" vertical="center" wrapText="0"/>
    </xf>
    <xf borderId="15" fillId="0" fontId="6" numFmtId="0" xfId="0" applyBorder="1" applyFont="1"/>
    <xf borderId="0" fillId="0" fontId="6" numFmtId="0" xfId="0" applyFont="1"/>
    <xf borderId="15" fillId="0" fontId="7" numFmtId="0" xfId="0" applyBorder="1" applyFont="1"/>
    <xf borderId="15" fillId="0" fontId="7" numFmtId="165" xfId="0" applyBorder="1" applyFont="1" applyNumberFormat="1"/>
    <xf borderId="0" fillId="0" fontId="7" numFmtId="0" xfId="0" applyFont="1"/>
    <xf borderId="15" fillId="0" fontId="7" numFmtId="0" xfId="0" applyAlignment="1" applyBorder="1" applyFont="1">
      <alignment horizontal="right"/>
    </xf>
    <xf borderId="15" fillId="0" fontId="7" numFmtId="0" xfId="0" applyAlignment="1" applyBorder="1" applyFont="1">
      <alignment horizontal="right" readingOrder="0"/>
    </xf>
    <xf borderId="15" fillId="0" fontId="7" numFmtId="165" xfId="0" applyAlignment="1" applyBorder="1" applyFont="1" applyNumberFormat="1">
      <alignment horizontal="right"/>
    </xf>
    <xf borderId="0" fillId="0" fontId="4" numFmtId="0" xfId="0" applyFont="1"/>
    <xf borderId="16" fillId="0" fontId="8" numFmtId="0" xfId="0" applyAlignment="1" applyBorder="1" applyFont="1">
      <alignment horizontal="center"/>
    </xf>
    <xf borderId="17" fillId="0" fontId="9" numFmtId="0" xfId="0" applyBorder="1" applyFont="1"/>
    <xf borderId="15" fillId="0" fontId="7" numFmtId="0" xfId="0" applyAlignment="1" applyBorder="1" applyFont="1">
      <alignment readingOrder="0"/>
    </xf>
    <xf borderId="15" fillId="0" fontId="7" numFmtId="164" xfId="0" applyBorder="1" applyFont="1" applyNumberFormat="1"/>
    <xf borderId="0" fillId="0" fontId="4" numFmtId="164" xfId="0" applyFont="1" applyNumberFormat="1"/>
    <xf borderId="0" fillId="0" fontId="4" numFmtId="167" xfId="0" applyFont="1" applyNumberForma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F0"/>
          <bgColor rgb="FFD4D7F0"/>
        </patternFill>
      </fill>
      <border/>
    </dxf>
  </dxfs>
  <tableStyles count="1">
    <tableStyle count="4" pivot="0" name="Datos_Limpios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“Rendimiento entre mercados y evolución de ventas Q4”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#,##0.00;(#,##0.0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visualizaciones!$B$2:$I$2</c:f>
            </c:strRef>
          </c:cat>
          <c:val>
            <c:numRef>
              <c:f>visualizaciones!$B$3:$I$3</c:f>
              <c:numCache/>
            </c:numRef>
          </c:val>
        </c:ser>
        <c:axId val="1558091795"/>
        <c:axId val="1266329830"/>
      </c:bar3DChart>
      <c:catAx>
        <c:axId val="15580917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329830"/>
      </c:catAx>
      <c:valAx>
        <c:axId val="12663298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Monto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0917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24875" cy="5086350"/>
    <xdr:graphicFrame>
      <xdr:nvGraphicFramePr>
        <xdr:cNvPr id="77335537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895350</xdr:colOff>
      <xdr:row>0</xdr:row>
      <xdr:rowOff>0</xdr:rowOff>
    </xdr:from>
    <xdr:ext cx="8248650" cy="5086350"/>
    <xdr:pic>
      <xdr:nvPicPr>
        <xdr:cNvPr id="1204173076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V1001" sheet="Datos_Limpios"/>
  </cacheSource>
  <cacheFields>
    <cacheField name="Columna 1" numFmtId="0">
      <sharedItems>
        <s v="03/10/2024"/>
        <s v="15/10/2024"/>
        <s v="27/10/2024"/>
        <s v="02/11/2024"/>
        <s v="28/11/2024"/>
        <s v="05/11/2024"/>
        <s v="01/12/2024"/>
        <s v="10/12/2024"/>
        <s v="15/12/2024"/>
        <s v="23/12/2024"/>
        <s v="09/10/2024"/>
        <s v="25/11/2024"/>
        <s v="19/12/2024"/>
        <s v="21/10/2024"/>
        <s v="30/11/2024"/>
        <s v="05/12/2024"/>
        <s v="22/10/2024"/>
        <s v="28/12/2024"/>
        <s v="12/10/2024"/>
        <s v="14/11/2024"/>
        <s v="29/12/2024"/>
        <s v="10/11/2024"/>
        <s v="16/12/2024"/>
        <s v="14/10/2024"/>
        <s v="31/12/2024"/>
        <s v="24/12/2024"/>
        <s v="23/10/2024"/>
        <s v="08/10/2024"/>
        <s v="25/12/2024"/>
        <s v="29/10/2024"/>
        <s v="14/12/2024"/>
        <s v="11/01/2024"/>
        <s v="15/11/2024"/>
        <s v="03/12/2024"/>
        <s v="20/10/2024"/>
        <s v="11/11/2024"/>
        <s v="01/11/2024"/>
        <s v="31/10/2024"/>
        <s v="18/12/2024"/>
        <s v="17/11/2024"/>
        <s v="20/12/2024"/>
        <s v="10/10/2024"/>
        <s v="07/12/2024"/>
        <s v="13/11/2024"/>
        <s v="02/12/2024"/>
        <s v="19/11/2024"/>
        <s v="21/11/2024"/>
        <s v="07/11/2024"/>
        <s v="11/12/2024"/>
        <s v="18/10/2024"/>
        <s v="22/12/2024"/>
        <s v="04/11/2024"/>
        <s v="13/12/2024"/>
        <s v="25/10/2024"/>
        <s v="29/11/2024"/>
        <s v="24/10/2024"/>
        <s v="23/11/2024"/>
        <s v="03/11/2024"/>
        <s v="13/10/2024"/>
        <s v="26/11/2024"/>
        <s v="20/11/2024"/>
        <s v="21/12/2024"/>
        <s v="10/02/2024"/>
        <s v="16/10/2024"/>
        <s v="10/05/2024"/>
        <s v="12/06/2024"/>
        <s v="09/12/2024"/>
        <s v="30/10/2024"/>
        <s v="07/10/2024"/>
        <s v="12/01/2024"/>
        <s v="27/12/2024"/>
        <s v="24/11/2024"/>
        <s v="22/11/2024"/>
        <s v="09/11/2024"/>
        <s v="12/07/2024"/>
        <s v="04/10/2024"/>
        <s v="10/06/2024"/>
        <s v="26/10/2024"/>
        <s v="11/10/2024"/>
        <s v="19/10/2024"/>
        <s v="10/04/2024"/>
        <s v="06/11/2024"/>
        <s v="08/11/2024"/>
        <s v="26/12/2024"/>
        <s v="04/12/2024"/>
        <s v="05/10/2024"/>
        <s v="17/10/2024"/>
        <s v="18/11/2024"/>
        <s v="12/12/2024"/>
        <s v="06/12/2024"/>
        <s v="12/11/2024"/>
        <s v="28/10/2024"/>
        <s v="17/12/2024"/>
        <s v="27/11/2024"/>
        <s v="12/05/2024"/>
        <s v="10/08/2024"/>
        <s v="12/04/2024"/>
        <s v="10/07/2024"/>
        <s v="05/08/2024"/>
        <s v="12/02/2024"/>
        <s v="12/08/2024"/>
        <s v="11/09/2024"/>
        <s v="11/04/2024"/>
        <s v="16/11/2024"/>
        <s v="11/03/2024"/>
        <s v="08/12/2024"/>
        <s v="01/10/2024"/>
        <s v="30/12/2024"/>
        <s v="06/10/2024"/>
        <s v="09/03/2024"/>
        <s v="11/08/2024"/>
        <s v="12/03/2024"/>
        <s v="11/06/2024"/>
        <s v="10/09/2024"/>
        <s v="10/03/2024"/>
        <s v="11/07/2024"/>
        <s v="12/09/2024"/>
        <s v="11/05/2024"/>
        <s v="10/01/2024"/>
        <s v="11/02/2024"/>
        <s v="16/16/2024"/>
      </sharedItems>
    </cacheField>
    <cacheField name="Fecha">
      <sharedItems containsDate="1" containsMixedTypes="1">
        <d v="2024-10-03T00:00:00Z"/>
        <d v="2024-10-15T00:00:00Z"/>
        <d v="2024-10-27T00:00:00Z"/>
        <d v="2024-11-02T00:00:00Z"/>
        <d v="2024-11-28T00:00:00Z"/>
        <d v="2024-11-05T00:00:00Z"/>
        <d v="2024-12-01T00:00:00Z"/>
        <d v="2024-12-10T00:00:00Z"/>
        <d v="2024-12-15T00:00:00Z"/>
        <d v="2024-12-23T00:00:00Z"/>
        <d v="2024-10-09T00:00:00Z"/>
        <d v="2024-11-25T00:00:00Z"/>
        <d v="2024-12-19T00:00:00Z"/>
        <d v="2024-10-21T00:00:00Z"/>
        <d v="2024-11-30T00:00:00Z"/>
        <d v="2024-12-05T00:00:00Z"/>
        <d v="2024-10-22T00:00:00Z"/>
        <d v="2024-12-28T00:00:00Z"/>
        <d v="2024-10-12T00:00:00Z"/>
        <d v="2024-11-14T00:00:00Z"/>
        <d v="2024-12-29T00:00:00Z"/>
        <d v="2024-11-10T00:00:00Z"/>
        <d v="2024-12-16T00:00:00Z"/>
        <d v="2024-10-14T00:00:00Z"/>
        <d v="2024-12-31T00:00:00Z"/>
        <d v="2024-12-24T00:00:00Z"/>
        <d v="2024-10-23T00:00:00Z"/>
        <d v="2024-10-08T00:00:00Z"/>
        <d v="2024-12-25T00:00:00Z"/>
        <d v="2024-10-29T00:00:00Z"/>
        <d v="2024-12-14T00:00:00Z"/>
        <d v="2024-01-11T00:00:00Z"/>
        <d v="2024-11-15T00:00:00Z"/>
        <d v="2024-12-03T00:00:00Z"/>
        <d v="2024-10-20T00:00:00Z"/>
        <d v="2024-11-11T00:00:00Z"/>
        <d v="2024-11-01T00:00:00Z"/>
        <d v="2024-10-31T00:00:00Z"/>
        <d v="2024-12-18T00:00:00Z"/>
        <d v="2024-11-17T00:00:00Z"/>
        <d v="2024-12-20T00:00:00Z"/>
        <d v="2024-10-10T00:00:00Z"/>
        <d v="2024-12-07T00:00:00Z"/>
        <d v="2024-11-13T00:00:00Z"/>
        <d v="2024-12-02T00:00:00Z"/>
        <d v="2024-11-19T00:00:00Z"/>
        <d v="2024-11-21T00:00:00Z"/>
        <d v="2024-11-07T00:00:00Z"/>
        <d v="2024-12-11T00:00:00Z"/>
        <d v="2024-10-18T00:00:00Z"/>
        <d v="2024-12-22T00:00:00Z"/>
        <d v="2024-11-04T00:00:00Z"/>
        <d v="2024-12-13T00:00:00Z"/>
        <d v="2024-10-25T00:00:00Z"/>
        <d v="2024-11-29T00:00:00Z"/>
        <d v="2024-10-24T00:00:00Z"/>
        <d v="2024-11-23T00:00:00Z"/>
        <d v="2024-11-03T00:00:00Z"/>
        <d v="2024-10-13T00:00:00Z"/>
        <d v="2024-11-26T00:00:00Z"/>
        <d v="2024-11-20T00:00:00Z"/>
        <d v="2024-12-21T00:00:00Z"/>
        <d v="2024-02-10T00:00:00Z"/>
        <d v="2024-10-16T00:00:00Z"/>
        <d v="2024-05-10T00:00:00Z"/>
        <d v="2024-06-12T00:00:00Z"/>
        <d v="2024-12-09T00:00:00Z"/>
        <d v="2024-10-30T00:00:00Z"/>
        <d v="2024-10-07T00:00:00Z"/>
        <d v="2024-01-12T00:00:00Z"/>
        <d v="2024-12-27T00:00:00Z"/>
        <d v="2024-11-24T00:00:00Z"/>
        <d v="2024-11-22T00:00:00Z"/>
        <d v="2024-11-09T00:00:00Z"/>
        <d v="2024-07-12T00:00:00Z"/>
        <d v="2024-10-04T00:00:00Z"/>
        <d v="2024-06-10T00:00:00Z"/>
        <d v="2024-10-26T00:00:00Z"/>
        <d v="2024-10-11T00:00:00Z"/>
        <d v="2024-10-19T00:00:00Z"/>
        <d v="2024-04-10T00:00:00Z"/>
        <d v="2024-11-06T00:00:00Z"/>
        <d v="2024-11-08T00:00:00Z"/>
        <d v="2024-12-26T00:00:00Z"/>
        <d v="2024-12-04T00:00:00Z"/>
        <d v="2024-10-05T00:00:00Z"/>
        <d v="2024-10-17T00:00:00Z"/>
        <d v="2024-11-18T00:00:00Z"/>
        <d v="2024-12-12T00:00:00Z"/>
        <d v="2024-12-06T00:00:00Z"/>
        <d v="2024-11-12T00:00:00Z"/>
        <d v="2024-10-28T00:00:00Z"/>
        <d v="2024-12-17T00:00:00Z"/>
        <d v="2024-11-27T00:00:00Z"/>
        <d v="2024-05-12T00:00:00Z"/>
        <d v="2024-08-10T00:00:00Z"/>
        <d v="2024-04-12T00:00:00Z"/>
        <d v="2024-07-10T00:00:00Z"/>
        <d v="2024-08-05T00:00:00Z"/>
        <d v="2024-02-12T00:00:00Z"/>
        <d v="2024-08-12T00:00:00Z"/>
        <d v="2024-09-11T00:00:00Z"/>
        <d v="2024-04-11T00:00:00Z"/>
        <d v="2024-11-16T00:00:00Z"/>
        <d v="2024-03-11T00:00:00Z"/>
        <d v="2024-12-08T00:00:00Z"/>
        <d v="2024-10-01T00:00:00Z"/>
        <d v="2024-12-30T00:00:00Z"/>
        <d v="2024-10-06T00:00:00Z"/>
        <d v="2024-03-09T00:00:00Z"/>
        <d v="2024-08-11T00:00:00Z"/>
        <d v="2024-03-12T00:00:00Z"/>
        <d v="2024-06-11T00:00:00Z"/>
        <d v="2024-09-10T00:00:00Z"/>
        <d v="2024-03-10T00:00:00Z"/>
        <d v="2024-07-11T00:00:00Z"/>
        <d v="2024-09-12T00:00:00Z"/>
        <d v="2024-05-11T00:00:00Z"/>
        <d v="2024-01-10T00:00:00Z"/>
        <d v="2024-02-11T00:00:00Z"/>
        <s v="16/16/2024"/>
      </sharedItems>
    </cacheField>
    <cacheField name="Ciudad" numFmtId="0">
      <sharedItems>
        <s v="Monterrey"/>
        <s v="Bogotá"/>
        <s v="Medellín"/>
        <s v="Cali"/>
        <s v="Guadalajara"/>
        <s v="Ciudad De México"/>
        <s v="Tulum"/>
      </sharedItems>
    </cacheField>
    <cacheField name="Producto" numFmtId="0">
      <sharedItems>
        <s v="Auriculares"/>
        <s v="Laptop"/>
        <s v="Tablet"/>
        <s v="Teléfono"/>
      </sharedItems>
    </cacheField>
    <cacheField name="Tipo" numFmtId="0">
      <sharedItems>
        <s v="Con cable"/>
        <s v="Bluetooth"/>
        <s v="Gaming"/>
        <s v="Pro"/>
        <s v="Gama alta"/>
        <s v="Mini"/>
        <s v="Ultraliviana"/>
        <s v="Gama baja"/>
        <s v="Cancelación de ruido"/>
        <s v="Estándar"/>
        <s v="Gama media"/>
        <s v="Oficina"/>
      </sharedItems>
    </cacheField>
    <cacheField name="Especificaciones" numFmtId="0">
      <sharedItems>
        <s v="32GB"/>
        <s v="8GB"/>
        <s v="4GB"/>
        <s v="16GB"/>
      </sharedItems>
    </cacheField>
    <cacheField name="Precio unitario">
      <sharedItems containsMixedTypes="1" containsNumber="1">
        <n v="439.01"/>
        <n v="1090.69"/>
        <n v="1174.54"/>
        <n v="1291.38"/>
        <n v="1450.89"/>
        <n v="670.67"/>
        <n v="1114.1"/>
        <n v="1001.63"/>
        <n v="181.56"/>
        <n v="964.35"/>
        <n v="120.46"/>
        <n v="1061.61"/>
        <n v="2440.84"/>
        <n v="121.68"/>
        <n v="1109.64"/>
        <n v="2246.48"/>
        <n v="129.07"/>
        <n v="1724.31"/>
        <n v="1445.1"/>
        <n v="1618.43"/>
        <n v="2070.23"/>
        <n v="763.62"/>
        <n v="658.01"/>
        <n v="162.56"/>
        <n v="1721.22"/>
        <n v="741.79"/>
        <n v="489.42"/>
        <n v="1247.53"/>
        <n v="273.42"/>
        <n v="160.68"/>
        <n v="2297.62"/>
        <n v="1040.78"/>
        <n v="1850.94"/>
        <n v="134.89"/>
        <n v="2314.37"/>
        <n v="787.6"/>
        <n v="1532.2"/>
        <n v="1741.09"/>
        <n v="2116.69"/>
        <n v="1065.52"/>
        <n v="1919.71"/>
        <n v="450.01"/>
        <n v="2294.28"/>
        <n v="496.1"/>
        <n v="1529.1"/>
        <n v="2256.04"/>
        <n v="625.26"/>
        <n v="1933.07"/>
        <n v="434.9"/>
        <n v="1889.28"/>
        <n v="1708.81"/>
        <n v="1524.07"/>
        <n v="372.92"/>
        <n v="2168.25"/>
        <n v="882.55"/>
        <n v="602.68"/>
        <n v="2405.31"/>
        <n v="564.69"/>
        <n v="2373.12"/>
        <n v="278.37"/>
        <n v="1636.89"/>
        <s v="0"/>
        <n v="218.94"/>
        <n v="1077.1"/>
        <n v="2297.78"/>
        <n v="127.95"/>
        <n v="1545.28"/>
        <n v="97.52"/>
        <n v="817.03"/>
        <n v="721.04"/>
        <n v="1636.65"/>
        <n v="2114.2"/>
        <n v="934.1"/>
        <n v="2095.64"/>
        <n v="337.5"/>
        <n v="1962.79"/>
        <n v="2261.15"/>
        <n v="1491.19"/>
        <n v="405.62"/>
        <n v="2157.37"/>
        <n v="625.41"/>
        <n v="1664.18"/>
        <n v="2229.46"/>
        <n v="371.34"/>
        <n v="271.58"/>
        <n v="2371.6"/>
        <n v="2392.65"/>
        <n v="1738.96"/>
        <n v="1877.63"/>
        <n v="1547.71"/>
        <n v="1254.72"/>
        <n v="2087.84"/>
        <n v="1849.07"/>
        <n v="1290.52"/>
        <n v="392.86"/>
        <n v="1864.02"/>
        <n v="589.92"/>
        <n v="758.87"/>
        <n v="489.9"/>
        <n v="1614.05"/>
        <n v="179.58"/>
        <n v="984.34"/>
        <n v="1456.46"/>
        <n v="421.27"/>
        <n v="78.53"/>
        <n v="576.8"/>
        <n v="719.59"/>
        <n v="1050.44"/>
        <n v="166.45"/>
        <n v="2299.22"/>
        <n v="599.4"/>
        <n v="370.25"/>
        <n v="1747.28"/>
        <n v="1099.54"/>
        <n v="157.57"/>
        <n v="2200.84"/>
        <n v="290.07"/>
        <n v="2312.52"/>
        <n v="1401.28"/>
        <n v="1407.68"/>
        <n v="2044.86"/>
        <n v="2425.49"/>
        <n v="1752.92"/>
        <n v="1935.15"/>
        <n v="1612.87"/>
        <n v="1105.02"/>
        <n v="594.52"/>
        <n v="1077.13"/>
        <n v="1598.45"/>
        <n v="1744.95"/>
        <n v="2212.26"/>
        <n v="443.81"/>
        <n v="416.62"/>
        <n v="271.11"/>
        <n v="797.54"/>
        <n v="157.83"/>
        <n v="1096.28"/>
        <n v="1086.48"/>
        <n v="2361.22"/>
        <n v="2378.7"/>
        <n v="2186.25"/>
        <n v="156.04"/>
        <n v="1847.8"/>
        <n v="1912.53"/>
        <n v="919.0"/>
        <n v="2208.12"/>
        <n v="902.5"/>
        <n v="1585.53"/>
        <n v="90.89"/>
        <n v="88.54"/>
        <n v="230.59"/>
        <n v="2356.5"/>
        <n v="2030.62"/>
        <n v="539.2"/>
        <n v="1945.67"/>
        <n v="1656.59"/>
        <n v="56.71"/>
        <n v="841.77"/>
        <n v="853.52"/>
        <n v="851.86"/>
        <n v="1047.88"/>
        <n v="700.01"/>
        <n v="1909.2"/>
        <n v="981.62"/>
        <n v="210.76"/>
        <n v="713.75"/>
        <n v="1005.46"/>
        <n v="208.54"/>
        <n v="1902.94"/>
        <n v="2317.48"/>
        <n v="1522.98"/>
        <n v="807.96"/>
        <n v="761.94"/>
        <n v="1898.32"/>
        <n v="1145.32"/>
        <n v="1865.55"/>
        <n v="949.27"/>
        <n v="1944.73"/>
        <n v="1956.0"/>
        <n v="1848.95"/>
        <n v="814.63"/>
        <n v="120.94"/>
        <n v="797.71"/>
        <n v="762.46"/>
        <n v="1794.09"/>
        <n v="157.89"/>
        <n v="642.49"/>
        <n v="798.65"/>
        <n v="1533.19"/>
        <n v="1247.13"/>
        <n v="1988.0"/>
        <n v="1923.56"/>
        <n v="1112.81"/>
        <n v="2281.58"/>
        <n v="2095.66"/>
        <n v="2064.2"/>
        <n v="1143.24"/>
        <n v="2333.72"/>
        <n v="1537.12"/>
        <n v="2224.57"/>
        <n v="1688.92"/>
        <n v="1575.85"/>
        <n v="1861.0"/>
        <n v="62.73"/>
        <n v="1332.48"/>
        <n v="1771.25"/>
        <n v="788.6"/>
        <n v="591.94"/>
        <n v="2060.35"/>
        <n v="324.09"/>
        <n v="525.13"/>
        <n v="787.78"/>
        <n v="1242.34"/>
        <n v="1657.62"/>
        <n v="780.24"/>
        <n v="1832.39"/>
        <n v="205.57"/>
        <n v="1219.75"/>
        <n v="1126.91"/>
        <n v="1950.45"/>
        <n v="1940.18"/>
        <n v="251.95"/>
        <n v="1378.81"/>
        <n v="2215.63"/>
        <n v="1967.19"/>
        <n v="2395.85"/>
        <n v="809.92"/>
        <n v="1156.44"/>
        <n v="1062.11"/>
        <n v="784.39"/>
        <n v="1459.53"/>
        <n v="1668.3"/>
        <n v="563.73"/>
        <n v="2209.08"/>
        <n v="568.57"/>
        <n v="1795.59"/>
        <n v="883.61"/>
        <n v="1566.36"/>
        <n v="1141.13"/>
        <n v="1865.58"/>
        <n v="1585.75"/>
        <n v="1491.36"/>
        <n v="516.02"/>
        <n v="153.47"/>
        <n v="107.98"/>
        <n v="2441.7"/>
        <n v="785.65"/>
        <n v="229.33"/>
        <n v="1345.66"/>
        <n v="1805.81"/>
        <n v="1363.76"/>
        <n v="1405.61"/>
        <n v="100.98"/>
        <n v="401.92"/>
        <n v="890.76"/>
        <n v="989.79"/>
        <n v="1137.01"/>
        <n v="273.29"/>
        <n v="233.33"/>
        <n v="228.56"/>
        <n v="1277.75"/>
        <n v="2087.73"/>
        <n v="1937.4"/>
        <n v="1628.77"/>
        <n v="747.11"/>
        <n v="596.93"/>
        <n v="1691.93"/>
        <n v="2043.06"/>
        <n v="808.32"/>
        <n v="2092.55"/>
        <n v="785.82"/>
        <n v="2014.33"/>
        <n v="1030.99"/>
        <n v="658.24"/>
        <n v="1019.73"/>
        <n v="664.21"/>
        <n v="1307.54"/>
        <n v="1711.63"/>
        <n v="1670.11"/>
        <n v="1492.73"/>
        <n v="617.79"/>
        <n v="2211.26"/>
        <n v="1397.7"/>
        <n v="1339.17"/>
        <n v="992.68"/>
        <n v="2196.83"/>
        <n v="895.6"/>
        <n v="1280.61"/>
        <n v="288.64"/>
        <n v="2092.87"/>
        <n v="1631.22"/>
        <n v="1068.29"/>
        <n v="1216.59"/>
        <n v="979.2"/>
        <n v="1752.21"/>
        <n v="2381.87"/>
        <n v="173.98"/>
        <n v="1987.27"/>
        <n v="486.27"/>
        <n v="1615.07"/>
        <n v="1464.04"/>
        <n v="1612.96"/>
        <n v="920.68"/>
        <n v="499.22"/>
        <n v="1650.53"/>
        <n v="1112.48"/>
        <n v="366.39"/>
        <n v="1019.3"/>
        <n v="1152.44"/>
        <n v="1807.14"/>
        <n v="1175.45"/>
        <n v="177.74"/>
        <n v="1220.85"/>
        <n v="1866.74"/>
        <n v="1363.09"/>
        <n v="720.63"/>
        <n v="1719.53"/>
        <n v="2484.74"/>
        <n v="2437.77"/>
        <n v="702.77"/>
        <n v="284.79"/>
        <n v="824.79"/>
        <n v="616.36"/>
        <n v="1501.95"/>
        <n v="1429.89"/>
        <n v="1662.81"/>
        <n v="379.11"/>
        <n v="2242.24"/>
        <n v="1402.2"/>
        <n v="214.72"/>
        <n v="1017.27"/>
        <n v="1640.14"/>
        <n v="793.37"/>
        <n v="861.73"/>
        <n v="2264.15"/>
        <n v="226.25"/>
        <n v="720.31"/>
        <n v="1620.89"/>
        <n v="1912.83"/>
        <n v="1168.3"/>
        <n v="1281.78"/>
        <n v="1656.61"/>
        <n v="2030.7"/>
        <n v="649.99"/>
        <n v="68.0"/>
        <n v="348.21"/>
        <n v="782.8"/>
        <n v="2393.92"/>
        <n v="825.08"/>
        <n v="2323.09"/>
        <n v="1518.43"/>
        <n v="1779.15"/>
        <n v="1051.49"/>
        <n v="1014.61"/>
        <n v="1745.0"/>
        <n v="1273.61"/>
        <n v="1361.77"/>
        <n v="1710.52"/>
        <n v="412.36"/>
        <n v="718.45"/>
        <n v="1141.88"/>
        <n v="345.81"/>
        <n v="1602.14"/>
        <n v="1198.31"/>
        <n v="633.09"/>
        <n v="2100.84"/>
        <n v="2263.78"/>
        <n v="1840.11"/>
        <n v="2008.39"/>
        <n v="724.54"/>
        <n v="1923.49"/>
        <n v="653.09"/>
        <n v="627.66"/>
        <n v="1194.62"/>
        <n v="169.21"/>
        <n v="2081.9"/>
        <n v="324.46"/>
        <n v="1178.53"/>
        <n v="2196.48"/>
        <n v="1527.82"/>
        <n v="1213.49"/>
        <n v="288.29"/>
        <n v="1006.61"/>
        <n v="1388.37"/>
        <n v="2114.99"/>
        <n v="1627.59"/>
        <n v="1385.54"/>
        <n v="1164.32"/>
        <n v="169.2"/>
        <n v="1057.56"/>
        <n v="1567.55"/>
        <n v="2012.81"/>
        <n v="2101.18"/>
        <n v="2008.78"/>
        <n v="1451.3"/>
        <n v="1291.39"/>
        <n v="1083.91"/>
        <n v="1181.12"/>
        <n v="1665.73"/>
        <n v="1083.6"/>
        <n v="1614.84"/>
        <n v="1261.22"/>
        <n v="571.73"/>
        <n v="1056.48"/>
        <n v="292.81"/>
        <n v="2085.29"/>
        <n v="206.29"/>
        <n v="271.04"/>
        <n v="1770.13"/>
        <n v="988.8"/>
        <n v="1170.2"/>
        <n v="2418.11"/>
        <n v="1639.83"/>
        <n v="1373.32"/>
        <n v="825.4"/>
        <n v="796.3"/>
        <n v="2127.13"/>
        <n v="2009.75"/>
        <n v="634.44"/>
        <n v="2452.44"/>
        <n v="460.39"/>
        <n v="564.58"/>
        <n v="1265.56"/>
        <n v="85.19"/>
        <n v="1468.39"/>
        <n v="1450.82"/>
        <n v="429.21"/>
        <n v="724.28"/>
        <n v="1654.16"/>
        <n v="1834.12"/>
        <n v="2148.04"/>
        <n v="1325.42"/>
        <n v="1148.65"/>
        <n v="932.02"/>
        <n v="1806.33"/>
        <n v="2187.34"/>
        <n v="1859.58"/>
        <n v="306.11"/>
        <n v="1429.62"/>
        <n v="1788.74"/>
        <n v="2199.82"/>
        <n v="2476.21"/>
        <n v="2261.12"/>
        <n v="1247.08"/>
        <n v="479.96"/>
        <n v="1155.26"/>
        <n v="563.92"/>
        <n v="1022.39"/>
        <n v="1527.87"/>
        <n v="1804.11"/>
        <n v="70.91"/>
        <n v="1768.85"/>
        <n v="446.49"/>
        <n v="416.81"/>
        <n v="1437.75"/>
        <n v="2078.48"/>
        <n v="1292.9"/>
        <n v="1703.47"/>
        <n v="240.45"/>
        <n v="1700.41"/>
        <n v="460.62"/>
        <n v="1092.45"/>
        <n v="1270.75"/>
        <n v="583.68"/>
        <n v="1284.18"/>
        <n v="569.56"/>
        <n v="1808.18"/>
        <n v="2255.29"/>
        <n v="847.32"/>
        <n v="509.58"/>
        <n v="578.14"/>
        <n v="879.78"/>
        <n v="205.25"/>
        <n v="2309.76"/>
        <n v="1540.33"/>
        <n v="1018.4"/>
        <n v="1058.81"/>
        <n v="890.66"/>
        <n v="252.24"/>
        <n v="1705.74"/>
        <n v="2289.42"/>
        <n v="2281.01"/>
        <n v="1093.69"/>
        <n v="233.85"/>
        <n v="1779.34"/>
        <n v="1490.57"/>
        <n v="1696.63"/>
        <n v="942.47"/>
        <n v="2064.92"/>
        <n v="2182.77"/>
        <n v="1402.66"/>
        <n v="2420.41"/>
        <n v="2084.89"/>
        <n v="173.04"/>
        <n v="1831.56"/>
        <n v="1899.66"/>
        <n v="197.09"/>
        <n v="1577.5"/>
        <n v="832.37"/>
        <n v="1519.67"/>
        <n v="1947.2"/>
        <n v="793.75"/>
        <n v="1001.15"/>
        <n v="1492.69"/>
        <n v="1228.88"/>
        <n v="2068.09"/>
        <n v="1882.22"/>
        <n v="2266.71"/>
        <n v="1035.07"/>
        <n v="1958.41"/>
        <n v="1222.82"/>
        <n v="66.58"/>
        <n v="2287.41"/>
        <n v="2310.61"/>
        <n v="1332.22"/>
        <n v="2135.79"/>
        <n v="1868.91"/>
        <n v="2063.13"/>
        <n v="1772.58"/>
        <n v="2224.61"/>
        <n v="419.18"/>
        <n v="2149.59"/>
        <n v="709.65"/>
        <n v="1191.71"/>
        <n v="914.84"/>
        <n v="2419.81"/>
        <n v="1750.63"/>
        <n v="1091.59"/>
        <n v="2182.83"/>
        <n v="919.27"/>
        <n v="145.9"/>
        <n v="1208.42"/>
        <n v="1990.56"/>
        <n v="347.49"/>
        <n v="771.57"/>
        <n v="1346.1"/>
        <n v="1806.45"/>
        <n v="2248.35"/>
        <n v="817.31"/>
        <n v="2484.65"/>
        <n v="101.1"/>
        <n v="1311.78"/>
        <n v="271.81"/>
        <n v="371.09"/>
        <n v="1414.97"/>
        <n v="1823.15"/>
        <n v="1118.74"/>
        <n v="1511.08"/>
        <n v="210.37"/>
        <n v="495.51"/>
        <n v="1327.27"/>
        <n v="1101.82"/>
        <n v="1767.16"/>
        <n v="764.41"/>
        <n v="2148.99"/>
        <n v="1663.22"/>
        <n v="1898.24"/>
        <n v="569.35"/>
        <n v="2312.7"/>
        <n v="360.98"/>
        <n v="320.64"/>
        <n v="1843.37"/>
        <n v="833.39"/>
        <n v="1321.79"/>
        <n v="1286.13"/>
        <n v="1447.41"/>
        <n v="1456.11"/>
        <n v="1286.15"/>
        <n v="2483.87"/>
        <n v="2499.77"/>
        <n v="1284.54"/>
        <n v="218.17"/>
        <n v="1597.75"/>
        <n v="1736.9"/>
        <n v="1542.12"/>
        <n v="1991.97"/>
        <n v="769.77"/>
        <n v="173.94"/>
        <n v="1118.35"/>
        <n v="232.18"/>
        <n v="1217.56"/>
        <n v="303.05"/>
        <n v="807.71"/>
        <n v="794.49"/>
        <n v="2388.79"/>
        <n v="1768.49"/>
        <n v="1873.69"/>
        <n v="752.56"/>
        <n v="619.4"/>
        <n v="834.63"/>
        <n v="211.08"/>
        <n v="103.69"/>
        <n v="1137.77"/>
        <n v="2009.76"/>
        <n v="755.38"/>
        <n v="287.48"/>
        <n v="808.48"/>
        <n v="181.51"/>
        <n v="2246.65"/>
        <n v="1029.22"/>
        <n v="1713.18"/>
        <n v="1375.85"/>
        <n v="1268.59"/>
        <n v="633.29"/>
        <n v="664.19"/>
        <n v="2198.02"/>
        <n v="1406.32"/>
        <n v="421.59"/>
        <n v="1160.86"/>
        <n v="340.31"/>
        <n v="1916.11"/>
        <n v="970.38"/>
        <n v="378.98"/>
        <n v="2028.12"/>
        <n v="988.44"/>
        <n v="1832.97"/>
        <n v="530.94"/>
        <n v="2254.91"/>
        <n v="127.35"/>
        <n v="732.27"/>
        <n v="2063.96"/>
        <n v="2271.98"/>
        <n v="627.26"/>
        <n v="2391.72"/>
        <n v="318.76"/>
        <n v="1375.44"/>
        <n v="488.25"/>
        <n v="1928.76"/>
        <n v="1228.74"/>
        <n v="2384.86"/>
        <n v="2332.8"/>
        <n v="1274.8"/>
        <n v="181.16"/>
        <n v="110.53"/>
        <n v="1008.28"/>
        <n v="1758.16"/>
        <n v="548.67"/>
        <n v="664.18"/>
        <n v="1453.6"/>
        <n v="2191.24"/>
        <n v="2101.48"/>
        <n v="2461.45"/>
        <n v="1972.43"/>
        <n v="214.86"/>
        <n v="397.5"/>
        <n v="1673.73"/>
        <n v="1395.95"/>
        <n v="2140.33"/>
        <n v="2167.21"/>
        <n v="276.58"/>
        <n v="2062.25"/>
        <n v="2343.81"/>
        <n v="1397.49"/>
        <n v="1159.32"/>
        <n v="1717.67"/>
        <n v="611.99"/>
        <n v="1865.37"/>
        <n v="642.95"/>
        <n v="1237.66"/>
        <n v="1172.2"/>
        <n v="2142.82"/>
        <n v="1083.45"/>
        <n v="927.31"/>
        <n v="2392.27"/>
        <n v="219.68"/>
        <n v="563.11"/>
        <n v="2269.51"/>
        <n v="299.66"/>
        <n v="2139.42"/>
        <n v="1164.16"/>
        <n v="2202.87"/>
        <n v="386.85"/>
        <n v="2461.26"/>
        <n v="469.22"/>
        <n v="499.69"/>
        <n v="2493.45"/>
        <n v="510.78"/>
        <n v="221.44"/>
        <n v="1177.91"/>
        <n v="2100.59"/>
        <n v="302.84"/>
        <n v="2431.8"/>
        <n v="2488.53"/>
        <n v="1079.32"/>
        <n v="1421.57"/>
        <n v="314.21"/>
        <n v="2027.81"/>
        <n v="342.64"/>
        <n v="379.5"/>
        <n v="778.63"/>
        <n v="2020.01"/>
        <n v="2288.18"/>
        <n v="120.49"/>
        <n v="84.76"/>
        <n v="1746.28"/>
        <n v="2003.92"/>
        <n v="2332.13"/>
        <n v="1918.04"/>
        <n v="800.91"/>
        <n v="1129.0"/>
        <n v="2399.48"/>
        <n v="763.21"/>
        <n v="1061.9"/>
        <n v="2329.03"/>
        <n v="1249.46"/>
        <n v="1905.51"/>
        <n v="1151.85"/>
        <n v="428.56"/>
        <n v="1672.13"/>
        <n v="1312.69"/>
        <n v="1306.96"/>
        <n v="164.87"/>
        <n v="1152.78"/>
        <n v="2210.34"/>
        <n v="1125.48"/>
        <n v="142.14"/>
        <n v="66.73"/>
        <n v="1021.75"/>
        <n v="620.05"/>
        <n v="1588.14"/>
        <n v="379.46"/>
        <n v="495.86"/>
        <n v="1010.17"/>
        <n v="969.37"/>
        <n v="100.75"/>
        <n v="2242.64"/>
        <n v="774.69"/>
        <n v="535.75"/>
        <n v="1318.47"/>
        <n v="1711.88"/>
        <n v="1756.32"/>
        <n v="2143.37"/>
        <n v="769.01"/>
        <n v="269.57"/>
        <n v="2185.04"/>
        <n v="2251.92"/>
        <n v="330.1"/>
        <n v="1331.81"/>
        <n v="2115.54"/>
        <n v="2411.28"/>
        <n v="519.68"/>
        <n v="455.85"/>
        <n v="1669.72"/>
        <n v="2224.42"/>
        <n v="1032.0"/>
        <n v="2387.49"/>
        <n v="474.59"/>
        <n v="1951.0"/>
        <n v="2425.55"/>
        <n v="2214.19"/>
        <n v="1165.81"/>
        <n v="1402.18"/>
        <n v="1649.11"/>
        <n v="1531.23"/>
        <n v="742.02"/>
        <n v="494.33"/>
        <n v="731.02"/>
        <n v="2203.93"/>
        <n v="2002.21"/>
        <n v="428.02"/>
        <n v="2160.65"/>
        <n v="2472.61"/>
        <n v="1252.47"/>
        <n v="130.05"/>
        <n v="2399.53"/>
        <n v="1900.01"/>
        <n v="1344.3"/>
        <n v="2170.39"/>
        <n v="403.48"/>
        <n v="2172.79"/>
        <n v="892.88"/>
        <n v="463.17"/>
        <n v="944.98"/>
        <n v="848.42"/>
        <n v="303.84"/>
        <n v="684.7"/>
        <n v="1876.74"/>
        <n v="1770.14"/>
        <n v="815.48"/>
        <n v="986.08"/>
        <n v="646.22"/>
        <n v="2240.54"/>
        <n v="1260.9"/>
        <n v="540.19"/>
        <n v="1254.96"/>
        <n v="1037.64"/>
        <n v="1273.07"/>
        <n v="2430.43"/>
        <n v="1203.93"/>
        <n v="2426.87"/>
        <n v="1848.98"/>
        <n v="1436.52"/>
        <n v="904.01"/>
        <n v="344.69"/>
        <n v="1564.37"/>
        <n v="2031.79"/>
        <n v="1119.17"/>
        <n v="1031.51"/>
        <n v="700.55"/>
        <n v="2138.25"/>
        <n v="1604.02"/>
        <n v="714.18"/>
        <n v="2181.56"/>
        <n v="2083.24"/>
        <n v="879.04"/>
        <n v="1606.74"/>
        <n v="2442.23"/>
        <n v="462.11"/>
        <n v="867.71"/>
        <n v="1793.94"/>
        <n v="2068.34"/>
        <n v="2469.75"/>
        <n v="1268.91"/>
        <n v="818.61"/>
        <n v="500.92"/>
        <n v="2247.57"/>
        <n v="2189.91"/>
        <n v="2144.75"/>
        <n v="1642.37"/>
        <n v="2005.24"/>
        <n v="1944.02"/>
        <n v="215.41"/>
        <n v="2331.11"/>
        <n v="1966.38"/>
        <n v="1496.64"/>
        <n v="2242.47"/>
        <n v="1507.69"/>
        <n v="920.71"/>
        <n v="140.58"/>
        <n v="1383.94"/>
        <n v="806.78"/>
        <n v="1292.41"/>
        <n v="1983.71"/>
        <n v="2390.84"/>
        <n v="1943.33"/>
        <n v="718.69"/>
        <n v="1979.07"/>
        <n v="2317.94"/>
        <n v="1397.8"/>
        <n v="974.06"/>
        <n v="2086.06"/>
        <n v="1808.15"/>
        <n v="1130.03"/>
        <n v="903.41"/>
        <n v="379.64"/>
        <n v="554.25"/>
        <n v="1832.19"/>
        <n v="1485.74"/>
        <n v="1699.32"/>
        <n v="1780.69"/>
        <n v="484.68"/>
        <n v="583.8"/>
        <n v="579.54"/>
        <n v="1615.43"/>
        <n v="489.63"/>
        <n v="1415.48"/>
        <n v="613.16"/>
        <n v="1295.8"/>
        <n v="2040.92"/>
        <n v="1441.97"/>
        <n v="1081.59"/>
        <n v="1901.74"/>
        <n v="231.5"/>
        <n v="1796.72"/>
        <n v="2086.91"/>
        <n v="411.02"/>
        <n v="1064.4"/>
        <n v="1381.5"/>
        <n v="201.31"/>
        <n v="1083.12"/>
        <n v="1969.69"/>
        <n v="2498.64"/>
        <n v="314.84"/>
        <n v="752.58"/>
        <n v="2389.97"/>
        <n v="2374.3"/>
        <n v="532.35"/>
        <n v="1490.14"/>
        <n v="1390.26"/>
        <n v="494.57"/>
        <n v="1582.73"/>
        <n v="812.41"/>
        <n v="432.18"/>
        <n v="1603.02"/>
        <n v="2019.54"/>
        <n v="1896.1"/>
        <n v="226.52"/>
        <n v="2334.37"/>
        <n v="2180.21"/>
        <n v="2439.67"/>
        <n v="1076.71"/>
        <n v="1163.04"/>
        <n v="1701.36"/>
        <n v="1892.73"/>
        <n v="1097.51"/>
        <n v="1362.97"/>
        <n v="1626.83"/>
        <n v="292.99"/>
        <n v="1570.12"/>
        <n v="2174.89"/>
        <n v="1288.12"/>
        <n v="158.82"/>
        <n v="1092.96"/>
        <n v="722.95"/>
        <n v="829.53"/>
        <n v="680.45"/>
        <n v="2351.13"/>
        <n v="792.6"/>
        <n v="741.53"/>
        <n v="72.37"/>
        <n v="242.27"/>
        <n v="2097.38"/>
        <n v="270.83"/>
        <n v="494.09"/>
        <n v="1984.42"/>
        <n v="992.95"/>
        <n v="2230.77"/>
        <n v="1203.25"/>
        <n v="1912.01"/>
        <n v="2049.26"/>
        <n v="1088.33"/>
        <n v="1089.03"/>
        <n v="155.7"/>
        <n v="716.29"/>
        <n v="1922.79"/>
        <n v="1992.15"/>
        <n v="823.08"/>
        <n v="1753.0"/>
        <n v="2145.76"/>
        <n v="1826.03"/>
        <n v="174.28"/>
        <n v="648.35"/>
        <n v="456.65"/>
        <n v="1566.88"/>
        <n v="1880.14"/>
        <n v="2377.34"/>
        <n v="1811.9"/>
        <n v="1160.21"/>
        <n v="1698.28"/>
        <n v="690.26"/>
        <n v="1034.4"/>
        <n v="1868.8"/>
        <n v="1817.8"/>
        <n v="1384.09"/>
        <n v="259.75"/>
        <n v="500.74"/>
        <n v="1113.91"/>
        <n v="2474.36"/>
        <n v="1440.56"/>
        <n v="72.75"/>
        <n v="776.93"/>
        <n v="997.09"/>
        <n v="842.36"/>
        <n v="228.78"/>
        <n v="2382.64"/>
        <n v="1111.98"/>
        <n v="1148.92"/>
        <n v="1279.5"/>
        <n v="424.12"/>
        <n v="1088.66"/>
        <n v="173.36"/>
        <n v="1560.05"/>
        <n v="2114.97"/>
        <n v="1578.34"/>
        <n v="427.92"/>
        <n v="1742.12"/>
        <n v="841.48"/>
        <n v="173.92"/>
        <n v="796.49"/>
        <n v="1420.28"/>
        <n v="1939.56"/>
        <n v="1438.41"/>
        <n v="1423.68"/>
        <n v="419.85"/>
        <n v="877.11"/>
        <n v="2260.99"/>
        <n v="273.01"/>
        <n v="1919.62"/>
        <n v="2077.18"/>
        <n v="304.68"/>
        <n v="1838.04"/>
        <n v="536.87"/>
        <n v="1876.88"/>
      </sharedItems>
    </cacheField>
    <cacheField name="Cantidad" numFmtId="0">
      <sharedItems containsSemiMixedTypes="0" containsString="0" containsNumber="1" containsInteger="1">
        <n v="5.0"/>
        <n v="1.0"/>
        <n v="2.0"/>
        <n v="4.0"/>
        <n v="3.0"/>
      </sharedItems>
    </cacheField>
    <cacheField name="Monto total">
      <sharedItems containsMixedTypes="1" containsNumber="1">
        <n v="2195.05"/>
        <n v="1090.69"/>
        <n v="2349.08"/>
        <n v="5165.52"/>
        <n v="1450.89"/>
        <n v="2682.68"/>
        <n v="3342.3"/>
        <n v="3004.89"/>
        <n v="726.24"/>
        <n v="4821.75"/>
        <n v="120.46"/>
        <n v="1061.61"/>
        <n v="12204.2"/>
        <n v="243.36"/>
        <s v="0"/>
        <n v="2246.48"/>
        <n v="516.28"/>
        <n v="3448.62"/>
        <n v="5780.4"/>
        <n v="4855.29"/>
        <n v="10351.15"/>
        <n v="763.62"/>
        <n v="3290.05"/>
        <n v="650.24"/>
        <n v="6884.88"/>
        <n v="1483.58"/>
        <n v="1468.26"/>
        <n v="4990.12"/>
        <n v="1093.68"/>
        <n v="160.68"/>
        <n v="9190.48"/>
        <n v="2081.56"/>
        <n v="1850.94"/>
        <n v="674.45"/>
        <n v="11571.85"/>
        <n v="787.6"/>
        <n v="1532.2"/>
        <n v="6964.36"/>
        <n v="4233.38"/>
        <n v="2131.04"/>
        <n v="7678.84"/>
        <n v="1800.04"/>
        <n v="2294.28"/>
        <n v="1488.3"/>
        <n v="1529.1"/>
        <n v="11280.2"/>
        <n v="3126.3"/>
        <n v="5799.21"/>
        <n v="434.9"/>
        <n v="7557.12"/>
        <n v="1708.81"/>
        <n v="1524.07"/>
        <n v="1118.76"/>
        <n v="6504.75"/>
        <n v="4412.75"/>
        <n v="1808.04"/>
        <n v="1129.38"/>
        <n v="4746.24"/>
        <n v="835.11"/>
        <n v="3273.78"/>
        <n v="1787.41"/>
        <n v="656.82"/>
        <n v="5385.5"/>
        <n v="9191.12"/>
        <n v="511.8"/>
        <n v="3090.56"/>
        <n v="97.52"/>
        <n v="1634.06"/>
        <n v="2884.16"/>
        <n v="3273.3"/>
        <n v="10571.0"/>
        <n v="1868.2"/>
        <n v="10478.2"/>
        <n v="1687.5"/>
        <n v="5888.37"/>
        <n v="2261.15"/>
        <n v="7455.95"/>
        <n v="1622.48"/>
        <n v="10786.85"/>
        <n v="1250.82"/>
        <n v="4992.54"/>
        <n v="6688.38"/>
        <n v="1114.02"/>
        <n v="9938.64"/>
        <n v="1357.9"/>
        <n v="4743.2"/>
        <n v="9570.6"/>
        <n v="6955.84"/>
        <n v="3755.26"/>
        <n v="7738.55"/>
        <n v="2509.44"/>
        <n v="2087.84"/>
        <n v="4978.62"/>
        <n v="9245.35"/>
        <n v="3871.56"/>
        <n v="785.72"/>
        <n v="9320.1"/>
        <n v="1769.76"/>
        <n v="2276.61"/>
        <n v="979.8"/>
        <n v="1614.05"/>
        <n v="538.74"/>
        <n v="2953.02"/>
        <n v="5825.84"/>
        <n v="1685.08"/>
        <n v="157.06"/>
        <n v="1730.4"/>
        <n v="2158.77"/>
        <n v="5252.2"/>
        <n v="832.25"/>
        <n v="11496.1"/>
        <n v="599.4"/>
        <n v="1481.0"/>
        <n v="1747.28"/>
        <n v="2199.08"/>
        <n v="315.14"/>
        <n v="6602.52"/>
        <n v="1160.28"/>
        <n v="2312.52"/>
        <n v="7006.4"/>
        <n v="4223.04"/>
        <n v="6134.58"/>
        <n v="12127.45"/>
        <n v="1752.92"/>
        <n v="5805.45"/>
        <n v="6451.48"/>
        <n v="5525.1"/>
        <n v="1189.04"/>
        <n v="5385.65"/>
        <n v="4795.35"/>
        <n v="3489.9"/>
        <n v="11061.3"/>
        <n v="443.81"/>
        <n v="2083.1"/>
        <n v="542.22"/>
        <n v="3190.16"/>
        <n v="789.15"/>
        <n v="3288.84"/>
        <n v="1086.48"/>
        <n v="4722.44"/>
        <n v="2378.7"/>
        <n v="10931.25"/>
        <n v="468.12"/>
        <n v="5543.4"/>
        <n v="1912.53"/>
        <n v="4595.0"/>
        <n v="4416.24"/>
        <n v="2707.5"/>
        <n v="4756.59"/>
        <n v="90.89"/>
        <n v="442.7"/>
        <n v="230.59"/>
        <n v="11782.5"/>
        <n v="4061.24"/>
        <n v="539.2"/>
        <n v="7782.68"/>
        <n v="1656.59"/>
        <n v="56.71"/>
        <n v="841.77"/>
        <n v="4267.6"/>
        <n v="851.86"/>
        <n v="3143.64"/>
        <n v="2100.03"/>
        <n v="5727.6"/>
        <n v="4908.1"/>
        <n v="1053.8"/>
        <n v="2141.25"/>
        <n v="5027.3"/>
        <n v="417.08"/>
        <n v="7611.76"/>
        <n v="2317.48"/>
        <n v="1522.98"/>
        <n v="1615.92"/>
        <n v="3047.76"/>
        <n v="7593.28"/>
        <n v="1145.32"/>
        <n v="3731.1"/>
        <n v="1898.54"/>
        <n v="7778.92"/>
        <n v="9780.0"/>
        <n v="5546.85"/>
        <n v="814.63"/>
        <n v="797.71"/>
        <n v="762.46"/>
        <n v="8970.45"/>
        <n v="157.89"/>
        <n v="2569.96"/>
        <n v="798.65"/>
        <n v="6132.76"/>
        <n v="6235.65"/>
        <n v="3976.0"/>
        <n v="7694.24"/>
        <n v="1112.81"/>
        <n v="2281.58"/>
        <n v="10478.3"/>
        <n v="2064.2"/>
        <n v="2286.48"/>
        <n v="4667.44"/>
        <n v="3074.24"/>
        <n v="11122.85"/>
        <n v="8444.6"/>
        <n v="3151.7"/>
        <n v="9305.0"/>
        <n v="188.19"/>
        <n v="6662.4"/>
        <n v="7085.0"/>
        <n v="3154.4"/>
        <n v="1183.88"/>
        <n v="6181.05"/>
        <n v="648.18"/>
        <n v="1050.26"/>
        <n v="2363.34"/>
        <n v="6211.7"/>
        <n v="6630.48"/>
        <n v="2340.72"/>
        <n v="7329.56"/>
        <n v="1027.85"/>
        <n v="2439.5"/>
        <n v="3380.73"/>
        <n v="7801.8"/>
        <n v="5820.54"/>
        <n v="1259.75"/>
        <n v="4136.43"/>
        <n v="6646.89"/>
        <n v="3934.38"/>
        <n v="9583.4"/>
        <n v="3239.68"/>
        <n v="1156.44"/>
        <n v="2124.22"/>
        <n v="784.39"/>
        <n v="1459.53"/>
        <n v="3336.6"/>
        <n v="563.73"/>
        <n v="4418.16"/>
        <n v="1705.71"/>
        <n v="8977.95"/>
        <n v="1767.22"/>
        <n v="7831.8"/>
        <n v="3423.39"/>
        <n v="8070.25"/>
        <n v="3731.16"/>
        <n v="7928.75"/>
        <n v="2982.72"/>
        <n v="2064.08"/>
        <n v="460.41"/>
        <n v="215.96"/>
        <n v="4883.4"/>
        <n v="785.65"/>
        <n v="917.32"/>
        <n v="2691.32"/>
        <n v="5417.43"/>
        <n v="5455.04"/>
        <n v="7028.05"/>
        <n v="302.94"/>
        <n v="1205.76"/>
        <n v="1781.52"/>
        <n v="4948.95"/>
        <n v="3411.03"/>
        <n v="1366.45"/>
        <n v="699.99"/>
        <n v="685.68"/>
        <n v="1277.75"/>
        <n v="3874.8"/>
        <n v="6515.08"/>
        <n v="3735.55"/>
        <n v="2984.65"/>
        <n v="1691.93"/>
        <n v="4086.12"/>
        <n v="3233.28"/>
        <n v="10462.75"/>
        <n v="1571.64"/>
        <n v="8057.32"/>
        <n v="1030.99"/>
        <n v="1974.72"/>
        <n v="2039.46"/>
        <n v="664.21"/>
        <n v="1307.54"/>
        <n v="6846.52"/>
        <n v="5010.33"/>
        <n v="7463.65"/>
        <n v="1853.37"/>
        <n v="6633.78"/>
        <n v="4193.1"/>
        <n v="2678.34"/>
        <n v="4963.4"/>
        <n v="10984.15"/>
        <n v="2686.8"/>
        <n v="6403.05"/>
        <n v="288.64"/>
        <n v="8371.48"/>
        <n v="8156.1"/>
        <n v="4273.16"/>
        <n v="3649.77"/>
        <n v="4896.0"/>
        <n v="7008.84"/>
        <n v="2381.87"/>
        <n v="695.92"/>
        <n v="5961.81"/>
        <n v="2431.35"/>
        <n v="4845.21"/>
        <n v="5856.16"/>
        <n v="1612.96"/>
        <n v="2762.04"/>
        <n v="1497.66"/>
        <n v="1650.53"/>
        <n v="2224.96"/>
        <n v="1465.56"/>
        <n v="4077.2"/>
        <n v="5762.2"/>
        <n v="1955.27"/>
        <n v="9035.7"/>
        <n v="5877.25"/>
        <n v="710.96"/>
        <n v="1220.85"/>
        <n v="7466.96"/>
        <n v="6815.45"/>
        <n v="720.63"/>
        <n v="3439.06"/>
        <n v="12423.7"/>
        <n v="4875.54"/>
        <n v="2108.31"/>
        <n v="1423.95"/>
        <n v="3299.16"/>
        <n v="2465.44"/>
        <n v="3003.9"/>
        <n v="5719.56"/>
        <n v="8314.05"/>
        <n v="379.11"/>
        <n v="2242.24"/>
        <n v="7011.0"/>
        <n v="644.16"/>
        <n v="1017.27"/>
        <n v="8200.7"/>
        <n v="1586.74"/>
        <n v="4308.65"/>
        <n v="11320.75"/>
        <n v="2160.93"/>
        <n v="4862.67"/>
        <n v="3825.66"/>
        <n v="3504.9"/>
        <n v="3845.34"/>
        <n v="4969.83"/>
        <n v="4061.4"/>
        <n v="1299.98"/>
        <n v="204.0"/>
        <n v="1741.05"/>
        <n v="1565.6"/>
        <n v="7181.76"/>
        <n v="3300.32"/>
        <n v="2323.09"/>
        <n v="7592.15"/>
        <n v="8895.75"/>
        <n v="3154.47"/>
        <n v="2029.22"/>
        <n v="8725.0"/>
        <n v="5094.44"/>
        <n v="2723.54"/>
        <n v="3421.04"/>
        <n v="1649.44"/>
        <n v="718.45"/>
        <n v="5709.4"/>
        <n v="1037.43"/>
        <n v="8010.7"/>
        <n v="3594.93"/>
        <n v="1899.27"/>
        <n v="10504.2"/>
        <n v="11318.9"/>
        <n v="1840.11"/>
        <n v="8033.56"/>
        <n v="3622.7"/>
        <n v="9617.45"/>
        <n v="2612.36"/>
        <n v="627.66"/>
        <n v="5973.1"/>
        <n v="507.63"/>
        <n v="2081.9"/>
        <n v="648.92"/>
        <n v="2357.06"/>
        <n v="10982.4"/>
        <n v="4583.46"/>
        <n v="1213.49"/>
        <n v="864.87"/>
        <n v="4026.44"/>
        <n v="4165.11"/>
        <n v="2114.99"/>
        <n v="1627.59"/>
        <n v="2771.08"/>
        <n v="3492.96"/>
        <n v="507.6"/>
        <n v="5287.8"/>
        <n v="4702.65"/>
        <n v="8051.24"/>
        <n v="8404.72"/>
        <n v="10043.9"/>
        <n v="2902.6"/>
        <n v="3874.17"/>
        <n v="3251.73"/>
        <n v="3543.36"/>
        <n v="3331.46"/>
        <n v="1083.6"/>
        <n v="4844.52"/>
        <n v="2522.44"/>
        <n v="2286.92"/>
        <n v="4225.92"/>
        <n v="1464.05"/>
        <n v="2085.29"/>
        <n v="825.16"/>
        <n v="1084.16"/>
        <n v="1770.13"/>
        <n v="4944.0"/>
        <n v="1170.2"/>
        <n v="2418.11"/>
        <n v="6559.32"/>
        <n v="1373.32"/>
        <n v="3301.6"/>
        <n v="3185.2"/>
        <n v="2127.13"/>
        <n v="4019.5"/>
        <n v="2537.76"/>
        <n v="7357.32"/>
        <n v="2301.95"/>
        <n v="796.92"/>
        <n v="2258.32"/>
        <n v="6327.8"/>
        <n v="85.19"/>
        <n v="1468.39"/>
        <n v="1450.82"/>
        <n v="2146.05"/>
        <n v="2172.84"/>
        <n v="1654.16"/>
        <n v="1834.12"/>
        <n v="2148.04"/>
        <n v="3976.26"/>
        <n v="2297.3"/>
        <n v="3728.08"/>
        <n v="1806.33"/>
        <n v="2187.34"/>
        <n v="5578.74"/>
        <n v="612.22"/>
        <n v="1166.65"/>
        <n v="2859.24"/>
        <n v="3577.48"/>
        <n v="8799.28"/>
        <n v="12381.05"/>
        <n v="9044.48"/>
        <n v="1247.08"/>
        <n v="1919.84"/>
        <n v="4621.04"/>
        <n v="1127.84"/>
        <n v="2044.78"/>
        <n v="3055.74"/>
        <n v="7216.44"/>
        <n v="212.73"/>
        <n v="8844.25"/>
        <n v="1339.47"/>
        <n v="833.62"/>
        <n v="7188.75"/>
        <n v="6235.44"/>
        <n v="2585.8"/>
        <n v="3406.94"/>
        <n v="961.8"/>
        <n v="6801.64"/>
        <n v="1842.48"/>
        <n v="3277.35"/>
        <n v="6353.75"/>
        <n v="2334.72"/>
        <n v="3852.54"/>
        <n v="2278.24"/>
        <n v="9040.9"/>
        <n v="6765.87"/>
        <n v="4236.6"/>
        <n v="1528.74"/>
        <n v="2890.7"/>
        <n v="879.78"/>
        <n v="615.75"/>
        <n v="11548.8"/>
        <n v="1540.33"/>
        <n v="5092.0"/>
        <n v="3176.43"/>
        <n v="890.66"/>
        <n v="1261.2"/>
        <n v="6822.96"/>
        <n v="9157.68"/>
        <n v="9124.04"/>
        <n v="1093.69"/>
        <n v="701.55"/>
        <n v="5338.02"/>
        <n v="4471.71"/>
        <n v="6786.52"/>
        <n v="1884.94"/>
        <n v="6194.76"/>
        <n v="6548.31"/>
        <n v="7013.3"/>
        <n v="4840.82"/>
        <n v="10424.45"/>
        <n v="346.08"/>
        <n v="3663.12"/>
        <n v="3799.32"/>
        <n v="591.27"/>
        <n v="6310.0"/>
        <n v="1664.74"/>
        <n v="6078.68"/>
        <n v="9736.0"/>
        <n v="793.75"/>
        <n v="4004.6"/>
        <n v="7463.45"/>
        <n v="3686.64"/>
        <n v="4136.18"/>
        <n v="5646.66"/>
        <n v="4533.42"/>
        <n v="1035.07"/>
        <n v="7833.64"/>
        <n v="1222.82"/>
        <n v="266.32"/>
        <n v="4574.82"/>
        <n v="6931.83"/>
        <n v="6661.1"/>
        <n v="2135.79"/>
        <n v="9344.55"/>
        <n v="8252.52"/>
        <n v="3545.16"/>
        <n v="8898.44"/>
        <n v="1676.72"/>
        <n v="8598.36"/>
        <n v="2128.95"/>
        <n v="4766.84"/>
        <n v="3659.36"/>
        <n v="12099.05"/>
        <n v="8753.15"/>
        <n v="5457.95"/>
        <n v="8731.32"/>
        <n v="1838.54"/>
        <n v="729.5"/>
        <n v="3625.26"/>
        <n v="3981.12"/>
        <n v="1737.45"/>
        <n v="3857.85"/>
        <n v="1346.1"/>
        <n v="7225.8"/>
        <n v="11241.75"/>
        <n v="1634.62"/>
        <n v="4969.3"/>
        <n v="303.3"/>
        <n v="6558.9"/>
        <n v="1484.36"/>
        <n v="1414.97"/>
        <n v="9115.75"/>
        <n v="4474.96"/>
        <n v="3022.16"/>
        <n v="210.37"/>
        <n v="991.02"/>
        <n v="2654.54"/>
        <n v="5509.1"/>
        <n v="1767.16"/>
        <n v="2293.23"/>
        <n v="10744.95"/>
        <n v="8316.1"/>
        <n v="1898.24"/>
        <n v="2277.4"/>
        <n v="6938.1"/>
        <n v="1082.94"/>
        <n v="1603.2"/>
        <n v="5530.11"/>
        <n v="833.39"/>
        <n v="6608.95"/>
        <n v="5144.52"/>
        <n v="5789.64"/>
        <n v="7280.55"/>
        <n v="2572.3"/>
        <n v="12419.35"/>
        <n v="11708.85"/>
        <n v="7499.31"/>
        <n v="3853.62"/>
        <n v="872.68"/>
        <n v="3195.5"/>
        <n v="8684.5"/>
        <n v="6168.48"/>
        <n v="5975.91"/>
        <n v="3079.08"/>
        <n v="869.7"/>
        <n v="4473.4"/>
        <n v="1086.51"/>
        <n v="696.54"/>
        <n v="3652.68"/>
        <n v="303.05"/>
        <n v="2423.13"/>
        <n v="1588.98"/>
        <n v="4777.58"/>
        <n v="3536.98"/>
        <n v="3747.38"/>
        <n v="1505.12"/>
        <n v="619.4"/>
        <n v="3338.52"/>
        <n v="844.32"/>
        <n v="518.45"/>
        <n v="5688.85"/>
        <n v="2009.76"/>
        <n v="3021.52"/>
        <n v="1149.92"/>
        <n v="3233.92"/>
        <n v="907.55"/>
        <n v="4493.3"/>
        <n v="5146.1"/>
        <n v="3426.36"/>
        <n v="1375.85"/>
        <n v="5074.36"/>
        <n v="633.29"/>
        <n v="2656.76"/>
        <n v="2198.02"/>
        <n v="5625.28"/>
        <n v="843.18"/>
        <n v="4643.44"/>
        <n v="680.62"/>
        <n v="7664.44"/>
        <n v="4851.9"/>
        <n v="378.98"/>
        <n v="10140.6"/>
        <n v="1976.88"/>
        <n v="3665.94"/>
        <n v="2654.7"/>
        <n v="9019.64"/>
        <n v="127.35"/>
        <n v="2929.08"/>
        <n v="4127.92"/>
        <n v="11359.9"/>
        <n v="627.26"/>
        <n v="2391.72"/>
        <n v="956.28"/>
        <n v="5501.76"/>
        <n v="2441.25"/>
        <n v="3857.52"/>
        <n v="2457.48"/>
        <n v="9539.44"/>
        <n v="2332.8"/>
        <n v="6259.84"/>
        <n v="6374.0"/>
        <n v="724.64"/>
        <n v="552.65"/>
        <n v="5041.4"/>
        <n v="8790.8"/>
        <n v="1097.34"/>
        <n v="1328.36"/>
        <n v="5814.4"/>
        <n v="10956.2"/>
        <n v="4202.96"/>
        <n v="9845.8"/>
        <n v="9862.15"/>
        <n v="1074.3"/>
        <n v="795.0"/>
        <n v="1673.73"/>
        <n v="4187.85"/>
        <n v="10701.65"/>
        <n v="4334.42"/>
        <n v="276.58"/>
        <n v="6186.75"/>
        <n v="9375.24"/>
        <n v="4192.47"/>
        <n v="5796.6"/>
        <n v="6870.68"/>
        <n v="1223.98"/>
        <n v="1865.37"/>
        <n v="1285.9"/>
        <n v="1237.66"/>
        <n v="1172.2"/>
        <n v="4285.64"/>
        <n v="5417.25"/>
        <n v="1854.62"/>
        <n v="9569.08"/>
        <n v="878.72"/>
        <n v="563.11"/>
        <n v="6808.53"/>
        <n v="898.98"/>
        <n v="8557.68"/>
        <n v="4656.64"/>
        <n v="11014.35"/>
        <n v="773.7"/>
        <n v="7383.78"/>
        <n v="469.22"/>
        <n v="499.69"/>
        <n v="4986.9"/>
        <n v="1532.34"/>
        <n v="664.32"/>
        <n v="2355.82"/>
        <n v="4201.18"/>
        <n v="908.52"/>
        <n v="4863.6"/>
        <n v="2488.53"/>
        <n v="1079.32"/>
        <n v="5686.28"/>
        <n v="628.42"/>
        <n v="8111.24"/>
        <n v="685.28"/>
        <n v="1518.0"/>
        <n v="778.63"/>
        <n v="10100.05"/>
        <n v="2288.18"/>
        <n v="361.47"/>
        <n v="339.04"/>
        <n v="3492.56"/>
        <n v="4007.84"/>
        <n v="2332.13"/>
        <n v="9590.2"/>
        <n v="935.4"/>
        <n v="4004.55"/>
        <n v="5645.0"/>
        <n v="4798.96"/>
        <n v="3816.05"/>
        <n v="4247.6"/>
        <n v="9316.12"/>
        <n v="1249.46"/>
        <n v="3811.02"/>
        <n v="5759.25"/>
        <n v="428.56"/>
        <n v="6688.52"/>
        <n v="6563.45"/>
        <n v="2613.92"/>
        <n v="494.61"/>
        <n v="4611.12"/>
        <n v="6631.02"/>
        <n v="2250.96"/>
        <n v="426.42"/>
        <n v="266.92"/>
        <n v="2043.5"/>
        <n v="3100.25"/>
        <n v="6352.56"/>
        <n v="1897.3"/>
        <n v="495.86"/>
        <n v="1010.17"/>
        <n v="2908.11"/>
        <n v="100.75"/>
        <n v="8970.56"/>
        <n v="774.69"/>
        <n v="1071.5"/>
        <n v="1318.47"/>
        <n v="3423.76"/>
        <n v="7025.28"/>
        <n v="6430.11"/>
        <n v="3845.05"/>
        <n v="1347.85"/>
        <n v="8740.16"/>
        <n v="11259.6"/>
        <n v="1320.4"/>
        <n v="3995.43"/>
        <n v="10577.7"/>
        <n v="9645.12"/>
        <n v="2598.4"/>
        <n v="911.7"/>
        <n v="6678.88"/>
        <n v="8897.68"/>
        <n v="4128.0"/>
        <n v="2387.49"/>
        <n v="1898.36"/>
        <n v="9755.0"/>
        <n v="7276.65"/>
        <n v="4428.38"/>
        <n v="1165.81"/>
        <n v="4206.54"/>
        <n v="6596.44"/>
        <n v="4593.69"/>
        <n v="742.02"/>
        <n v="2471.65"/>
        <n v="2924.08"/>
        <n v="11019.65"/>
        <n v="3713.2"/>
        <n v="6006.63"/>
        <n v="1284.06"/>
        <n v="6481.95"/>
        <n v="12363.05"/>
        <n v="6262.35"/>
        <n v="130.05"/>
        <n v="9500.05"/>
        <n v="1344.3"/>
        <n v="4340.78"/>
        <n v="806.96"/>
        <n v="8691.16"/>
        <n v="4464.4"/>
        <n v="1389.51"/>
        <n v="944.98"/>
        <n v="2545.26"/>
        <n v="303.84"/>
        <n v="3423.5"/>
        <n v="5630.22"/>
        <n v="1770.14"/>
        <n v="1630.96"/>
        <n v="3944.32"/>
        <n v="1292.44"/>
        <n v="4481.08"/>
        <n v="3782.7"/>
        <n v="2160.76"/>
        <n v="1254.96"/>
        <n v="3112.92"/>
        <n v="3819.21"/>
        <n v="12152.15"/>
        <n v="4815.72"/>
        <n v="9635.4"/>
        <n v="12134.35"/>
        <n v="5546.94"/>
        <n v="2873.04"/>
        <n v="904.01"/>
        <n v="1723.45"/>
        <n v="1564.37"/>
        <n v="10158.95"/>
        <n v="5595.85"/>
        <n v="1031.51"/>
        <n v="3502.75"/>
        <n v="4276.5"/>
        <n v="8020.1"/>
        <n v="2856.72"/>
        <n v="10907.8"/>
        <n v="2083.24"/>
        <n v="1758.08"/>
        <n v="6426.96"/>
        <n v="9768.92"/>
        <n v="1848.44"/>
        <n v="2603.13"/>
        <n v="5381.82"/>
        <n v="4136.68"/>
        <n v="12348.75"/>
        <n v="2537.82"/>
        <n v="2455.83"/>
        <n v="2504.6"/>
        <n v="8990.28"/>
        <n v="6569.73"/>
        <n v="2144.75"/>
        <n v="4927.11"/>
        <n v="2005.24"/>
        <n v="1944.02"/>
        <n v="215.41"/>
        <n v="9324.44"/>
        <n v="9831.9"/>
        <n v="2993.28"/>
        <n v="8969.88"/>
        <n v="7538.45"/>
        <n v="3682.84"/>
        <n v="421.74"/>
        <n v="4151.82"/>
        <n v="806.78"/>
        <n v="6462.05"/>
        <n v="3967.42"/>
        <n v="11954.2"/>
        <n v="1943.33"/>
        <n v="2874.76"/>
        <n v="1979.07"/>
        <n v="9271.76"/>
        <n v="2795.6"/>
        <n v="4870.3"/>
        <n v="2086.06"/>
        <n v="3616.3"/>
        <n v="5650.15"/>
        <n v="2710.23"/>
        <n v="1138.92"/>
        <n v="554.25"/>
        <n v="1832.19"/>
        <n v="4457.22"/>
        <n v="6797.28"/>
        <n v="7122.76"/>
        <n v="2423.4"/>
        <n v="2919.0"/>
        <n v="1738.62"/>
        <n v="8077.15"/>
        <n v="489.63"/>
        <n v="1415.48"/>
        <n v="613.16"/>
        <n v="1295.8"/>
        <n v="2040.92"/>
        <n v="4325.91"/>
        <n v="3244.77"/>
        <n v="7606.96"/>
        <n v="231.5"/>
        <n v="2897.12"/>
        <n v="7186.88"/>
        <n v="10434.55"/>
        <n v="411.02"/>
        <n v="3193.2"/>
        <n v="6907.5"/>
        <n v="1006.55"/>
        <n v="1083.12"/>
        <n v="7878.76"/>
        <n v="4997.28"/>
        <n v="314.84"/>
        <n v="1505.16"/>
        <n v="7169.91"/>
        <n v="2374.3"/>
        <n v="1597.05"/>
        <n v="1490.14"/>
        <n v="1390.26"/>
        <n v="494.57"/>
        <n v="3165.46"/>
        <n v="4062.05"/>
        <n v="432.18"/>
        <n v="6412.08"/>
        <n v="6058.62"/>
        <n v="3792.2"/>
        <n v="453.04"/>
        <n v="2334.37"/>
        <n v="6540.63"/>
        <n v="4879.34"/>
        <n v="3230.13"/>
        <n v="1163.04"/>
        <n v="5104.08"/>
        <n v="9463.65"/>
        <n v="1097.51"/>
        <n v="1362.97"/>
        <n v="1626.83"/>
        <n v="292.99"/>
        <n v="4710.36"/>
        <n v="4349.78"/>
        <n v="1288.12"/>
        <n v="317.64"/>
        <n v="4371.84"/>
        <n v="2168.85"/>
        <n v="3318.12"/>
        <n v="2721.8"/>
        <n v="2351.13"/>
        <n v="3963.0"/>
        <n v="2224.59"/>
        <n v="289.48"/>
        <n v="242.27"/>
        <n v="4194.76"/>
        <n v="812.49"/>
        <n v="1976.36"/>
        <n v="7937.68"/>
        <n v="2978.85"/>
        <n v="11153.85"/>
        <n v="4813.0"/>
        <n v="7648.04"/>
        <n v="10246.3"/>
        <n v="4353.32"/>
        <n v="5445.15"/>
        <n v="778.5"/>
        <n v="716.29"/>
        <n v="5768.37"/>
        <n v="3984.3"/>
        <n v="3292.32"/>
        <n v="8765.0"/>
        <n v="10728.8"/>
        <n v="3652.06"/>
        <n v="174.28"/>
        <n v="3241.75"/>
        <n v="913.3"/>
        <n v="4700.64"/>
        <n v="1880.14"/>
        <n v="4754.68"/>
        <n v="1811.9"/>
        <n v="2320.42"/>
        <n v="3716.95"/>
        <n v="5094.84"/>
        <n v="2761.04"/>
        <n v="1034.4"/>
        <n v="3737.6"/>
        <n v="5453.4"/>
        <n v="2768.18"/>
        <n v="1039.0"/>
        <n v="2002.96"/>
        <n v="2227.82"/>
        <n v="4948.72"/>
        <n v="1440.56"/>
        <n v="218.25"/>
        <n v="776.93"/>
        <n v="1994.18"/>
        <n v="4211.8"/>
        <n v="228.78"/>
        <n v="9530.56"/>
        <n v="4447.92"/>
        <n v="4595.68"/>
        <n v="2559.0"/>
        <n v="848.24"/>
        <n v="4354.64"/>
        <n v="4429.96"/>
        <n v="346.72"/>
        <n v="1560.05"/>
        <n v="2114.97"/>
        <n v="4735.02"/>
        <n v="855.84"/>
        <n v="6968.48"/>
        <n v="1682.96"/>
        <n v="521.76"/>
        <n v="2389.47"/>
        <n v="7409.25"/>
        <n v="5681.12"/>
        <n v="9697.8"/>
        <n v="5753.64"/>
        <n v="1423.68"/>
        <n v="419.85"/>
        <n v="877.11"/>
        <n v="4521.98"/>
        <n v="273.01"/>
        <n v="3839.24"/>
        <n v="8308.72"/>
        <n v="1523.4"/>
        <n v="7352.16"/>
        <n v="536.87"/>
        <n v="7507.52"/>
      </sharedItems>
    </cacheField>
    <cacheField name="Cliente" numFmtId="0">
      <sharedItems>
        <s v="Sandra Báez"/>
        <s v="Mariano Leticia Palomino"/>
        <s v="Gregorio Gaytán"/>
        <s v="Alejandra Araceli Gutiérrez"/>
        <s v="Miguel Ángel Mondragón Benavídez"/>
        <s v="Gabino Conchita Bueno"/>
        <s v="Karla Pineda Arriaga"/>
        <s v="Rolando Mares"/>
        <s v="Virginia Mondragón"/>
        <s v="Luis Manuel Aldonza Contreras"/>
        <s v="Indira Guadalupe Montez Alcaraz"/>
        <s v="Luz De La Garza"/>
        <s v="Karla Mateo"/>
        <s v="Abril Julio Tórrez Segovia"/>
        <s v="Esteban Curiel"/>
        <s v="Hilda Mónica Acuña Zedillo"/>
        <s v="Iván Sanches Vallejo"/>
        <s v="Alejandra Roldán"/>
        <s v="Lorenzo Wendolin Méndez Gollum"/>
        <s v="Catalina Adela Galarza Camacho"/>
        <s v="Aldo Rodrígez"/>
        <s v="Carlota Aguayo"/>
        <s v="Aurora Amador Mendoza Prieto"/>
        <s v="Gabino Rubén Menéndez"/>
        <s v="Roberto María Cristina Madera Alejandro"/>
        <s v="Uriel Helena Caldera"/>
        <s v="Mónica Cortez"/>
        <s v="Trinidad Badillo"/>
        <s v="Noemí Julia Zepeda"/>
        <s v="Armando Ricardo Durán"/>
        <s v="Asunción Rebeca Rivero"/>
        <s v="Ruby Virginia Salcido"/>
        <s v="Blanca Ordóñez Matos"/>
        <s v="María José Jacobo Perales Ortiz"/>
        <s v="Rosalia Alcántar"/>
        <s v="Emilio Almaraz"/>
        <s v="Darío Martín Tovar"/>
        <s v="Nadia Ana María Merino Arteaga"/>
        <s v="Uriel Montes Contreras"/>
        <s v="Serafín Samuel Tamayo Báez"/>
        <s v="José Manuél Torres"/>
        <s v="Daniel Carlota Arredondo Linares"/>
        <s v="Hilda Razo Lerma"/>
        <s v="Mauricio Oquendo Bustos"/>
        <s v="Amalia Guillermina Ozuna Santana"/>
        <s v="Gabino Barrera Quiroz"/>
        <s v="Alonso Lucero"/>
        <s v="Zeferino Clara Ureña Ramos"/>
        <s v="Magdalena Morales"/>
        <s v="María Cristina Raquel Carranza Orosco"/>
        <s v="Jorge Luis Baca"/>
        <s v="Abelardo Héctor Brito Solorzano"/>
        <s v="Pilar Luisa Bonilla Garrido"/>
        <s v="Fernando Márquez Almaraz"/>
        <s v="Verónica Wendolin Terán"/>
        <s v="Ricardo Coronado"/>
        <s v="Virginia Aldonza Zamora Longoria"/>
        <s v="Alonso Paola Rocha"/>
        <s v="Aida Marrero"/>
        <s v="César Verduzco"/>
        <s v="Rodrigo Yeni Avilés"/>
        <s v="Cynthia Aguilera Figueroa"/>
        <s v="Omar Casares Benavídez"/>
        <s v="Mario Cortés"/>
        <s v="Delia Rosario"/>
        <s v="Citlali Jorge Gastélum"/>
        <s v="Mateo Salazar"/>
        <s v="Emilia Fajardo"/>
        <s v="Leonel Salcido"/>
        <s v="René Rafaél Rocha"/>
        <s v="Gonzalo Rascón"/>
        <s v="Patricio Palomino"/>
        <s v="Roberto Mateo Hurtado León"/>
        <s v="Agustín Sandoval"/>
        <s v="Silvano Villanueva Alcaraz"/>
        <s v="Gonzalo Cortés Nieto"/>
        <s v="Marco Antonio Mercado Henríquez"/>
        <s v="Elias Sotelo Espinal"/>
        <s v="Ángel Dávila"/>
        <s v="Alejandra Delgadillo"/>
        <s v="Arturo Haro Varela"/>
        <s v="Asunción Samaniego"/>
        <s v="Paola Leyva Maestas"/>
        <s v="René Luna Pineda"/>
        <s v="Israel De Anda Rodríguez"/>
        <s v="Benito Carla Cano Olvera"/>
        <s v="Timoteo Abelardo Urías Niño"/>
        <s v="Julia Gonzalo Armendáriz"/>
        <s v="Carlota Julio De Jess"/>
        <s v="Abelardo Cynthia Crespo"/>
        <s v="Susana Juárez"/>
        <s v="Claudio Laura Corona Cordero"/>
        <s v="Anabel Gonzalo Pedroza"/>
        <s v="Amanda Prado"/>
        <s v="Camila Montemayor"/>
        <s v="Marcela Guzmán"/>
        <s v="Bruno Samuel Acosta Rascón"/>
        <s v="Pamela Rolando Ayala"/>
        <s v="Bernabé Zaragoza"/>
        <s v="Yuridia Rubén Armendáriz"/>
        <s v="Verónica Francisca Tafoya"/>
        <s v="Aurora Esteban Sisneros Centeno"/>
        <s v="Alonso Abreu"/>
        <s v="Wendolin Jerónimo Farías"/>
        <s v="Modesto Rufino Mares Negrón"/>
        <s v="Mitzy De La Rosa"/>
        <s v="Mario Fidel Laureano Castro"/>
        <s v="Vicente Israel Cortés"/>
        <s v="Lorenzo Minerva Ocampo Aguilar"/>
        <s v="Cristian Jacinto Ornelas"/>
        <s v="Noelia León Sanches"/>
        <s v="Manuel Tórrez"/>
        <s v="Yeni Indira Loya"/>
        <s v="Francisca Lucas Jaimes Zavala"/>
        <s v="Esteban Violeta Loya"/>
        <s v="Martha Tamayo Niño"/>
        <s v="Ernesto Rendón"/>
        <s v="Gustavo Bernardo Briseño Marín"/>
        <s v="Benjamín Alejandra Zapata Zamudio"/>
        <s v="Gerardo Sauceda"/>
        <s v="Conchita Nazario"/>
        <s v="Vanesa Valverde"/>
        <s v="Rosario Leticia Calderón Mota"/>
        <s v="Jerónimo Nava"/>
        <s v="Ricardo Eugenio Meza"/>
        <s v="Aurora Zamudio"/>
        <s v="Aldonza Hernán Sosa"/>
        <s v="Dalia Crespo"/>
        <s v="Rodrigo Aldonza Polanco"/>
        <s v="Minerva Lorena Santana Botello"/>
        <s v="Marisol Espinosa Briones"/>
        <s v="Frida Arroyo Zepeda"/>
        <s v="Cristian Ofelia Urbina Murillo"/>
        <s v="Oswaldo Trujillo Tórrez"/>
        <s v="Federico Guillermina Vargas"/>
        <s v="María José Zeferino Avilés Zarate"/>
        <s v="Horacio Moya Noriega"/>
        <s v="Abel Teresa Zñiga"/>
        <s v="Israel Amaya"/>
        <s v="Cristal Luis Manuel Sánchez"/>
        <s v="Rosario Centeno Rosario"/>
        <s v="Jos Vega"/>
        <s v="Cristina Barbara De La Rosa"/>
        <s v="Ariadna Rosas Altamirano"/>
        <s v="Andrea Almaraz Barajas"/>
        <s v="Arcelia Nieves"/>
        <s v="Verónica De León Covarrubias"/>
        <s v="Benjamín Marcela Lucero"/>
        <s v="Estefanía Piña"/>
        <s v="Teodoro Nieves Burgos"/>
        <s v="José Emilio Herrera Sanabria"/>
        <s v="Aldonza Morales Piña"/>
        <s v="Nancy Mauro Ibarra Lucio"/>
        <s v="Abel Véliz"/>
        <s v="Paola Zarate"/>
        <s v="Socorro Aida Moya Amaya"/>
        <s v="Gerardo Mónica Cornejo Collado"/>
        <s v="Liliana Puente"/>
        <s v="Gilberto Arellano Lozano"/>
        <s v="Cristina Valentín Castillo"/>
        <s v="Cristina Miguel Madrid"/>
        <s v="Alfredo Ozuna"/>
        <s v="Héctor Luevano"/>
        <s v="Jaime Gómez"/>
        <s v="Sandra Marisol Vergara"/>
        <s v="Julio César Fernando Cordero"/>
        <s v="Abril Ríos"/>
        <s v="Alfredo Cintrón"/>
        <s v="Hernán Rael"/>
        <s v="Cristobal Germán Razo Montenegro"/>
        <s v="Laura Báez"/>
        <s v="Elsa Alonso Rivera"/>
        <s v="Jerónimo Julia Peralta"/>
        <s v="Olivia Cristobal Oquendo Nieves"/>
        <s v="Wilfrido Evelio Marrero Sotelo"/>
        <s v="Daniela Padrón"/>
        <s v="Andrea Altamirano"/>
        <s v="Norma Celia Leiva Bañuelos"/>
        <s v="Esparta Gracia"/>
        <s v="Jos Mariana Cano"/>
        <s v="Nadia Fernando Guerra Arroyo"/>
        <s v="Berta Tania Méndez Lebrón"/>
        <s v="Germán Crespo Leyva"/>
        <s v="Esmeralda Bañuelos"/>
        <s v="Concepción Isabel Becerra Del Valle"/>
        <s v="Miguel Luis Girón Montañez"/>
        <s v="David Prado"/>
        <s v="Jos Venegas"/>
        <s v="Antonio Juana Soria"/>
        <s v="Rufino Lucero Urrutia"/>
        <s v="Jaqueline Velásquez Hidalgo"/>
        <s v="Abigail Mayorga"/>
        <s v="Indira Eric Rentería Velázquez"/>
        <s v="Leonor Cristina Concepción"/>
        <s v="Ángela Navarro"/>
        <s v="Mateo Ral Sosa Arreola"/>
        <s v="Irene Domínguez"/>
        <s v="Jess Jimínez"/>
        <s v="Elias Dulce Figueroa"/>
        <s v="Adán Perla Orosco"/>
        <s v="Eric Lorenzo Raya"/>
        <s v="Abraham Loera Mondragón"/>
        <s v="Vicente Ureña"/>
        <s v="Caridad Ojeda"/>
        <s v="Zoé Claudia Barraza Cornejo"/>
        <s v="Elisa Soria"/>
        <s v="Margarita Olivas"/>
        <s v="Paulina Peres Carmona"/>
        <s v="Blanca Galarza"/>
        <s v="Eloy Godoy Del Río"/>
        <s v="Ana María Verdugo Pichardo"/>
        <s v="Diana Garza Alfaro"/>
        <s v="María José Noriega"/>
        <s v="Timoteo Cynthia Cordero"/>
        <s v="César Barrera Orta"/>
        <s v="Jacobo Adán Aparicio Tejada"/>
        <s v="Clemente Irene Carrera"/>
        <s v="José Carlos Soledad Osorio Rodrígez"/>
        <s v="Salma Andrés Montañez"/>
        <s v="Isabela Amador"/>
        <s v="Cristal De La O Tovar"/>
        <s v="Angélica Bueno Olvera"/>
        <s v="Salvador Berríos Preciado"/>
        <s v="Blanca Gabriela Arenas"/>
        <s v="Arcelia Victoria Ferrer"/>
        <s v="María Cristina Valdivia Mondragón"/>
        <s v="Luis Miguel Lerma"/>
        <s v="Diego Fernández"/>
        <s v="Luisa Domínguez Ocampo"/>
        <s v="Victoria Cabrera Armenta"/>
        <s v="Germán Corral"/>
        <s v="Liliana Altamirano Solano"/>
        <s v="Ana Luisa Araceli De La Crz"/>
        <s v="Blanca Alfaro"/>
        <s v="Cornelio José Manuél Ureña Cazares"/>
        <s v="Ariadna De Jess"/>
        <s v="Natividad Fernando Gastélum"/>
        <s v="Armando Carreón"/>
        <s v="Dolores Jess Quiñónez Lebrón"/>
        <s v="Isabela Mario Vigil Colunga"/>
        <s v="Paulina Cornejo"/>
        <s v="Wilfrido Jorge Portillo Roque"/>
        <s v="Agustín Montemayor Escobedo"/>
        <s v="Rocío José Luis Villareal Vargas"/>
        <s v="Víctor Anguiano"/>
        <s v="Ernesto Quezada"/>
        <s v="Gilberto Hernán Murillo"/>
        <s v="Perla Villaseñor Holguín"/>
        <s v="Carolina Clara Cotto"/>
        <s v="Tania José Salcedo"/>
        <s v="Cristina Gamez"/>
        <s v="Ernesto De La Fuente Lozano"/>
        <s v="Abraham Guillen"/>
        <s v="Eloisa Ballesteros"/>
        <s v="Hugo Orellana Aguilera"/>
        <s v="Fernando Calderón"/>
        <s v="Jorge Luis Blanca Regalado Mora"/>
        <s v="Gerardo Elisa Franco"/>
        <s v="Beatriz Virginia Duarte Flores"/>
        <s v="Arturo Barraza"/>
        <s v="Nicolás Martín Báez"/>
        <s v="Yuridia Nayeli Armas Aragón"/>
        <s v="Esteban José Emilio Polanco Valentín"/>
        <s v="Karina Jerónimo Pérez Mojica"/>
        <s v="Inés Griego Lemus"/>
        <s v="Fabiola Angélica Bravo"/>
        <s v="Nadia Pérez Medina"/>
        <s v="Ignacio Leonor Guajardo"/>
        <s v="Zeferino Oquendo"/>
        <s v="Hernán Samuel Colón"/>
        <s v="Evelio Luz Herrera Melgar"/>
        <s v="Eloisa Octavio Quintero"/>
        <s v="Roberto Casárez Lozada"/>
        <s v="Cynthia Oswaldo Olvera"/>
        <s v="Iván Fuentes Fierro"/>
        <s v="Vanesa Bustos"/>
        <s v="Patricia Candelaria Ramón"/>
        <s v="Evelio Rosario"/>
        <s v="Silvano Alvaro Enríquez Pineda"/>
        <s v="Uriel José María Mercado"/>
        <s v="María José Carrera"/>
        <s v="Genaro Paz"/>
        <s v="Eva Julio Corrales"/>
        <s v="Ana María Cruz Montero"/>
        <s v="Nicolás Guevara"/>
        <s v="Araceli Ulloa Blanco"/>
        <s v="Rebeca Salvador Gamez García"/>
        <s v="Marcela Páez"/>
        <s v="Frida Alba"/>
        <s v="Guillermina Otero"/>
        <s v="Elena Zepeda"/>
        <s v="Karina Nñez"/>
        <s v="Reynaldo Darío Rivas"/>
        <s v="Carmen Colunga"/>
        <s v="Federico Alfaro"/>
        <s v="Andrea Ríos"/>
        <s v="Eugenia Zambrano Casas"/>
        <s v="José Luis Ana María Robledo Cortés"/>
        <s v="Julio César Collazo"/>
        <s v="Jorge Alva"/>
        <s v="Norma Gastélum Estévez"/>
        <s v="Rsula Guardado"/>
        <s v="Patricio Citlali Rico Jurado"/>
        <s v="Marisol Verónica Velásquez"/>
        <s v="José Luis Alarcón"/>
        <s v="Jerónimo Evelio Serrano Almonte"/>
        <s v="César Fabiola Palacios"/>
        <s v="Julio Fuentes"/>
        <s v="Aurelio Lemus"/>
        <s v="Héctor José Luis Vaca"/>
        <s v="Aldo Fonseca"/>
        <s v="Abraham Girón"/>
        <s v="Cristal Leticia Varela Soliz"/>
        <s v="Octavio Santacruz Lucero"/>
        <s v="Abel Salcedo"/>
        <s v="Abraham Israel Cortés Gaitán"/>
        <s v="Amador Scar Orellana"/>
        <s v="Lourdes Godoy Niño"/>
        <s v="Germán León"/>
        <s v="Sergio Hugo Benavídez García"/>
        <s v="Alejandro Rodrigo Guillen Paredes"/>
        <s v="Daniel Campos"/>
        <s v="Carla Nevárez"/>
        <s v="Armando Mónica Reyna"/>
        <s v="Alta Gracia Alicia Guzmán"/>
        <s v="Marcos Alba Becerra"/>
        <s v="Georgina Preciado"/>
        <s v="Yuridia Riojas Cotto"/>
        <s v="Luis Manuel Ilse Apodaca"/>
        <s v="Karla Berríos"/>
        <s v="Esther Durán"/>
        <s v="Camilo Terrazas Merino"/>
        <s v="Jacobo Centeno Velázquez"/>
        <s v="Pedro Zapata"/>
        <s v="Dalia Sosa"/>
        <s v="Gilberto Mascareñas"/>
        <s v="Diego Valdez"/>
        <s v="Inés Meza Campos"/>
        <s v="Abel Emilio Robledo"/>
        <s v="Judith José Eduardo Zaragoza"/>
        <s v="Elsa Alonso Almanza"/>
        <s v="Isabel Quiroz"/>
        <s v="Ramón Godoy"/>
        <s v="Santiago Perla Carrero"/>
        <s v="Eduardo Benavídez Leal"/>
        <s v="Pamela Dalia Hinojosa"/>
        <s v="Caridad Alvarado"/>
        <s v="Bruno Miranda"/>
        <s v="Mariana Jerónimo Partida Tejeda"/>
        <s v="Patricio Narváez Holguín"/>
        <s v="José Benavídez"/>
        <s v="Marcela Augusto Baca"/>
        <s v="Ivonne Olivia Cazares"/>
        <s v="Omar Alicia Mendoza Barrientos"/>
        <s v="Esperanza Domínguez"/>
        <s v="Salvador Bahena"/>
        <s v="Marisol Lucio Perea"/>
        <s v="Celia Madrid"/>
        <s v="Sonia Nancy Burgos"/>
        <s v="Ernesto Cavazos"/>
        <s v="Samuel Alonzo"/>
        <s v="Rafaél Gerardo Serrato"/>
        <s v="Trinidad Holguín Bustamante"/>
        <s v="Rosa Godínez"/>
        <s v="Alvaro Ontiveros"/>
        <s v="Ángel Bruno Peña Ulibarri"/>
        <s v="Cecilia Abelardo Soto Quintana"/>
        <s v="Alma Paola Godoy"/>
        <s v="Marisol Mota"/>
        <s v="Carlota Tórrez"/>
        <s v="Pamela Homero Arreola Godoy"/>
        <s v="Bianca Mayorga"/>
        <s v="Horacio Emilio Espinosa Padrón"/>
        <s v="Israel Paredes"/>
        <s v="Ignacio Guzmán Borrego"/>
        <s v="Margarita Guadalupe Ceja"/>
        <s v="Uriel Tafoya Lucio"/>
        <s v="Salma Vega"/>
        <s v="Hermelinda Clemente Sisneros"/>
        <s v="Esperanza Victoria Rendón"/>
        <s v="Israel Barragán"/>
        <s v="Bernabé Colunga Cordero"/>
        <s v="Agustín Dalia Rojo"/>
        <s v="Salma Rosas Pedroza"/>
        <s v="Jaime Esmeralda Márquez Ayala"/>
        <s v="Paulina Garibay Gracia"/>
        <s v="Zeferino León"/>
        <s v="Concepción Colunga"/>
        <s v="Pedro Jasso"/>
        <s v="Blanca Juan Carlos Sisneros"/>
        <s v="María Cristina Bernal"/>
        <s v="Olga Evelio Solorio"/>
        <s v="Patricia Feliciano"/>
        <s v="Diego Benito Ramos Galván"/>
        <s v="David Valencia"/>
        <s v="Elena Guardado Enríquez"/>
        <s v="Wendolin Elvia Osorio Gallardo"/>
        <s v="Francisco Javier Blanca Serrato"/>
        <s v="Violeta Celia Valverde"/>
        <s v="Salma De La Garza"/>
        <s v="Ofelia Francisco Javier Rojas"/>
        <s v="Miguel Mariana Murillo Carrera"/>
        <s v="Lorenzo Collado Gastélum"/>
        <s v="Guadalupe Vanesa Navarro"/>
        <s v="Fidel Celia Roque Vallejo"/>
        <s v="Lilia Bétancourt Parra"/>
        <s v="Alma Galván"/>
        <s v="Marisela Preciado"/>
        <s v="José Manuél Lebrón Peralta"/>
        <s v="Eugenio Juana Orta Chapa"/>
        <s v="José Eduardo Conchita Barrientos Pulido"/>
        <s v="Jaqueline Dávila"/>
        <s v="Fabiola Tamayo"/>
        <s v="Mauricio José Luis Arroyo Mascareñas"/>
        <s v="Eva Rivas Gallardo"/>
        <s v="Luisa Gilberto Trujillo"/>
        <s v="Sessa Barragán"/>
        <s v="Amanda Báez"/>
        <s v="Ilse Lozada"/>
        <s v="Elsa Prieto"/>
        <s v="Zacarías Galván"/>
        <s v="Santiago Montenegro"/>
        <s v="Amador Juan Tafoya Hinojosa"/>
        <s v="Francisco Valdés Becerra"/>
        <s v="Sergio Velásquez"/>
        <s v="Rodolfo Magaña"/>
        <s v="Claudio Anguiano Suárez"/>
        <s v="Pedro Liver De La Rosa"/>
        <s v="Octavio Madrid Acevedo"/>
        <s v="Estela Tijerina"/>
        <s v="Dulce María Amador"/>
        <s v="Alfonso Alejandra Aguilera"/>
        <s v="Octavio Briseño Corrales"/>
        <s v="Benjamín Octavio Gaona"/>
        <s v="Mariana Urbina"/>
        <s v="Elias María Elena Arenas Ocasio"/>
        <s v="Isabela Magdalena Mascareñas López"/>
        <s v="Rubén Irizarry Roldán"/>
        <s v="Lorenzo Zaragoza"/>
        <s v="Vanesa Carrera"/>
        <s v="Aurora Armenta"/>
        <s v="Patricio Puga"/>
        <s v="Ana Alvarado Zambrano"/>
        <s v="Leticia Alba"/>
        <s v="Daniel Leyva"/>
        <s v="Gabino María Eugenia García"/>
        <s v="Aurelio Sanabria"/>
        <s v="Natalia Carmen Madrid"/>
        <s v="José Manuél Candelaria"/>
        <s v="Carmen Elvira Medina"/>
        <s v="Hernán Angulo Ulibarri"/>
        <s v="Bruno Hernán Rivero"/>
        <s v="Lucas Barela"/>
        <s v="Sessa Blanco"/>
        <s v="Guillermo Merino"/>
        <s v="Omar Nelly Gamboa"/>
        <s v="Norma Ávila"/>
        <s v="Barbara Urrutia Palacios"/>
        <s v="Esperanza Pablo Villa Segovia"/>
        <s v="Zacarías Padrón"/>
        <s v="Victoria Gurule"/>
        <s v="María Luisa Roberto Holguín Zelaya"/>
        <s v="Tomás Cabrera Tijerina"/>
        <s v="César Burgos Flórez"/>
        <s v="Eric Bonilla"/>
        <s v="Mónica Montañez"/>
        <s v="María Díaz"/>
        <s v="Dolores Minerva Frías Baeza"/>
        <s v="Yuridia Madrid"/>
        <s v="Nelly Arce"/>
        <s v="Antonia Martha Esparza"/>
        <s v="Liver Téllez"/>
        <s v="Liver Julio César Cervantes"/>
        <s v="Camilo Cervántez"/>
        <s v="Marcos Amador"/>
        <s v="Rosalia Martínez"/>
        <s v="Estela Verónica Avilés"/>
        <s v="Eloy Valles"/>
        <s v="Juan López"/>
        <s v="Julia Baeza"/>
        <s v="Serafín Dulce María Vargas"/>
        <s v="Citlali Aguayo"/>
        <s v="Frida Patiño"/>
        <s v="Lucía Irma Zñiga"/>
        <s v="Karla Amelia Garrido Zedillo"/>
        <s v="Wendolin Vallejo Bueno"/>
        <s v="Jorge Seplveda"/>
        <s v="Isabela Cortez"/>
        <s v="Guillermina Carbajal"/>
        <s v="Aldonza Arriaga"/>
        <s v="Mateo Flavio Uribe García"/>
        <s v="Marcos Ruby Mateo Quiroz"/>
        <s v="Ofelia Suárez"/>
        <s v="Delia Medrano"/>
        <s v="Wilfrido Carranza"/>
        <s v="Octavio Isabela Barraza"/>
        <s v="Emilia Federico Altamirano"/>
        <s v="Concepción Elias Alonso Garrido"/>
        <s v="José Eduardo Jerónimo Montoya Loera"/>
        <s v="Ana María Palacios Cardenas"/>
        <s v="Ruby Amador Quintero"/>
        <s v="Pilar Laboy"/>
        <s v="Alfredo De La Fuente"/>
        <s v="Estela Iván Figueroa"/>
        <s v="Liliana Pedraza"/>
        <s v="Victoria Galván"/>
        <s v="Ricardo Bruno Báez"/>
        <s v="Guillermo Diana Curiel Verdugo"/>
        <s v="Susana Valadez De La Crz"/>
        <s v="María Del Carmen Liver Calderón"/>
        <s v="Gustavo Aldonza Nazario Granado"/>
        <s v="María Teresa Ocasio Vera"/>
        <s v="Omar Carla Miranda"/>
        <s v="Yolanda Rafaél Gamez"/>
        <s v="Nayeli Del Valle"/>
        <s v="Elvira Figueroa Fuentes"/>
        <s v="Cristina Urbina"/>
        <s v="Horacio Victoria Quiroz"/>
        <s v="Benito Lucio Iglesias"/>
        <s v="Caridad Frida Villarreal"/>
        <s v="Amanda Mariana Verduzco"/>
        <s v="Helena Salvador Alba"/>
        <s v="Sandra Cornelio Nava Galarza"/>
        <s v="Leonardo José Luis Manzanares Trujillo"/>
        <s v="Norma Paulina Quiñones"/>
        <s v="Emilio Alva"/>
        <s v="Virginia Irma Rolón Arteaga"/>
        <s v="Hilda Armando Padilla Castellanos"/>
        <s v="Javier Ofelia Quintanilla Villa"/>
        <s v="Mauro Meléndez"/>
        <s v="Emilio Peres"/>
        <s v="Esteban Ureña"/>
        <s v="Rufino Amador Ochoa"/>
        <s v="Abel Leticia Calderón Gallegos"/>
        <s v="Olivia Zavala"/>
        <s v="Hilda Vergara Tirado"/>
        <s v="Aida Ojeda Galindo"/>
        <s v="Gilberto Mitzy Aguirre Macías"/>
        <s v="Yuridia Rivas"/>
        <s v="Germán Bustos"/>
        <s v="Carlota Helena Cepeda"/>
        <s v="Darío Antonia Medrano"/>
        <s v="Ignacio Genaro Varela"/>
        <s v="Juan Ortega"/>
        <s v="Claudia Suárez Galván"/>
        <s v="Manuel Iván Alarcón Noriega"/>
        <s v="Pascual Treviño"/>
        <s v="Jaqueline Juan Osorio"/>
        <s v="Mauricio Pamela Villegas"/>
        <s v="Agustín Rocha"/>
        <s v="Fernando Almanza Durán"/>
        <s v="Anel Cervántez"/>
        <s v="Débora Uriel Montez"/>
        <s v="Pedro Tamayo"/>
        <s v="Irma Bañuelos"/>
        <s v="Cynthia Rolón"/>
        <s v="Bianca Abel Valentín Alarcón"/>
        <s v="Marisol Toledo"/>
        <s v="Federico Matías"/>
        <s v="Eloy Jaime Mercado Roldán"/>
        <s v="Catalina Montenegro"/>
        <s v="Armando Ángela Juárez"/>
        <s v="Eugenio Mónica Reséndez"/>
        <s v="Gilberto Tamez Sanches"/>
        <s v="Mariana Navarrete"/>
        <s v="Victoria Wendolin Terrazas Carvajal"/>
        <s v="Agustín Esparza"/>
        <s v="José Aparicio"/>
        <s v="Estela Villanueva"/>
        <s v="Guillermina Pedroza"/>
        <s v="Israel Anabel Merino"/>
        <s v="Emiliano Estévez"/>
        <s v="José María Vergara"/>
        <s v="Itzel Saiz Santiago"/>
        <s v="Guadalupe Juan Armas Montes"/>
        <s v="Enrique Crespo Alvarez"/>
        <s v="María Cristina Rebeca Quiñones Dávila"/>
        <s v="Adán Ana Ornelas Samaniego"/>
        <s v="Antonio Adriana Razo"/>
        <s v="Isác Reina Nieto"/>
        <s v="Amanda Cant Segura"/>
        <s v="Leonor María Luisa Calderón Negrón"/>
        <s v="Citlali Pantoja"/>
        <s v="Amelia Hilda Reyes"/>
        <s v="Indira Brito"/>
        <s v="Ángel Echeverría"/>
        <s v="Rodrigo Vanegas Serna"/>
        <s v="Mercedes Sessa Valladares"/>
        <s v="Dulce María Rendón Zedillo"/>
        <s v="Yeni Diego Mateo Irizarry"/>
        <s v="Camilo Eric Medina"/>
        <s v="Scar Valenzuela"/>
        <s v="María Eugenia Guajardo Ayala"/>
        <s v="Emilio Campos Grijalva"/>
        <s v="Cecilia Casas Ledesma"/>
        <s v="Alonso Ignacio Hidalgo Montes"/>
        <s v="Socorro Jurado"/>
        <s v="Camila María Teresa Reyna Lucero"/>
        <s v="María Luisa Cardenas Montemayor"/>
        <s v="Iván Amaya"/>
        <s v="Julia Dulce María Rodarte Durán"/>
        <s v="Mónica Cristal Chacón Candelaria"/>
        <s v="Hilda Soto Serna"/>
        <s v="Laura Vaca Madera"/>
        <s v="Graciela Merino"/>
        <s v="Rsula Cristian Ledesma Lara"/>
        <s v="Abel Toro"/>
        <s v="Berta Cortés"/>
        <s v="Gregorio Cristal Amaya Zelaya"/>
        <s v="Isabel Maya"/>
        <s v="Ana Luisa Montalvo"/>
        <s v="Linda Tomás Cuellar"/>
        <s v="Elias Carmen Téllez"/>
        <s v="Espartaco Esperanza Armenta Gaitán"/>
        <s v="Elvia Mariano Rendón Coronado"/>
        <s v="Carlota Ontiveros"/>
        <s v="José Carlos Rojo Páez"/>
        <s v="Anabel Susana Villalpando Huerta"/>
        <s v="Liliana Urías Velasco"/>
        <s v="Tania Soto Nieves"/>
        <s v="Jonás Osorio"/>
        <s v="Alma Leonel Morales Anguiano"/>
        <s v="Jess Burgos Ballesteros"/>
        <s v="Elena Delgado Menéndez"/>
        <s v="Vanesa Enríquez"/>
        <s v="Marcela Linares"/>
        <s v="Mario Gilberto Tórrez"/>
        <s v="Jess Carreón"/>
        <s v="Juana Negrete"/>
        <s v="Abelardo Ríos"/>
        <s v="César Jimínez"/>
        <s v="Ana María Hidalgo Razo"/>
        <s v="Guillermina Bañuelos Varela"/>
        <s v="Maximiliano Puga"/>
        <s v="Juana Rangel"/>
        <s v="Eugenio Lourdes Portillo Olvera"/>
        <s v="Dalia María Cristina Robledo Escobar"/>
        <s v="Emiliano Liliana Olivares Bañuelos"/>
        <s v="Camilo Partida"/>
        <s v="Cristina Esteban Quintero"/>
        <s v="Luis Camila Guardado"/>
        <s v="Juan Carlos Teresa Girón Sosa"/>
        <s v="Alberto Calvillo"/>
        <s v="Clara Echeverría"/>
        <s v="Hermelinda Mota"/>
        <s v="Patricia Santana"/>
        <s v="Alfredo Lerma"/>
        <s v="Patricio Abigail Meza"/>
        <s v="Wilfrido Mariana Rivero Martínez"/>
        <s v="Leticia Luevano Mayorga"/>
        <s v="Scar Ulloa Valdivia"/>
        <s v="Estefanía Modesto Lebrón Figueroa"/>
        <s v="Socorro Arcelia Alejandro"/>
        <s v="Víctor Jaramillo"/>
        <s v="Julia Nájera"/>
        <s v="Ramón Reyes"/>
        <s v="Carmen Brito"/>
        <s v="Jos Bernabé Osorio"/>
        <s v="Sara Jorge Alvarez"/>
        <s v="María Renato Ochoa Aguilera"/>
        <s v="Elvia Pulido Brito"/>
        <s v="Miguel Granados Oquendo"/>
        <s v="Rubén Cecilia Zarate"/>
        <s v="Amanda José Eduardo Rolón"/>
        <s v="Espartaco Godoy Fuentes"/>
        <s v="Armando Paola Tejeda Reynoso"/>
        <s v="María Elena Guajardo Serna"/>
        <s v="Jonás Corrales"/>
        <s v="Alicia Barela"/>
        <s v="César Portillo"/>
        <s v="María González"/>
        <s v="Mitzy Fidel Aguirre Barragán"/>
        <s v="Josefina Zarate"/>
        <s v="Gloria Cabán Santana"/>
        <s v="Micaela Zavala Borrego"/>
        <s v="Yolanda Elisa De La Garza"/>
        <s v="Emiliano Ofelia Luevano"/>
        <s v="Juan Aranda"/>
        <s v="Wilfrido Daniela Alonso Gaytán"/>
        <s v="Lucía Patricia Ybarra Segovia"/>
        <s v="Yolanda Emilio Marín Arenas"/>
        <s v="María Teresa Citlali Negrete"/>
        <s v="Cristian Godínez"/>
        <s v="Alejandro Aida Esquibel Candelaria"/>
        <s v="Luz Eduardo Villegas León"/>
        <s v="Alejandra Marco Antonio Salas Contreras"/>
        <s v="Delia Jacinto Quintanilla Olvera"/>
        <s v="Eugenio Marcos Lara"/>
        <s v="Isác Ignacio Benítez"/>
        <s v="Leonel Orosco"/>
        <s v="Carlos Esteban Nieves Zarate"/>
        <s v="Dalia Cornelio Treviño De La O"/>
        <s v="Rolando Gutiérrez Barrera"/>
        <s v="Hernán Anguiano"/>
        <s v="Mitzy Adame Tafoya"/>
        <s v="Anabel Graciela Orta Limón"/>
        <s v="Ivonne Georgina Arenas"/>
        <s v="Ilse Ocasio"/>
        <s v="Antonia Borrego"/>
        <s v="José Manuél Indira Ledesma Treviño"/>
        <s v="Itzel Puente Téllez"/>
        <s v="Martín Salma Bermdez"/>
        <s v="Emiliano Emilio Cuellar"/>
        <s v="Mitzy Ordóñez"/>
        <s v="Yolanda Joaquín Barela Méndez"/>
        <s v="Ivonne Inés Solorzano"/>
        <s v="Anabel Carreón"/>
        <s v="Rafaél Nájera"/>
        <s v="Gonzalo Leonel Pulido"/>
        <s v="Francisco Javier Mitzy Zedillo"/>
        <s v="Gilberto Granados"/>
        <s v="Magdalena Bustamante"/>
        <s v="José Eduardo Moreno"/>
        <s v="Estela Zamora Téllez"/>
        <s v="Mayte Muro"/>
        <s v="Diego Abigail Henríquez"/>
        <s v="Uriel Abel Rivero Vargas"/>
        <s v="Vanesa José Santana"/>
        <s v="María Cristina Amelia Rosario Trujillo"/>
        <s v="Miriam Rosales"/>
        <s v="Eugenia Franco"/>
        <s v="Estela Gómez Montañez"/>
        <s v="Rsula Palacios"/>
        <s v="Flavio Terán"/>
        <s v="Conchita Barrientos Olvera"/>
        <s v="Humberto Benavides"/>
        <s v="Clemente Lucas De La Crz Flórez"/>
        <s v="Agustín Alba"/>
        <s v="Maximiliano Pizarro Escamilla"/>
        <s v="Ramiro Adriana Botello"/>
        <s v="Eric Yolanda Saldivar"/>
        <s v="Josefina Varela"/>
        <s v="Daniel Treviño Almaraz"/>
        <s v="Lorenzo Zaragoza Niño"/>
        <s v="Estela Vanegas"/>
        <s v="Asunción Badillo"/>
        <s v="Ignacio Corrales"/>
        <s v="Bruno Linda Flores"/>
        <s v="Carla Urbina"/>
        <s v="Ángela Homero Bravo"/>
        <s v="Roberto Alemán Duarte"/>
        <s v="Sara Naranjo Colón"/>
        <s v="Conchita Arteaga"/>
        <s v="Hilda Corrales Ramón"/>
        <s v="Esther Casares"/>
        <s v="Olga Frías Paz"/>
        <s v="Pamela Magdalena Pantoja Sisneros"/>
        <s v="Natividad Balderas"/>
        <s v="Débora Alberto De Jess Rodríguez"/>
        <s v="Scar Cadena Valle"/>
        <s v="Olga Castillo Longoria"/>
        <s v="Clemente Omar Olivo"/>
        <s v="Modesto Ricardo Llamas"/>
        <s v="Vanesa Gurule"/>
        <s v="Eric Joaquín Navarrete"/>
        <s v="José Manuél Barrios"/>
        <s v="Blanca Acosta"/>
        <s v="Alejandro Tomás Arellano"/>
        <s v="Angélica Berta Alemán"/>
        <s v="Mariano Cruz"/>
        <s v="Guadalupe Marisol Negrón Cazares"/>
        <s v="Cristobal Frida Lucero Chapa"/>
        <s v="Trinidad Seplveda Venegas"/>
        <s v="Daniel Flores"/>
        <s v="Irene Murillo Cano"/>
        <s v="Rosalia Carbajal"/>
        <s v="Ana Luisa Garrido Camarillo"/>
        <s v="Adriana Quiñones"/>
        <s v="Ramón Ruby Solís"/>
        <s v="Perla Meléndez"/>
        <s v="Cristobal Renato Malave Mercado"/>
        <s v="David José Luis Espinosa Alonso"/>
        <s v="Nayeli Abrego"/>
        <s v="Magdalena Del Río Covarrubias"/>
        <s v="Mauricio Horacio Marín"/>
        <s v="Eric Amador Santiago"/>
        <s v="Salma De Anda"/>
        <s v="Lorena Jacinto Limón"/>
        <s v="Julio César Hinojosa Carrión"/>
        <s v="Clara Maximiliano Samaniego Lebrón"/>
        <s v="Judith José María Menchaca Nieves"/>
        <s v="Lucas Mendoza"/>
        <s v="Micaela Santacruz"/>
        <s v="Amelia Baca"/>
        <s v="Nelly Vaca Santana"/>
        <s v="Miguel Ángel Alberto Tamayo"/>
        <s v="Luis Manuel Arriaga"/>
        <s v="Adela Alcala"/>
        <s v="Luisa Eugenio Vásquez Alemán"/>
        <s v="Jorge Luis María Calderón Valdivia"/>
        <s v="Marcela Micaela De La Garza Alarcón"/>
        <s v="Berta Aldonza Toro Colunga"/>
        <s v="Augusto Oswaldo Arce Guardado"/>
        <s v="Andrés Brito"/>
        <s v="Mariano Borrego"/>
        <s v="María Luisa Benavides"/>
        <s v="Asunción Maximiliano Baca Ramírez"/>
        <s v="Yolanda Miranda"/>
        <s v="Alonso Rsula Ordóñez Quezada"/>
        <s v="Ana Perla Zavala Laboy"/>
        <s v="Zoé Alejandro"/>
        <s v="Pascual Bravo"/>
        <s v="Alma Karina Munguía Paredes"/>
        <s v="Maximiliano Omar Brito Vega"/>
        <s v="María Cristina De La Crz"/>
        <s v="David Preciado"/>
        <s v="Jess Arce Valles"/>
        <s v="Vanesa Valverde Gaona"/>
        <s v="Leonel Noelia Solís"/>
        <s v="Porfirio Lorenzo Cordero"/>
        <s v="Pascual Gracia Robles"/>
        <s v="Bianca Ávalos Cant"/>
        <s v="Espartaco José Eduardo Zayas"/>
        <s v="Alma Mondragón Elizondo"/>
        <s v="Aida Perales"/>
        <s v="José Urrutia"/>
        <s v="Humberto Yeni Ceballos"/>
        <s v="Lorenzo Rafaél Morales Valles"/>
        <s v="Florencia Viera"/>
        <s v="Camila Arcelia Enríquez Hinojosa"/>
        <s v="Felipe Fuentes Loera"/>
        <s v="Leonardo Griego"/>
        <s v="Nadia Canales Nñez"/>
        <s v="Soledad Yeni Gonzales"/>
        <s v="Samuel Esteban Caraballo Balderas"/>
        <s v="Rosalia Florencia Contreras"/>
        <s v="Eugenio Almonte"/>
        <s v="Francisca Norma Valle Lozada"/>
        <s v="Olga Delgadillo"/>
        <s v="Cristina Anguiano"/>
        <s v="Estefanía Casas"/>
        <s v="Liver De León"/>
        <s v="Esperanza Scar Zelaya"/>
        <s v="Estefanía Ruiz"/>
        <s v="Mariana Guerrero Arreola"/>
        <s v="Francisco Javier Gustavo Gracia Arteaga"/>
        <s v="Eloisa Orta"/>
        <s v="Magdalena Carlota Pérez"/>
        <s v="Cristal Andrés Gómez"/>
        <s v="Celia Cardona Griego"/>
        <s v="Marisela Zeferino Adame Ureña"/>
        <s v="Leonel Ponce"/>
        <s v="Santiago Frías"/>
        <s v="Eugenia Jáquez"/>
        <s v="Ignacio De La Garza"/>
        <s v="Eugenia Magaña Tejeda"/>
        <s v="Alfonso Gerónimo Tovar Merino"/>
        <s v="Lilia Esteban Lucio"/>
        <s v="Abril Fonseca"/>
        <s v="Adalberto Nayeli Villarreal Dávila"/>
        <s v="Alfredo Flórez"/>
        <s v="Josefina Miramontes"/>
        <s v="Serafín Antonio Fonseca"/>
        <s v="Pedro Eric Parra Palacios"/>
        <s v="Mitzy Noelia Ramos Menchaca"/>
        <s v="Marisol Santana"/>
        <s v="Diego Armando Portillo"/>
        <s v="Marcos Adriana Orosco Bétancourt"/>
        <s v="Diego Nancy Madrid Cornejo"/>
        <s v="Ofelia Duarte"/>
        <s v="Benjamín Luisa Marrero Frías"/>
        <s v="Daniela Uribe"/>
        <s v="Marco Antonio Cornejo"/>
        <s v="Wilfrido Arenas"/>
        <s v="Elias José Eduardo Marín Palomino"/>
        <s v="Judith Ayala"/>
        <s v="Cristobal Ortega"/>
        <s v="Leonel Cruz Enríquez"/>
        <s v="Jerónimo José Manuél Magaña"/>
        <s v="Abelardo Melgar"/>
        <s v="Jaqueline Sessa Gutiérrez"/>
        <s v="Indira Eugenia Fuentes"/>
        <s v="Graciela Garibay"/>
        <s v="Dolores Rodolfo Rojas Arellano"/>
        <s v="Karina Gálvez Durán"/>
        <s v="Flavio Iván Casillas"/>
        <s v="Emilio Leiva"/>
        <s v="Alicia Rosales"/>
        <s v="Elvira Marisol Reyes Alfaro"/>
        <s v="Fidel Mateo Parra Ulloa"/>
        <s v="Leonardo Orosco"/>
        <s v="Julio César Olivares Matos"/>
        <s v="Hernán Vallejo"/>
        <s v="Miriam Arcelia Casares"/>
        <s v="Clara Del Valle"/>
        <s v="Claudio Ana Aguirre Urías"/>
        <s v="Georgina Murillo"/>
        <s v="Catalina Matías"/>
        <s v="María Navarrete"/>
        <s v="Pilar Collado"/>
        <s v="Arcelia Navarrete"/>
        <s v="Amalia Soledad Alba Crespo"/>
        <s v="Benito Montañez"/>
        <s v="Emilia Rolón"/>
        <s v="Aldo Lira"/>
        <s v="Elvira Laboy"/>
        <s v="Evelio Pilar Urbina"/>
        <s v="Indira Orozco Cuellar"/>
        <s v="Gilberto Fajardo Esquivel"/>
        <s v="Elena Ballesteros"/>
        <s v="Cecilia Gurule"/>
        <s v="Esmeralda Eugenia Ceja"/>
        <s v="Rocío Eugenio Villagómez"/>
        <s v="Tania Carrera"/>
        <s v="Carmen Curiel Samaniego"/>
        <s v="Mariano Fuentes Esquibel"/>
        <s v="Ana María Nájera"/>
        <s v="Débora Escamilla"/>
        <s v="Eric Montañez Velázquez"/>
        <s v="Delia Wilfrido Valladares Tapia"/>
        <s v="Olivia Amelia Cadena"/>
        <s v="Adán Prado"/>
        <s v="Mariano Corrales Orosco"/>
        <s v="Ana María Pichardo Seplveda"/>
        <s v="Cristina Del Río Longoria"/>
        <s v="María Eugenia Valdivia"/>
        <s v="Miguel Romo"/>
        <s v="Alejandro Hermelinda Mondragón Alvarado"/>
        <s v="Rocío Villareal"/>
        <s v="Carlos Peralta"/>
        <s v="Olga Georgina Iglesias"/>
        <s v="Dalia Barrera"/>
        <s v="Jorge Bernardo Ávalos"/>
        <s v="Emiliano Violeta Anguiano Paz"/>
        <s v="Guadalupe Borrego"/>
        <s v="Benito Ramón"/>
        <s v="Ricardo Velasco"/>
        <s v="Amanda Gollum"/>
        <s v="Mercedes Amanda Jurado Centeno"/>
        <s v="Marcos Rivas"/>
        <s v="Norma Meléndez"/>
        <s v="Augusto Adán Niño"/>
        <s v="Amador Hernandes Menéndez"/>
        <s v="Alejandro Longoria"/>
        <s v="Amelia Oswaldo Bernal Niño"/>
        <s v="Liliana Verduzco"/>
        <s v="Espartaco Arguello Bustamante"/>
        <s v="Evelio Ramiro Arce"/>
        <s v="Elias Juan Carlos Estévez Cepeda"/>
        <s v="Carmen Leyva"/>
        <s v="Oswaldo Magaña"/>
        <s v="Cristal Rincón"/>
        <s v="María Maximiliano Ochoa"/>
        <s v="Nelly Hernán Ríos Guardado"/>
        <s v="Yeni Tafoya"/>
        <s v="Estela Alejandro Caballero"/>
        <s v="Federico Angulo"/>
        <s v="Felix Pizarro"/>
        <s v="Alonso Gutiérrez Gonzales"/>
        <s v="Natividad Armenta Espino"/>
        <s v="Diego Adame"/>
        <s v="Rosa Serrano"/>
        <s v="Nancy Horacio Porras"/>
        <s v="Hugo Polanco"/>
        <s v="Alta Gracia Espino"/>
        <s v="Verónica Jurado Gonzales"/>
        <s v="Carolina Cabán Urías"/>
        <s v="Evelio Holguín Galarza"/>
        <s v="Oswaldo Jorge Mota"/>
        <s v="Diana Olivas"/>
        <s v="Dolores Pablo Menéndez"/>
        <s v="Abigail Castillo"/>
        <s v="Ramón Miramontes"/>
        <s v="Martín Sara Verduzco"/>
        <s v="Omar Irene Corral"/>
        <s v="Irene Saldivar"/>
        <s v="Raquel Crespo Carrión"/>
        <s v="Raquel Domínguez Vanegas"/>
        <s v="Antonio Jess Vallejo Bravo"/>
        <s v="Barbara Perla Godínez"/>
        <s v="Salvador Barela"/>
        <s v="Mayte Acevedo Viera"/>
        <s v="Carmen Macías"/>
        <s v="Lucía Montoya"/>
        <s v="Eugenio Fernando Delgado"/>
        <s v="Alta Gracia Marrero Ocasio"/>
        <s v="Conchita Calvillo Alba"/>
        <s v="Alicia Agustín Piña"/>
        <s v="Cristian Mercedes Rubio Medrano"/>
        <s v="Gustavo Berta Aragón"/>
        <s v="Liver Ulloa"/>
        <s v="Lourdes Reyes Valladares"/>
        <s v="Humberto Rosas"/>
        <s v="Jerónimo Palomino Lozano"/>
        <s v="Carmen Rufino Téllez Benavides"/>
        <s v="Anel Marco Antonio Patiño"/>
        <s v="Alejandra Nájera Miramontes"/>
        <s v="Jonás Peña"/>
        <s v="Abril Rolando Cardona"/>
        <s v="Gabriela Aida Chapa"/>
        <s v="Guillermina Guajardo Griego"/>
        <s v="Olga Merino Benavides"/>
        <s v="Florencia Jaramillo"/>
        <s v="Ángel Aldo Tello Noriega"/>
        <s v="Timoteo Alvaro Lemus"/>
        <s v="Fabiola Galindo"/>
        <s v="Cristina Alejandro"/>
        <s v="Wendolin Fonseca"/>
        <s v="Cristobal Villa"/>
        <s v="María Cristina Esparta Partida Lozano"/>
      </sharedItems>
    </cacheField>
    <cacheField name="ID de orden" numFmtId="0">
      <sharedItems>
        <s v="d7c9e19e-1228-4326-8b2a-cde42e222a67"/>
        <s v="c1103728-e36d-48da-ba95-42c7fc1ccca5"/>
        <s v="1fd52e4f-ce34-4747-8dc7-fa4b9fe57dc4"/>
        <s v="0ada26be-f753-405b-a1a4-3599df81e700"/>
        <s v="9300cdf6-1250-4659-917a-93641a266da5"/>
        <s v="c46fe29a-c3e5-4c00-b9ea-94b719c84734"/>
        <s v="35bff7d1-834a-47b1-8627-e9ce0847bae9"/>
        <s v="5199a25e-ee56-4e1f-9c71-21f24998e8fc"/>
        <s v="e58774cc-8183-4c21-b23d-1089685c61dd"/>
        <s v="4e85609f-8a23-4d99-a616-2f83279d0dc0"/>
        <s v="a076e80e-95f4-4b8d-8e0e-af032fd3e7e3"/>
        <s v="b76b9aa0-31e3-4e6d-905f-d7fc227d629a"/>
        <s v="fde0973c-ba07-4b7c-b196-f9743e17466a"/>
        <s v="0281b754-3298-47cb-85b3-b7e7a8c57bab"/>
        <s v="6d6dc8da-1c46-48a9-9864-d6731b144bc7"/>
        <s v="6d865eac-7ee1-4c9f-bf09-98a0163a585b"/>
        <s v="166ba421-1a83-493d-b4f5-5832605721e4"/>
        <s v="530801f5-4c88-4d00-b297-5944ebece83d"/>
        <s v="116022d7-56fc-4596-aeba-30c58ab21dbf"/>
        <s v="6685e5bb-9081-494c-b6aa-422ddb87955d"/>
        <s v="f8087330-1de4-4af6-8cae-e91d660b819f"/>
        <s v="d58eb71d-bd78-4ec3-8a70-34213c01464b"/>
        <s v="45698812-aa8b-4fea-b214-81743c8c3e1d"/>
        <s v="df7f87e2-753a-411f-bbe9-b634b149f17c"/>
        <s v="bfde20ee-a837-4bd7-af36-f9e5b40dfe3b"/>
        <s v="91de2837-a873-4607-8185-7fa6844d2be8"/>
        <s v="814e531c-1781-4af9-86e2-0da4494565c9"/>
        <s v="698672ae-dbbd-4086-a5f7-90c3dfe00ff8"/>
        <s v="102bcf63-b887-46cb-8d4f-8c9404340da9"/>
        <s v="c2c34b94-f490-4a39-9f0d-d895d228fae3"/>
        <s v="dba5fcd9-c9cd-46ba-a785-12d580ffe57a"/>
        <s v="10459092-6977-440d-ad85-b85e03763cf7"/>
        <s v="e9bf9df3-945d-4164-9afd-4e3cdee9991c"/>
        <s v="ead07a50-6dc3-4997-a078-77b5ae38bb54"/>
        <s v="a9fee7b5-3729-4db8-815f-355ff6236823"/>
        <s v="72bb2e02-f0ab-4425-ad19-83e3487dfc79"/>
        <s v="ced0a1f9-ee13-48fd-ae58-db4f7cdfb189"/>
        <s v="446489c3-d916-48e8-af47-535cb42956ac"/>
        <s v="ab896c73-e2a6-4dc5-922f-889ab750954e"/>
        <s v="c196a64f-ac47-4c79-b416-d0807432cfa3"/>
        <s v="5004d2bb-d9ba-4955-8ee4-bf09d5db221e"/>
        <s v="50132920-f6aa-4e4d-8964-c48df8dcf12f"/>
        <s v="5eb1511c-6bde-49b4-b1e9-39aeeca914bc"/>
        <s v="36d91d20-825b-4909-9326-ca55a5ba261f"/>
        <s v="62a28aa3-fc75-41e7-abc8-fbb577726ebd"/>
        <s v="02858336-ce07-4437-8326-04e65dd55fe4"/>
        <s v="46930688-ab22-4f38-922e-c8bdee972554"/>
        <s v="00f3b5c0-94a8-46ed-a8a8-4d11bde44da7"/>
        <s v="9d83faf6-b95d-4623-85a1-78d8b416dd3f"/>
        <s v="3217ab5c-f143-443a-aece-3a47846a3ff2"/>
        <s v="2f12cb9e-2010-490d-9bfa-31410ba27433"/>
        <s v="ac86de05-18a9-4269-876c-d1c20900fd8f"/>
        <s v="403acb42-0f8a-41c6-b42a-d1adc4b62bfb"/>
        <s v="1d366307-d6bd-4e44-b202-bab1ce141dbd"/>
        <s v="6a83774a-e4f8-4c9b-ae75-2c985e801156"/>
        <s v="84862dcd-d58c-423c-99b1-8b1ee8b38e4e"/>
        <s v="512f8818-bb8d-466a-9f10-79bd8f52408b"/>
        <s v="8588db90-3e5f-471e-8500-c89cbc6d1623"/>
        <s v="84603ef1-6930-4a3e-b3f4-2e56b1a84398"/>
        <s v="af1640cb-8d21-4be4-a497-cf19ebe3fa3e"/>
        <s v="fa21bde8-c128-4e66-83c3-a35891b527e7"/>
        <s v="6a533065-10e9-417f-90b8-cc321916284c"/>
        <s v="be2593fe-882a-47b4-84fb-96d56973714b"/>
        <s v="9b5f5828-58aa-4107-b467-e223f64cae41"/>
        <s v="a23fb156-d7f0-48b3-8429-51722fc91010"/>
        <s v="b7d845eb-4a64-4099-a793-3f93363ea49e"/>
        <s v="8d472941-b5df-4f80-b3a6-ece0e6978e8a"/>
        <s v="8e37e816-5b3d-4cf1-9cef-cf002ceb456f"/>
        <s v="b970ae82-fee0-482e-b413-b42d8439bc7e"/>
        <s v="21eb6780-a2cf-4959-81fd-6bec09658cd0"/>
        <s v="632f3ed9-ab81-468b-93d0-16a797a5d1c7"/>
        <s v="b3d5e0b4-2834-4e54-a96a-d9085614ca23"/>
        <s v="0332c3e0-2f25-4dfd-ad14-79f12be80567"/>
        <s v="1a1b2b13-06f4-45bf-a9e9-678df211aedf"/>
        <s v="da98ee54-efa1-4a37-a44f-16e69c8a3769"/>
        <s v="f175c4e2-a107-42a1-87d8-ae02bbeada76"/>
        <s v="6c9a8394-7c0d-49dd-814c-cdca8e78dbd5"/>
        <s v="4082ebc9-a484-41c7-ae7f-fcdfa5f8c7f8"/>
        <s v="4466335e-c645-4d4b-a152-4044038bf97c"/>
        <s v="bc02e752-e8f9-4729-a7cd-24ba1ff00164"/>
        <s v="2feb799d-af20-4c3b-99b5-36c59009058b"/>
        <s v="4e9e641c-a0d6-4903-8f6e-f87d90c24aa0"/>
        <s v="dafa21d9-a2ea-4867-b143-31f8243c024c"/>
        <s v="75b08c4a-c440-4f59-a757-c070085c6101"/>
        <s v="7da07b63-351f-4e52-aa15-8e1320b57edf"/>
        <s v="7f6c0f86-6158-4f16-8105-a9407f403fe9"/>
        <s v="279ccf00-0de5-4813-a6ed-58a52bc1a5ad"/>
        <s v="ce229233-81ec-4127-be94-95ce93175cd4"/>
        <s v="17ce4fbf-b0f5-4e3b-aeb9-956b5c881168"/>
        <s v="bfef5ecf-9029-4f0b-9ca9-4cce9f340385"/>
        <s v="dca0f25c-824a-4634-827c-d385dafa7123"/>
        <s v="b3a633a5-e62e-4c18-a2a7-1e1b9a949d2a"/>
        <s v="3c3a1e13-f9c9-448a-91f3-059857dd86f5"/>
        <s v="a60e107a-d3cc-46c7-9a8e-b0aa9cfa7817"/>
        <s v="a6735135-46d8-4997-ad55-d449e18fd075"/>
        <s v="56344cb2-c22e-400d-87dd-49a631ced56f"/>
        <s v="5eb46f68-93f4-40bf-ade8-2f3822a7d3fe"/>
        <s v="3c8ea69b-f625-4431-b5c1-1d4bdc621135"/>
        <s v="f652769b-e1e8-44a1-8f3d-6f80c1ac3f13"/>
        <s v="9e945271-543f-4b06-a34e-b1dfcd6b8450"/>
        <s v="fd16a28b-5ec8-4f7c-aac8-e6c93568cda5"/>
        <s v="8dcb205e-e032-4baa-a658-7e640f07fe1e"/>
        <s v="bbcfa88c-1300-46e2-bc6a-e3c6ddbb62d8"/>
        <s v="4cfd7c38-6607-4b36-ab60-fb259d4e18b4"/>
        <s v="1f451643-e6fa-4d54-b03d-304b7a23b3e1"/>
        <s v="2c42cc7e-a16c-4dc9-ae59-89dbe94c5127"/>
        <s v="e00df3f6-aa51-4a6d-bf1d-36462af123a2"/>
        <s v="bb3ff505-4124-4f45-b8b6-401ab861a5af"/>
        <s v="7a66e4f7-bc95-4384-85ad-39070d893921"/>
        <s v="9c66ca34-d486-44b8-bf48-2843a252f7a0"/>
        <s v="15c297bf-5d8e-4902-b9f9-0205a370b77e"/>
        <s v="ed2140fd-8a01-4a73-bd2d-02153d2e7f26"/>
        <s v="ad128167-ed41-4cfc-980f-861300230ea2"/>
        <s v="9c8710a3-d9ef-4a00-9c0b-7c93d5fb8f63"/>
        <s v="8f1343f8-568b-4478-bc57-4112e44e97c4"/>
        <s v="d220d617-88a5-417d-906a-713dd8d57f69"/>
        <s v="7c7c5e94-04af-466b-bbd2-9ba60b16b6cc"/>
        <s v="84e9d394-3af7-4da9-9805-83c89cc6120f"/>
        <s v="d5d39d13-0c4d-4695-9fb3-6fbc66298a78"/>
        <s v="e8b495a0-823c-484a-8e06-d1bdd07a0b5f"/>
        <s v="6a6b7bb0-7d16-4f28-a74f-712ee43c38a6"/>
        <s v="4d3b34a5-8ae2-4de1-a0af-616e0a229665"/>
        <s v="768f4e3f-b865-4aa6-92fa-bf0b9431ed0a"/>
        <s v="e3cbaf49-bfb7-417c-9883-c7501381b3e1"/>
        <s v="8f7b25cf-e88f-4704-9a71-5fe4e6e4d0c9"/>
        <s v="d21d73fe-7b8a-4ddb-a473-47c717ebb087"/>
        <s v="4c53a9db-d0fe-42d8-a909-921633d44173"/>
        <s v="7b989337-edb6-498f-9b1d-9056bb83e316"/>
        <s v="4b66bc0e-757f-46df-8fd9-af3d9751bd47"/>
        <s v="1c3f2222-1db8-46db-876a-6f85812ebbbf"/>
        <s v="1a50b4b1-1657-4b5e-a237-9cfb5c083efc"/>
        <s v="48fa08f3-3f1d-41d4-98c7-9d364159c3ee"/>
        <s v="ffdae6e0-eb2e-4a6c-8726-a98497d0dedb"/>
        <s v="873e756f-1f4a-4de6-90ff-4cb697b1e8fe"/>
        <s v="7ba0efb4-239e-4695-a171-7e53a2d5321c"/>
        <s v="404fea2a-d896-4427-a0d6-e0581df99ba3"/>
        <s v="8ed93f26-7deb-40c4-b603-2dab763f14bd"/>
        <s v="15e734e2-2950-4516-be09-1c82cf0c10ef"/>
        <s v="73c9e2ed-d0e0-4b5c-92ac-e3a55014e974"/>
        <s v="a895a20b-523d-4f9e-a3e5-039259362c4f"/>
        <s v="677b528f-dda1-49de-adfd-cb2648ff77c2"/>
        <s v="6c8cd43e-c6ec-498f-b791-a986f872af1d"/>
        <s v="5407753d-0304-48ca-9ea9-d8bbfb643e29"/>
        <s v="0b19abc7-fda3-4d4c-944d-c789af3a12ee"/>
        <s v="2f83c135-17e5-4888-8b31-f505c0170e5e"/>
        <s v="d5751f29-c753-47da-9e7a-d5ed1090b0ad"/>
        <s v="0461093f-4c28-41d9-b8c1-8f858b8a8164"/>
        <s v="cc9f2851-c332-405f-a3fb-1abae821a706"/>
        <s v="a735a980-0215-4741-924f-a6525c85f916"/>
        <s v="20cb126e-53ab-49aa-9f94-792732fd304c"/>
        <s v="43bdd060-f236-479e-81bb-97be1c5dc7be"/>
        <s v="135a4c21-3cb1-4e50-ba78-3db911948053"/>
        <s v="749cbc33-d403-4c84-a42b-66866a2e6f47"/>
        <s v="499ebdfa-358c-41aa-8d92-cc8b5259dfd0"/>
        <s v="22971ca8-f21c-436b-84f8-11a2a2c20ff6"/>
        <s v="c7c879c2-7a83-4527-a295-5f822ea9b655"/>
        <s v="f4841777-97d3-4cce-bc0f-17c21f34e253"/>
        <s v="49d7397b-eb15-4d2d-b30b-8f6ca86b2125"/>
        <s v="5659c3e8-e722-4ce4-a66f-283a33db3b2a"/>
        <s v="784aa491-3eb3-4b5e-858a-3b24918b10a1"/>
        <s v="d710fc03-2b70-47e7-9fe6-590b75fdde09"/>
        <s v="95af7f10-1768-4963-ab62-677ee934c6c0"/>
        <s v="517b090a-2e73-4c68-aad4-180d1350b369"/>
        <s v="8204039a-5541-4976-bc5b-19da90d1ecf0"/>
        <s v="03d8d67d-53e4-43e8-bd00-72801ff4e987"/>
        <s v="fd56654c-43c9-4016-8183-cbdf6b382ba6"/>
        <s v="8429854b-a406-4cf2-9cdd-ed466b843f6e"/>
        <s v="298b36d0-dae0-4465-94e0-f5a242f44bd5"/>
        <s v="ce0567fa-7e48-43a0-a5b7-07aa5cc439d0"/>
        <s v="6152d019-c240-4dd1-adb5-1811f3729839"/>
        <s v="7a27100e-236d-45f0-952e-b7c838d737a2"/>
        <s v="656f3966-abb8-497a-981c-4e2bec529c24"/>
        <s v="c499769d-908e-43f6-bd30-c1817bd0deff"/>
        <s v="99a8722a-ede3-4080-9d85-450687f17be6"/>
        <s v="8c7eb2e6-d1ab-4158-93c5-a214d07681c6"/>
        <s v="14722e2a-7971-43ee-ac45-587157e6f198"/>
        <s v="df7faa34-7de9-48f0-8ba1-2897a5b1e8fd"/>
        <s v="a487c1e9-95f4-4b1d-b9e1-8ce364aaa62c"/>
        <s v="7d131cdc-d20b-4dba-ba8c-67f9adbbcf3b"/>
        <s v="f2788526-390a-447d-aadf-5ad11ba53e76"/>
        <s v="78bdd5ec-2c8a-49c9-918e-bfe3147b65c3"/>
        <s v="569d9a75-753b-41b8-9540-1368ec0acbe5"/>
        <s v="0514f6bb-c61e-409d-8985-bc35bb86f4af"/>
        <s v="4a70ae74-59ef-4f8f-98ee-d8fff858e22d"/>
        <s v="a98bfa4e-dd81-401d-b806-a98b5c514056"/>
        <s v="d59afe7f-49e3-483a-97f5-ce81f54d250f"/>
        <s v="86dddca7-94b8-407d-9b43-bb0906ba81e6"/>
        <s v="f6a5ccaa-f8db-4293-9b11-932f3470afdf"/>
        <s v="8dbce9a8-4e8c-41c7-a836-12fe71b7ad0a"/>
        <s v="f34bc8a2-d539-45c5-a4cb-e23ab3ad1bf9"/>
        <s v="0bbe7dc7-b837-4dff-83eb-a691bf3d9337"/>
        <s v="48f1f9b2-e5c3-45db-9c35-dba3af2b3e37"/>
        <s v="56137b69-5c0a-49a2-bc0e-cd99b52af4b9"/>
        <s v="c6ebe95f-880f-4175-b857-173d436e2753"/>
        <s v="bfb5f658-102d-4d01-bec2-1f4cced1bbef"/>
        <s v="25b223d6-04b8-478f-9246-79edbe8738eb"/>
        <s v="2ad918fa-d68e-42ea-926c-414454fd8220"/>
        <s v="437715f5-b663-4ceb-8e4d-01760b5c39e8"/>
        <s v="261f24e0-0c30-40fa-92d3-3c013d335e1f"/>
        <s v="61cc0a01-493f-48a6-8973-8cc3bf69bd4b"/>
        <s v="699048e6-5415-4dd4-ada9-8e6e4a549eb2"/>
        <s v="05462222-2134-4569-8058-16e2b626c19b"/>
        <s v="1c44a1fd-cb0c-401e-8e21-c1a8d9242148"/>
        <s v="636e2a36-d8c0-4ac8-b15e-52b5f9b2507b"/>
        <s v="3341556d-8dc1-42f2-b455-3a339ff909cd"/>
        <s v="eb72415a-2fdb-436d-a740-aa38fe92dba8"/>
        <s v="82c801f7-86fa-465e-b47e-1a2faca2409f"/>
        <s v="df271a81-4486-42c3-b66a-88accdba843d"/>
        <s v="67b79c05-b522-4593-8812-0d7f9fe8aead"/>
        <s v="7ac1b8fd-c88f-4033-9061-4a7613449273"/>
        <s v="1cc3a12d-c04b-4839-a053-31d0fce65570"/>
        <s v="fd7d838f-61fb-4072-8a90-c3d1b393f61b"/>
        <s v="55a4140a-ad3c-4b67-9d33-7eb275fe9440"/>
        <s v="b5d4423c-9255-4859-8feb-44a8655b46a4"/>
        <s v="16c09f74-0932-405b-8587-0165634b10b3"/>
        <s v="6bbde35c-e30d-4e24-884b-5b00ccf47e4b"/>
        <s v="544cee72-594a-4c94-8dc6-243ba049fe28"/>
        <s v="ff0b4f20-17ed-4610-9fc5-30d4da7e79e4"/>
        <s v="3b41356a-51cc-450b-9098-9b6959c32336"/>
        <s v="2a1cc810-f23f-44be-ad5d-2c2061de3b67"/>
        <s v="9d884542-5d01-4a57-bd22-ce173740036f"/>
        <s v="9ffc235a-1e2b-44c3-80ec-61b7a7d4cbc5"/>
        <s v="e387b8f5-c2cb-4dfe-a9c5-5747a0bf2ba4"/>
        <s v="53cd2e8b-92e5-4411-a0ca-9f936ff0be49"/>
        <s v="5a679e4d-2017-44f1-8c69-308bd963826c"/>
        <s v="9fc06fba-9376-4e96-97f1-0aeca2f00a87"/>
        <s v="19e94e09-d952-49ce-b5b6-95c649d995d4"/>
        <s v="d1068262-a372-42f4-b5e9-48fa9a84b933"/>
        <s v="7c0a6b67-d03e-4b5f-95bc-b0d715cb90f0"/>
        <s v="bfe71cbd-5340-41ca-b9f4-c5301c10428f"/>
        <s v="87c5ffd3-6c28-4101-af3b-154ff4ae6392"/>
        <s v="20d27746-91f7-427d-9e21-02ca06d5e5c3"/>
        <s v="720e7c71-4c87-47e1-b24a-7f8c021bc9a3"/>
        <s v="850ed2df-b6ba-4845-90f3-4d82ffd954aa"/>
        <s v="08269db4-0566-4ede-ba0a-3261c90dd7cc"/>
        <s v="2394f979-8464-44ce-a630-ae28dbf2d042"/>
        <s v="30a44076-ebcc-4c8b-8064-9e1a18718512"/>
        <s v="018fc11e-35bf-41a6-9c2e-0fe1cb9dcb9b"/>
        <s v="5c299656-4419-4c69-bdd2-2dc9b8af337b"/>
        <s v="ddd463db-888b-4ab8-b2a7-396cacbc0f7c"/>
        <s v="c0e13eaa-0352-4ecd-87d9-f5acfcbb40df"/>
        <s v="a2415cd2-e7d5-4a04-aa89-a0821ac995b6"/>
        <s v="d1dd5a1a-3f08-4909-b8b0-04384056d29b"/>
        <s v="5c84518e-8046-4ee0-802c-5c7e6eafa4c6"/>
        <s v="74e91e22-a440-4514-996c-da314a1c94c0"/>
        <s v="89cde298-9d2d-459e-ac2a-33f1db2b8db1"/>
        <s v="39f5457f-dcd1-4ade-baf5-0b5ac2798271"/>
        <s v="cc9e3eb1-75ac-43c1-9836-fb3698df70e0"/>
        <s v="9d189c13-ff1e-411f-93d3-ee251f727785"/>
        <s v="7c83c051-cdef-4ee9-99b8-ab628e7e0137"/>
        <s v="4bf38add-780a-44cc-839a-27eadcf0009e"/>
        <s v="b286124b-1bcf-484f-92a1-6fc89c6f74ee"/>
        <s v="0a037e7f-e874-4665-a3e4-734c560a30f9"/>
        <s v="8a9c117c-0931-4ed8-9d8f-3a5c2d9c904f"/>
        <s v="e2689eed-d7a5-4b39-a1e0-7b6894376ce5"/>
        <s v="0877fac4-86db-45ad-94c8-6b0e1624953f"/>
        <s v="cce81a35-f0aa-40e7-a33d-43e447f74b34"/>
        <s v="50041cfa-9dbe-4a33-855e-dfc293e0392e"/>
        <s v="d2226fcc-944b-4300-a358-816d2b168c5f"/>
        <s v="0a5787f4-b611-4db3-9a36-d6bd45f0ce8e"/>
        <s v="3be08974-31f2-40c3-afb9-3a240fd500b5"/>
        <s v="9b9cbe9b-905b-4b17-a60a-f42b5800d911"/>
        <s v="7c10c6c6-9acd-42a2-b74c-041e173a74ff"/>
        <s v="581770ae-84a5-4fc3-ba77-826c11cb3e70"/>
        <s v="14ad0f9b-ea8e-437c-b3d9-d3b4ddd90518"/>
        <s v="76fde716-641c-4ff4-848c-ade7a38970de"/>
        <s v="a5740e45-38d1-421a-8d38-8a6d427463c6"/>
        <s v="2ecd07a3-c49e-486f-a9f0-9a7b1dc20737"/>
        <s v="8a06b4fc-26f2-4b8b-827b-2c6a1f537edf"/>
        <s v="ca1cb20b-c27e-4a80-abe5-5c61f19ada3a"/>
        <s v="2198c786-f1c8-4272-9619-35fe62fbf3c5"/>
        <s v="80c340bc-bd50-477d-a7dc-27237bf10b22"/>
        <s v="890c4fe3-a2aa-473b-a2ff-9c2704d3ac14"/>
        <s v="496f9895-2148-475d-9da8-8846db1a0d2e"/>
        <s v="94019fc0-5f8a-4f46-b07d-b18f9ed2fb2d"/>
        <s v="7973d01c-f337-48a1-8f89-e3be9acd41ae"/>
        <s v="791a6835-1e53-4dab-9537-f28d07071087"/>
        <s v="c6fe3646-36da-4379-b9d4-1237b3932c67"/>
        <s v="9643a7f2-7f1e-4f3a-b67a-e4db4ac513f7"/>
        <s v="7d923bc2-e260-42ce-af34-40f80a5bb97e"/>
        <s v="7fdbc1e6-947e-4174-a90b-3e6fa8d1770d"/>
        <s v="b8257a06-d0a6-4198-b8a6-7c4130b98420"/>
        <s v="d8feecfb-981d-4008-b113-8a7aba34e4b1"/>
        <s v="1bd0c57b-8184-4850-859c-b8ff7197c553"/>
        <s v="ec13955e-4ae5-4e40-93e4-236b0eaab336"/>
        <s v="a5a9edd5-c2b3-4542-ac87-c882564547e6"/>
        <s v="53a9e98d-d57a-488e-bcec-701bc4e1ec3e"/>
        <s v="e98e23f8-e415-4062-bdbb-4e90ecd252c4"/>
        <s v="817537ef-9729-49a5-8458-d7108a639dab"/>
        <s v="6b2a6d67-9ca9-4751-9892-59fbd4257856"/>
        <s v="7424e9fb-eb47-4eb6-b0ee-330eb470b214"/>
        <s v="650656a9-a043-47bc-ae91-0380ba19f6d1"/>
        <s v="357c27a8-d03f-45e6-be30-3565ec6d4ff5"/>
        <s v="95e49e46-be39-496b-8a9b-52bd39505406"/>
        <s v="b847cf15-a430-4067-b4ba-2bca14b1ebd1"/>
        <s v="c433376a-096b-4d0c-b385-da369f628996"/>
        <s v="ae03b614-5581-49d6-bb73-db61d22a7b6c"/>
        <s v="055f940c-62c7-485e-a8a9-6e6970c4bd9d"/>
        <s v="be245970-0c63-4d78-ae9d-e25f66cad9cf"/>
        <s v="d4d30727-21e7-45cf-abfd-68611006864c"/>
        <s v="7ca60689-ffdb-4ad9-b339-4085c13dfc70"/>
        <s v="36046905-c325-4177-8dd6-ef3a3eefbe09"/>
        <s v="55359418-5f6c-4f2b-9e70-525bf3b5c143"/>
        <s v="c331b5bf-7dc0-44f3-bbc6-33242970d6bd"/>
        <s v="0d3db73a-8164-4ea7-82ec-bc976d02b86a"/>
        <s v="5adc0581-cda3-450e-9af3-c3c10c954910"/>
        <s v="0e28ad98-fe18-44a9-9a89-466a166843e3"/>
        <s v="36de6ea0-d38c-4032-a4ab-885c917e6447"/>
        <s v="9cba1b15-28fd-439f-af54-d9a1bf7128b0"/>
        <s v="a244bdbd-1394-4bdb-bbc3-e6fc452874c4"/>
        <s v="8ccc7ee3-b4a6-404a-9faf-787343dc06f2"/>
        <s v="fe56b9b6-8658-46ab-b178-142e1c6c32ec"/>
        <s v="bc41d301-8342-4b13-a0a6-0094760ae37b"/>
        <s v="4473af02-2d6e-42ae-8fd6-1e6eb2b0c846"/>
        <s v="38bac1f5-8a77-4803-a105-2adcca972ed6"/>
        <s v="e14300c1-3569-475f-a547-4c787f5cf604"/>
        <s v="f10d3d99-9f63-4b93-a89a-94e952ffcf1c"/>
        <s v="8cfb7643-588b-4ac4-8843-ef2886b4bbea"/>
        <s v="d4f65876-1ffb-4376-ac69-30bc4a1f11d5"/>
        <s v="c100b479-c169-4f62-8d2a-82994a8ef0fa"/>
        <s v="cb2352c0-8796-4ebd-84d7-33203546a4cb"/>
        <s v="826d9505-bc85-407f-95a3-b12b5fe5566b"/>
        <s v="4e35c600-2a16-4f28-9de5-5ac2151674a5"/>
        <s v="c29d00e9-6a9a-45f0-b194-a343ff209570"/>
        <s v="88268205-0f39-4e9a-9353-1a9ee68c009c"/>
        <s v="1d0dc58b-5630-4061-a4c4-8af444dd978f"/>
        <s v="fa63cc57-bb9c-4785-aff8-0c7c326b44bd"/>
        <s v="c7ef43ee-8690-4aa4-9f03-8c8f2d905b35"/>
        <s v="a1cb1e10-0e31-479a-b8bb-5dc909b32b66"/>
        <s v="34e4f422-3bd5-496a-af08-11ecf5856460"/>
        <s v="302bfa8d-a0d2-49bf-ba0e-92515d5d4911"/>
        <s v="97a11539-f994-4f4b-9252-85c25f05e297"/>
        <s v="495441f0-2d83-4d9c-aafc-5c80643ab7b5"/>
        <s v="7413d048-5e1b-4043-9969-89781ce744b0"/>
        <s v="6b1218cd-9317-4016-8163-c9066aeb1992"/>
        <s v="54fb7e8c-ef1d-4daf-815b-e5c1e7948ed3"/>
        <s v="c9d412ed-c316-4612-a0d3-34580de6a8c0"/>
        <s v="42475c68-ebdf-44e9-8ae2-152388b5d345"/>
        <s v="1a70ed1b-c3d7-4e03-b54a-3308b332ece5"/>
        <s v="6a60671f-259c-41c8-b7d6-e1848e4ca004"/>
        <s v="d7b9f594-a51e-4402-948d-437dc2679714"/>
        <s v="9ed12598-d607-406c-a92d-66e498a65727"/>
        <s v="e686ffbf-1106-4e80-9c74-30ed3ca60174"/>
        <s v="6a2ef805-75fa-4c53-b30f-57c35a82c2a4"/>
        <s v="710a2493-760b-4c29-8181-ee456d867a10"/>
        <s v="402dc8b0-1539-48cc-8e45-054961cea52f"/>
        <s v="0290472b-3bf5-4451-95ed-11349e543e25"/>
        <s v="2a34b394-3a83-4acf-a98b-738080cc0de3"/>
        <s v="50843e6d-c79e-434b-87b9-c3050b4bcc8f"/>
        <s v="467ff27d-c3d7-4928-bade-34474e2a754a"/>
        <s v="eb22a1ca-e765-4386-9637-b65cff10da6f"/>
        <s v="213520c6-9cb7-434b-bd54-ffac25a0f0c9"/>
        <s v="1d2a3f24-e05a-4249-8b6d-8695ae2cf4c0"/>
        <s v="67b34291-ecc9-476a-bf0b-8643f28dc5e3"/>
        <s v="159a0e2b-f468-4295-9e69-b0d9dd79d890"/>
        <s v="d7706a15-f812-457c-8d85-83d2a2d32412"/>
        <s v="43e6f253-5964-4977-b9a4-0e5736909a2d"/>
        <s v="d316fe37-6f89-4145-b9d0-9c1a80acf0c5"/>
        <s v="ffc0eaa2-dede-4a7c-951e-989249dddf91"/>
        <s v="1c737d8d-798a-48ec-948e-46c132c3393f"/>
        <s v="fc5fb02d-66ba-4eb7-8c96-53c743ac52e7"/>
        <s v="f778848a-1ec7-484b-a619-98ff8730961f"/>
        <s v="009ae06d-cf99-467d-9ca4-a01697f72e27"/>
        <s v="c2fdb9cb-b220-4f3e-952f-61a657955f70"/>
        <s v="f04eeda0-c720-4430-b322-240c09bd8019"/>
        <s v="9929413b-4955-42b3-b759-d93919a6a2c6"/>
        <s v="36802342-00cd-4228-8e94-cc30c83b0652"/>
        <s v="e9aad92b-b3bc-438a-9893-00066fab9810"/>
        <s v="c7d6ecb9-b4e6-44ac-bf56-caf4c24db02f"/>
        <s v="32958c32-9158-41e9-a53a-1fc911df997a"/>
        <s v="7a049296-c624-4bff-8f06-3b6b06011495"/>
        <s v="028c3012-bbb3-43aa-964f-69aba65f05aa"/>
        <s v="93adef20-4cdb-4207-bbba-d4412eb8840b"/>
        <s v="448e14d0-eae1-4771-8c1c-dd1f4ea21088"/>
        <s v="fd338d3a-d67f-4c10-bd09-55bbc6c310d1"/>
        <s v="077fd234-6153-410d-a149-184f01f2e37a"/>
        <s v="89765ca7-1472-4672-b556-1f836ca9eae7"/>
        <s v="01e64b83-374e-4aac-8ea2-166257f545a7"/>
        <s v="af40dcd7-913c-4661-9539-8e5b477bae0b"/>
        <s v="b3ac9ad7-3336-45ee-8e9c-45dd90295e61"/>
        <s v="0cede563-5f38-42bf-93ca-f67930084cf1"/>
        <s v="a0229848-67ee-4a81-b13f-f722ded36349"/>
        <s v="c0cd7087-1cf5-4a4a-88c0-5880b8793c33"/>
        <s v="21abf1f9-c019-42cc-a2fd-e17bdaa99242"/>
        <s v="6eb13480-9450-4caa-8024-32e6e36c12ab"/>
        <s v="3c957274-31de-4637-8c46-828eb2c095e9"/>
        <s v="b7681cb8-fbde-4312-ba1b-0c772e149e82"/>
        <s v="b1d25534-830a-470d-a41f-2a8ac404b047"/>
        <s v="dd6c8ba4-bdce-4e89-8a25-248a85e34e96"/>
        <s v="1a8c7e9d-606f-43dc-9e8a-38707414cb60"/>
        <s v="9fea2180-a947-4e2f-b6c9-5371f9bac38e"/>
        <s v="a54ade2d-7062-4dcd-a41a-a92c117729ad"/>
        <s v="b9c6fc20-68c7-453f-b881-23c480cd6bd2"/>
        <s v="557a8a9d-fb81-41f2-9c1e-7c5651463eae"/>
        <s v="f3c3146d-5022-4c1a-8a7c-38632c504802"/>
        <s v="a406d85a-6020-4738-b3ed-53d680678126"/>
        <s v="b530707f-4d7d-4afc-bde4-e36c5328a487"/>
        <s v="688bf8b0-b0ea-4f26-96a2-bf0bf26b0c06"/>
        <s v="60d8025a-b531-49e9-a8a9-cc068cf74685"/>
        <s v="40b3bbac-c623-4647-a606-b5af9a39c69f"/>
        <s v="915c486d-4ef1-4e6b-953c-b179a8d2ba80"/>
        <s v="46e7ea20-4ea9-4a4d-a9d0-fe7ff0edc16b"/>
        <s v="ad71df5b-e541-4c69-a100-86824806dfcc"/>
        <s v="6a4bb496-8bb3-4227-aa74-8a7d94a78dd5"/>
        <s v="b2ccd416-d146-4511-9bd6-7eb3bd7333c6"/>
        <s v="5a5c3350-ddcf-484e-8349-4b078818dfc5"/>
        <s v="bddbebd3-8d7c-4f54-b99a-707a32de78d9"/>
        <s v="3cd2ba34-59ca-4654-b969-558904dc2456"/>
        <s v="f72dc1de-5d72-4f3f-b45b-348ffb8c50ea"/>
        <s v="3786d3a2-e035-4239-845a-3dce8eca0b61"/>
        <s v="45b7faf6-5799-4708-8c79-9b6b478ccfc3"/>
        <s v="102c4aaf-9bcf-4c52-b93a-cf8ec01c2ab6"/>
        <s v="ea922216-7953-46a5-b039-73b0459c6adf"/>
        <s v="f10d9e5e-78e5-42f9-984f-478745f93fb9"/>
        <s v="5d5d2fc9-2318-4ab5-b209-bb096e9dc1a1"/>
        <s v="62a79a02-2ff5-4434-a42e-150fc8d403dd"/>
        <s v="b1db7db2-5c54-40de-8504-0fd6675da8c4"/>
        <s v="a7dfe4eb-5eeb-4472-bdee-bc2113869dcc"/>
        <s v="cebd42be-c5fb-495b-b850-22b67d7d538d"/>
        <s v="4143d835-b0c6-4920-b3a2-df5339be92e0"/>
        <s v="de4c96f0-b965-4289-ab99-9976cb8ce9b5"/>
        <s v="a65e1da8-d4c4-4925-b15a-eefb65f84daa"/>
        <s v="95d058cf-b6bc-4829-8814-0306aba9f164"/>
        <s v="67cc5c65-25a9-43f0-a481-eb602e83758e"/>
        <s v="89938fb6-bb60-475d-8eb2-dfedd5f150fe"/>
        <s v="5c34f35e-07c8-42f7-9b9a-3bcaed3fe12c"/>
        <s v="f8f7bac5-22e3-4fcd-8c93-90375d23c11b"/>
        <s v="3e1cb7d4-91f8-411b-bc26-a8e0b4391db9"/>
        <s v="32cbf6b2-5cd5-4174-8a02-005124de47a9"/>
        <s v="96edea28-2897-4637-85bd-60acc395c4c4"/>
        <s v="e293657e-9d00-4bb4-a00b-b178850a3ccc"/>
        <s v="c4d429ce-cdcb-4f2a-b91c-26eac3db495e"/>
        <s v="06092c99-a04c-49aa-b1e2-81711e255109"/>
        <s v="b4335591-8cf2-4447-be7b-0390e7645fec"/>
        <s v="cd9cf7e0-6da4-41df-8be9-2d02844b1c31"/>
        <s v="6ad9efba-ddc4-4d96-8495-584d4bb26f20"/>
        <s v="2a063e75-ca9c-4adb-b9b6-54a80b4e0078"/>
        <s v="4314e54c-5647-4bc0-9804-307229669994"/>
        <s v="66a70af2-e06b-4866-8aaa-a2912c261d68"/>
        <s v="9bcb4a05-0683-4847-aadc-b955ee3775a4"/>
        <s v="d955fcfb-9a73-4a28-9931-b2f8a50846b1"/>
        <s v="428f89ef-5eb4-469e-b29a-14fcef36e9d3"/>
        <s v="ec0799d5-b19c-407d-9997-ef035cb093a4"/>
        <s v="7cfc5646-ee03-43c0-9218-196b1d77162a"/>
        <s v="5e633cdc-c67a-440a-87f3-4972f2d004ac"/>
        <s v="a135de6f-9fab-4ce0-843f-2cfd1eebc422"/>
        <s v="2c03bec6-97ff-4eed-9ab3-48894b938d1c"/>
        <s v="30697ee3-c6f1-4277-b269-c3c951095f84"/>
        <s v="ece1df7a-ba2b-48cc-9d1f-e8d8a307a1c6"/>
        <s v="922204f6-79f1-49ba-ab4c-25b2f7427397"/>
        <s v="d0dda286-bcb5-4649-a635-e4247f6a35d8"/>
        <s v="8018872a-4ec4-4b51-8563-8d9d85f09396"/>
        <s v="f0651ccf-cec5-4eb0-881b-198e786e21cc"/>
        <s v="b5b62540-d5f3-4cd3-bdd3-48312389c2db"/>
        <s v="55c662be-f3d2-40c4-ba87-75f3a5b76faf"/>
        <s v="acec8856-d263-466f-b05c-84bd5b847fc1"/>
        <s v="fbdb0e9b-584d-4085-8bf9-8d372b99ebfb"/>
        <s v="b138908b-b0cd-458c-9da0-707f94b0ffcd"/>
        <s v="8cbd3d88-e898-4121-92bf-4315def5c26b"/>
        <s v="4d35d453-5b30-4e58-a33c-a870dde7a68f"/>
        <s v="26d71239-8773-4f98-a147-880cc7ae84cb"/>
        <s v="3ce15a6c-2825-434c-ad46-cd79f4bc2381"/>
        <s v="5548f892-9c81-4567-87e7-399e543e91d9"/>
        <s v="15c161e7-84e8-482a-963e-a7e6326abc14"/>
        <s v="5c493940-b957-429c-b2c2-6378fa0e9e7b"/>
        <s v="b132b519-abc7-45bf-afcb-a51cf812697a"/>
        <s v="9a041544-4b70-4ae4-9dee-985076c979eb"/>
        <s v="08148c4c-9768-48b2-a627-96eb9c4ecb15"/>
        <s v="5b24d4c8-65a7-4ec1-8ca1-f46584e4d7f7"/>
        <s v="df4cc62b-b7d8-4963-99ea-48fe79203fbe"/>
        <s v="85c98452-482f-4a08-b9eb-a1cf145ad831"/>
        <s v="92e1c1ff-b495-49b7-a5b5-d0aeb1d04194"/>
        <s v="1ee6182c-86b4-4ebe-b5e3-4e371ac515a7"/>
        <s v="6a272f91-94e7-4624-af64-2a57ea5ea246"/>
        <s v="75ce132e-b6d1-4542-be19-8b8ae4cfee4c"/>
        <s v="862a25a8-b572-4c67-85cb-bdd2f7503da7"/>
        <s v="77c7a554-42e9-435e-b1af-df86b0f8167f"/>
        <s v="df469a69-84f1-42dd-80d3-89ef0d15476d"/>
        <s v="bda4c76c-8205-4def-8d46-9d2d6a40365e"/>
        <s v="09c37b10-c227-4f88-9c6a-eb146d381382"/>
        <s v="56e3bed1-3ae7-459a-95b0-7637859d3f76"/>
        <s v="884ce8a6-a2df-426e-b152-a3a8cca48ac2"/>
        <s v="5ea8d6a3-3c14-4c58-91c5-b2ce7b7b435a"/>
        <s v="03e4dd2e-3e51-4d0d-a880-eb30ad369498"/>
        <s v="5d45490d-e212-40da-9db3-7fe81d466e5d"/>
        <s v="47707a3f-9323-4d55-944e-bc1bd0981b5d"/>
        <s v="44eb6606-bfe9-426e-8e4f-c7683d27a64a"/>
        <s v="18b6e7f0-7f1c-4914-ab72-945d8d766ba6"/>
        <s v="f0d38b06-2059-47d6-9f56-aefc70f2727d"/>
        <s v="2d413f59-b03c-479d-84d2-e6d17034f1ce"/>
        <s v="de92a9b2-739f-4ffe-aeb7-97d14d474602"/>
        <s v="92b45d23-a69f-49fa-84fe-45e1c5d428e3"/>
        <s v="e7e6c336-1e49-4295-a6a2-d4acf044ce4d"/>
        <s v="b89c9db5-89fd-4f46-92e3-9846d55a78cf"/>
        <s v="7e9821f4-95d8-433f-958b-d88fd9985891"/>
        <s v="bb32f0ba-b764-401c-a691-3d59b0136679"/>
        <s v="fa3bf710-eb5a-4873-893c-d6a73dc7c4f9"/>
        <s v="51261e24-fd4f-491f-82aa-f60c2d85e228"/>
        <s v="99993024-cdc4-433a-bc86-99d1960cf2a9"/>
        <s v="147138ab-2800-4faa-9770-b5aac577f7f3"/>
        <s v="7ce37500-a380-4f67-8cbb-04f3cb8e5cc8"/>
        <s v="86e384a9-c2a7-45ca-a673-368c949b7a96"/>
        <s v="93eed3fe-4660-4b73-ac92-7b7bf72ad00f"/>
        <s v="0e8a03cd-16fb-4487-accf-bc309a83a97e"/>
        <s v="8b0b8f3a-d8c5-47fe-9e94-09d8d82d6464"/>
        <s v="c95e92f7-8dde-45fb-8837-d183a4786431"/>
        <s v="c3a1ef5f-f105-4822-9c72-844ed7b0298f"/>
        <s v="f76306ca-536d-4c20-8a36-77c9fc49afc0"/>
        <s v="4f8944d0-df82-4668-beab-3dcdc6f3cf2f"/>
        <s v="1fd8b779-9173-420c-b04e-89c7391c69a8"/>
        <s v="0863774e-d706-46c8-a6ec-13da6cff2aed"/>
        <s v="d9f6800f-10da-460e-b27e-bdbb10820a14"/>
        <s v="39880590-7dce-48d2-a8b2-dcef91f42511"/>
        <s v="d9c1410d-a481-442e-a55e-c877ab1e7b3f"/>
        <s v="e4d04092-1822-4155-841a-4386e1c16529"/>
        <s v="e5ed9d85-b980-4269-aaf2-f370cb138032"/>
        <s v="0e9b8d25-5a04-4737-8386-12ae6d3bfcb0"/>
        <s v="d49cecb5-d5f1-4242-84fa-895e2d538ed5"/>
        <s v="e2e5df9e-ce8b-40e6-9eed-af6f6afbf580"/>
        <s v="41673c52-8873-43f3-b016-36a8c4e22ead"/>
        <s v="ac35ebfc-2fef-4aca-8a06-c9547d41dd8a"/>
        <s v="ff3bf349-be3d-4ed5-a05d-026306680047"/>
        <s v="8a075c13-f70b-4b5b-909b-e961bf332236"/>
        <s v="969772b7-82a9-4281-b808-f08dbacfaa54"/>
        <s v="30208b2a-0356-49da-b9b5-5dadc87e2157"/>
        <s v="2c896ee7-2283-43d2-9ff9-44e43322ed6f"/>
        <s v="8961a6a3-8576-4db8-bcfd-98eaefa53976"/>
        <s v="36cbc08f-0000-4ac1-a306-2119638696af"/>
        <s v="8a1ce3fb-e2c2-4c33-8f15-c428f8a97642"/>
        <s v="43c7bc6c-6c1b-481e-b0de-1a182eecc87e"/>
        <s v="67e78427-8d9f-40c5-b32d-df9777d2029d"/>
        <s v="a4da2665-dfb9-46f3-b658-cc5d0505dd86"/>
        <s v="731cae55-5431-4c89-89e4-ae12557b88e2"/>
        <s v="92461461-c9c6-41f5-ba8b-7e68bb7088ec"/>
        <s v="1bb7ccf0-5ad1-49e5-831c-01f403e1e8ae"/>
        <s v="d8b5d3e5-0632-4dbf-9b3c-2094a15de8e8"/>
        <s v="8d23f99e-11a9-4194-979d-e2f334eec6fa"/>
        <s v="853315fd-3f57-4c4d-b1c0-63876571d6be"/>
        <s v="0063b295-8de8-42db-a280-53ce8abd64d5"/>
        <s v="ee1c498f-9419-41b5-aad7-950f328bcf29"/>
        <s v="6c36c1bb-60d5-43fc-9b1f-840f4136899c"/>
        <s v="1721608b-9124-49ea-8ec0-ea350388ca09"/>
        <s v="ffe80953-b756-448f-ad50-9fbbf034b1a3"/>
        <s v="03d30ca8-82a1-4711-a969-6585129ef1c6"/>
        <s v="008ee7b3-7786-4b09-b979-9ae857581c91"/>
        <s v="d513a436-d4fe-4ff3-8ec9-e92a32ed8cc7"/>
        <s v="1de0d9e2-fea5-4f41-858a-b4d39e7e4657"/>
        <s v="07ad1313-5817-452d-ae83-9deb77f566ff"/>
        <s v="041c1c21-48c4-49bf-8301-a26b4b366c97"/>
        <s v="bd82514d-6aed-4ca8-885d-60312b6b736b"/>
        <s v="b033c422-b86e-4729-a448-c047ea02bb69"/>
        <s v="758acf48-c5d8-4ad9-8a21-e3e1440e091e"/>
        <s v="be204235-85bb-4fe8-9216-a9791c716831"/>
        <s v="53b6bfd4-05a9-41c3-adeb-dfaa20821700"/>
        <s v="2b9e4412-7cfc-4c93-b65b-fdd1b959ea0f"/>
        <s v="dd4ae052-c48d-46dc-a438-fad5a215831b"/>
        <s v="6e634080-3cde-4f41-b8b8-f7a29d0086fa"/>
        <s v="715a22e4-0dbf-4ab3-9d6d-bc8cfaed54f3"/>
        <s v="f3f6eded-9605-463d-befb-0ec09cb7398f"/>
        <s v="54483220-8340-4be3-b6c6-51347b1f367c"/>
        <s v="0b7c1304-c2c5-4050-9b73-fd7e7c4c1936"/>
        <s v="31d353ab-28f4-4ab9-8b40-a16ebfc9742a"/>
        <s v="2acb1d18-6de4-4e08-ab0f-a43239b072ab"/>
        <s v="239ba516-3ba4-4ab3-afd0-e7520e4284da"/>
        <s v="1d192c49-58cc-4355-8ae6-4fc5be821369"/>
        <s v="e469cff8-fcc0-4664-b06d-c801efd84779"/>
        <s v="a8f00c77-f3a2-4ae2-a236-7df93148023d"/>
        <s v="4185aaab-33a2-4e6e-bebe-5b6cf12100d2"/>
        <s v="8cbf9f9b-f7d4-44ca-9484-0940e88fe51a"/>
        <s v="b1c04b5c-3ca0-4299-a95b-4cc9fd47e5c3"/>
        <s v="55a12788-e321-4656-adc6-1c4b1c4fb82d"/>
        <s v="d06b5f3f-acab-4f8e-bf1a-8c1dfe18228e"/>
        <s v="c069967b-0651-485e-806a-1c2453c8e423"/>
        <s v="d1786d96-57f5-4220-90b3-218a529c8cc6"/>
        <s v="3db9364c-36cf-4bf0-94b1-afc28a4e7da5"/>
        <s v="6321df0f-9103-4ad4-8571-120df4dd675b"/>
        <s v="a2820ce9-6172-4e14-acb4-dbc156430397"/>
        <s v="d6516497-6c06-4709-8da9-2fbc709d5c67"/>
        <s v="c08f9ba9-0e32-4277-937a-eae40b912ab0"/>
        <s v="ab493d65-9af2-465e-9886-dbff53ffd8a3"/>
        <s v="51322ec3-e52c-417f-9f2c-20ffb25bf684"/>
        <s v="4fd78018-da91-4f39-9975-a34231cffcba"/>
        <s v="4c7d52b9-0e48-4e31-bcf4-e5fd45e48176"/>
        <s v="0d39987c-fdfb-4ae0-a487-86b097bcd57d"/>
        <s v="4b439440-bf95-4e0b-865c-32dff4dfe00b"/>
        <s v="d8d9e077-3fb8-4ad4-b860-e6a47239634d"/>
        <s v="426433ea-0410-4d24-b435-247c7b633415"/>
        <s v="0b7f03ef-aac2-4547-b835-a7f3a3348e06"/>
        <s v="dbe8b52b-292f-4415-82d6-3dad0ebf96c7"/>
        <s v="5e0eecec-2dab-48b7-a609-0fd963d1d90a"/>
        <s v="89fcd453-c6b3-469a-96fa-b54ec64f874f"/>
        <s v="8d3b7c03-8540-49a4-a954-d8b7b6b2fa06"/>
        <s v="42eeb64c-1110-40be-a856-c0a364fb8c30"/>
        <s v="4c0c62c7-01f1-4c1a-be44-12a93c7d2e39"/>
        <s v="31af08be-2649-4947-9338-28fb518be843"/>
        <s v="50ca8d12-6f3b-4d72-852c-ddb04e41ecb0"/>
        <s v="e6cdf437-19fd-4174-9933-e60c7eb6eab2"/>
        <s v="8d5984e4-42c5-40ea-a6b1-0829494656fe"/>
        <s v="d337811c-59ff-494c-9e71-77b6282c296c"/>
        <s v="f055f3a8-2041-4c8b-a2df-fc620ea22103"/>
        <s v="b2d5a4a0-38d6-4f4e-beee-12c24b103604"/>
        <s v="838f9377-c59f-4f9a-a769-8126696776e4"/>
        <s v="6658ba19-5ccb-4206-84b8-fcfc241901bd"/>
        <s v="0cf77e4b-7fd3-4462-8680-6cbd693e9c0f"/>
        <s v="c744e13d-7463-4060-ba2d-cdabdb1c3b2d"/>
        <s v="db925419-778f-4d29-963a-7f15f6e37629"/>
        <s v="a7ec5218-20b5-4ecf-b899-d9c26fa6614c"/>
        <s v="bedb2d59-276e-4a43-a057-2331a8689f9f"/>
        <s v="f4ecf59b-ae01-485b-a05f-b80aa788d151"/>
        <s v="e8070b1a-de24-4296-b9ca-c4d62784eb47"/>
        <s v="0a48305d-5c9c-4afa-9ee6-8e31efd58718"/>
        <s v="4181125d-2bd6-43ef-b4f7-d88b503ebcc9"/>
        <s v="6563276b-f905-470d-b64b-37b07114a824"/>
        <s v="3ee7965a-242b-453a-bf95-82e9c7bb26d1"/>
        <s v="4d127c49-b5bc-4cbb-a0a0-ccd12275f405"/>
        <s v="19a6e9f7-0a45-4879-ab17-df6979e1e612"/>
        <s v="6f429ee1-fdee-4a46-88b6-217e010bf7ca"/>
        <s v="b6a7e9ca-6e44-4a2d-b6ba-e7c65710b065"/>
        <s v="eeed2640-7588-4324-ae74-fb40227005b9"/>
        <s v="af87cfff-afb0-4f85-888d-e5db29ae4766"/>
        <s v="7bfb5106-b10b-44e9-8093-4df0ba80e372"/>
        <s v="3f395849-b4c1-4e2b-9b2f-e88f10b94e05"/>
        <s v="117eebda-32b4-42cc-95e1-dc2c259fffa6"/>
        <s v="8ad2a9d2-c3c0-4b9e-8d31-bc798c2a566c"/>
        <s v="c039c16a-b7e7-4616-8b5d-dbc120a30d24"/>
        <s v="294b26f6-bf81-4c20-9d69-4b0d99e6fdc0"/>
        <s v="bea55d48-ca8e-4a5e-81da-22d3ae44e9a0"/>
        <s v="dc08f2b8-94f2-4889-8156-0e3c3724d0ff"/>
        <s v="93708c46-9f11-459e-baaa-d1222d691d65"/>
        <s v="99b0e8dd-7174-4559-a628-143ef6d46608"/>
        <s v="5b96a097-c481-4d3e-86e5-63c57b646a68"/>
        <s v="1c9a7d40-c4aa-47ee-b862-881e78aebdcd"/>
        <s v="b87357bf-0adf-494c-9fb2-d5fb5810088e"/>
        <s v="89989cae-b728-4235-9a32-5fbf288f2094"/>
        <s v="165472a7-d6ca-4fd8-9f05-0a98ddac11f5"/>
        <s v="6a4f1549-65b1-4c76-9fc9-eb216605d11b"/>
        <s v="41cf07f1-c8b8-4719-8e87-4c6a66e4a90e"/>
        <s v="5118c46e-3697-423d-b0f6-bcb15c09e38d"/>
        <s v="c2384374-01f4-4848-97cd-a1327649abfe"/>
        <s v="fa85138f-7fb2-499a-acc2-02957ef92673"/>
        <s v="dca19bf4-3f5f-484c-bfdb-75c9ded28858"/>
        <s v="c52c3f64-0bf6-4119-ab4d-0c0c46049424"/>
        <s v="ac1d0457-8737-4d32-adc3-08dc6711b75b"/>
        <s v="d6c6c3cb-6cf5-40a9-b8d5-65640f8dab1c"/>
        <s v="46378c72-4067-4729-b1e5-3d39203ab930"/>
        <s v="4f50dcb6-7cbd-478c-baf6-9689eb8eab31"/>
        <s v="c757a287-6f17-4368-b595-ae2d6879f392"/>
        <s v="8a373805-0041-447e-8540-70bded3c26c5"/>
        <s v="efd76242-e0b5-4aca-8c44-84ce7f553f97"/>
        <s v="f0548b33-86eb-4b3f-a1f4-cef9f9f11955"/>
        <s v="5150f58c-f863-4f35-bdd4-d6cfc1a1ef10"/>
        <s v="13dacdaa-eb35-4a33-acaf-5c98625d9304"/>
        <s v="892ddf8c-3dff-4e70-bc34-fe5c8d39a78f"/>
        <s v="cb4fece9-bf8f-4e7d-8218-b9d826729e46"/>
        <s v="7a847fe9-f974-4d38-9d3a-114f4c95ca6c"/>
        <s v="26797519-98dd-42f4-8c83-b6e7fadde63a"/>
        <s v="d035d687-44b0-4ce5-a8c5-2c6ad05a14b6"/>
        <s v="61f84332-1ec2-4e0d-a005-9d6532dfe8b6"/>
        <s v="74aa1913-0ff5-4bb1-b6ab-0793b04293d5"/>
        <s v="aeae3ab8-cc1b-48bb-8dc8-c1ece4d21277"/>
        <s v="261825fa-a4ad-4a21-a7ab-e2b644eaa67a"/>
        <s v="3cad7de1-68ae-4cc7-b586-20c1f7e16a6f"/>
        <s v="9376962f-fb7b-4390-9eee-6e8d5c685697"/>
        <s v="a73cd6f4-c471-4e0a-9570-af0860e0c5d1"/>
        <s v="ec823a46-e1bb-48d2-a563-9abba872b426"/>
        <s v="6b36097a-158e-4b1e-8cb1-944c9ce34b4a"/>
        <s v="fd8576ca-69cb-45d0-93ae-3ce2a9dce766"/>
        <s v="5deb41b9-32d8-431b-91ea-ba2fc94ad0f0"/>
        <s v="dcdc9582-af1b-48f9-9862-62eff619038d"/>
        <s v="20632308-0231-4070-97bf-4fc82c188f74"/>
        <s v="3820b6cc-8345-41e5-85aa-bd7f843a64c7"/>
        <s v="32258448-6b2d-4224-a41c-d14a47992b1d"/>
        <s v="0db62a2e-44b2-4c21-8063-f5b1546b6955"/>
        <s v="9183f20d-2692-4cfd-9433-54c64739a537"/>
        <s v="5d97fe11-f95b-42c8-8f10-ab98a05aedf1"/>
        <s v="63bf917d-0951-46b0-8ecc-bca9b657690f"/>
        <s v="627df819-fafe-490b-ae7e-587db323ca23"/>
        <s v="8d289647-c833-4bdd-9d10-71a2f5a73822"/>
        <s v="63edf886-6d4d-489d-a1a2-e321304707b2"/>
        <s v="afb698db-e120-4b30-95a6-9232db712b80"/>
        <s v="503faa4c-b2dd-4a4c-83f9-fae7ecfc966c"/>
        <s v="f6d11075-7912-4e6a-b081-b8502c35c2e8"/>
        <s v="9c256de2-6001-4873-beef-336a82436867"/>
        <s v="a684008b-46bc-446c-9f1d-5210c524215e"/>
        <s v="9e5f6867-749d-4b5b-97ef-2330c2558d3d"/>
        <s v="200bbda1-4911-48eb-b2f0-a013eecdf376"/>
        <s v="4f7b91d2-aac8-4620-9241-12ffa5035fae"/>
        <s v="1f9cafc0-71e6-4941-89cd-cd0654b8509f"/>
        <s v="e2aaad5e-d941-478c-b128-021e21417ee5"/>
        <s v="972dd545-20a8-49a2-be8a-93f570eba58b"/>
        <s v="748ca89e-cc7c-4b74-9211-5c7153943bea"/>
        <s v="86e77ae0-7bda-40b1-a21d-bd010a7db5de"/>
        <s v="619f05ab-6826-42c6-a241-6073b5679aad"/>
        <s v="6b47665a-5972-4a11-a9e7-d42e56cf42a4"/>
        <s v="0209ebb3-9a7f-4e7c-8172-ecbf898f89e8"/>
        <s v="db9595ea-f739-4781-a02a-e17561575f0a"/>
        <s v="60fe9134-df81-46f3-ad0a-16da706fecac"/>
        <s v="9fa9acba-1ca0-43da-be32-3ee4f9804f9e"/>
        <s v="9569ccbc-bd8e-4611-8386-71eeb9e0963f"/>
        <s v="b17b1651-8264-42dd-ac16-7674416db2f4"/>
        <s v="e1d56019-1e10-4a1a-9dff-bff7048987d6"/>
        <s v="499a27b8-9b8a-42df-848c-279a1fb88d7a"/>
        <s v="208bb22e-749f-4a4a-a2fd-3ec3a0703858"/>
        <s v="d0cc2a3f-64b1-4463-bad8-280dbaa0e01e"/>
        <s v="d8cce44d-2d8e-494b-b543-022a5aa32bef"/>
        <s v="a9080111-fd89-4e06-96e1-327168122bd3"/>
        <s v="700aef49-fe52-4fd6-8401-bbfa8ba48024"/>
        <s v="7594ffab-c88c-40b4-b851-6897e6230fb0"/>
        <s v="5a8a2ee8-3161-4250-96ee-39982c89933d"/>
        <s v="2ec74e7f-5da0-49a5-b478-4adfba45fdd6"/>
        <s v="bb041e3e-efa8-46cc-b7a3-9b103ff31b8a"/>
        <s v="9fd5d30c-2b67-444a-b0bd-e6ce0c2a3c03"/>
        <s v="017b54f8-9568-458c-be6a-2127e15e3349"/>
        <s v="8ce73f48-2cc5-4586-974b-db612bc9d6ae"/>
        <s v="69e33745-af53-42a9-8a08-ab9b741268f8"/>
        <s v="1a445c40-669c-4d48-9f7e-e41b2c6006d6"/>
        <s v="b5d71709-4790-49a2-b5ad-435f7ed9b979"/>
        <s v="165c0023-40a6-48a9-847c-8e2378c194fd"/>
        <s v="4b28f4e5-d521-4d6e-94a1-2e2d06559b71"/>
        <s v="2fe40e73-e64d-4041-8cab-8d5839371f3e"/>
        <s v="ea9a5757-0b3d-4e68-a589-fa1e990cd6ce"/>
        <s v="35f1d04b-c1d9-4983-9fa7-6f9262ea97cc"/>
        <s v="8d755bac-229c-4065-93f5-cba971acb014"/>
        <s v="59db14ef-c72f-4719-807c-e681756eb5ee"/>
        <s v="03e2d336-f9ca-4b38-a731-4fc42de09dfd"/>
        <s v="4473f6a9-94d1-4880-bb1c-9090765954e5"/>
        <s v="306238f0-70d8-49c3-bc3f-5c9df03698bf"/>
        <s v="1e6eeb8f-b60f-44ee-ba31-3a83169211cc"/>
        <s v="3e03b8c9-f4af-4cc6-9900-836221bba3da"/>
        <s v="0fcf615c-8bf9-42ad-9b7b-8c8dfce43c46"/>
        <s v="15e836b2-b0d6-4cf5-8d89-60e52bb5cf43"/>
        <s v="591e6a00-aa0b-4b7e-b547-bcc9b6807a94"/>
        <s v="04587e83-9d1b-4d06-bd12-0b5cc9b5f549"/>
        <s v="afbe8b22-f099-435c-a4a9-2882252b6103"/>
        <s v="24f20540-a81a-4ad1-acf0-df3af36dae7d"/>
        <s v="a279348c-c747-4e18-b056-f066a8c54d22"/>
        <s v="68461278-65b9-41b1-b4b7-f73c4451f4cf"/>
        <s v="45af360d-59f3-48b1-859a-152f251ca886"/>
        <s v="fb731060-72a0-4e77-a717-4072694bb2db"/>
        <s v="7a1fbf36-eb1f-47d5-9a36-263dd8af1257"/>
        <s v="a9af6b62-1d3a-42df-99e5-230a527f9cf6"/>
        <s v="6e7f24e8-43fd-4576-b4e4-b3cf8affd7ae"/>
        <s v="52debf9b-2206-4dc5-b40f-22d8df8bf7f0"/>
        <s v="582a5e26-8066-4160-aeff-a40ad4fe52e2"/>
        <s v="2a51a5bd-6af1-4306-8be1-f8bb0f7106d3"/>
        <s v="e4cf76ae-abd2-47d4-a0b7-6238612481ae"/>
        <s v="8ade79e6-11e9-4fba-b189-eb3b62f4cbd6"/>
        <s v="33abf96f-5053-40a9-926d-c62cf710d5d7"/>
        <s v="bdb0c3e4-d084-49a5-a6b4-ba900b20e2ae"/>
        <s v="dffbee9b-2a20-4916-9f32-44754d3fae5d"/>
        <s v="8d1f42be-4310-48c3-951b-e030b1423297"/>
        <s v="1d820555-0e65-4a21-b58e-10930e326e7b"/>
        <s v="bc87e88e-b56e-4324-aa42-315d92301cfa"/>
        <s v="ec311ea5-7cca-4497-a38f-d5ca91fc4a16"/>
        <s v="2cd50550-d603-41b2-a403-b06bf90f402c"/>
        <s v="b34e56ee-bab9-42ce-a5f4-4476f3368f27"/>
        <s v="0fd63ae6-044a-43d2-a798-092f0a9ca3ab"/>
        <s v="1abba075-8634-44a4-b6c5-0ea6c8708df0"/>
        <s v="214a4b85-cfb9-4315-8151-787c0f67ac19"/>
        <s v="d28fd44c-05cd-4575-a1d4-081b8663b676"/>
        <s v="76bda0d9-e9f9-4356-9c98-ac7e6cc773af"/>
        <s v="1af3b08f-465e-4aef-884a-7fb512a724c1"/>
        <s v="5e889b8b-72a8-43b0-adf0-70b8e27e0baf"/>
        <s v="e87c0e21-81f4-41b3-bbc0-ecc860e4a4f1"/>
        <s v="5c67b9e8-ef45-4f3e-a2ed-49d3f39d1149"/>
        <s v="57dd5a1f-543e-405f-a66c-d3440caa7883"/>
        <s v="971ada99-0410-407e-9f75-9c8d5be19858"/>
        <s v="fb386644-251f-41d5-9aa5-0effa6575ab7"/>
        <s v="698397cd-f3c5-42b9-8ee7-675e5ac6dcaa"/>
        <s v="98d1bc59-ba9c-4923-b9cd-06d3c57ffe57"/>
        <s v="c800eb85-be04-43c5-950c-4be1b628b942"/>
        <s v="fdba0744-ad19-42dc-a09e-8fc306cf7732"/>
        <s v="f6a4c26a-3865-4f58-99c7-07d8e2ca6da0"/>
        <s v="df30a4f3-dbd9-408b-aef6-130263821f4b"/>
        <s v="d3e4b4f5-0e5d-46c7-a6d9-b15a09e90033"/>
        <s v="b07b2920-9fbe-4a2c-ab22-d232c3ad228c"/>
        <s v="68c5e3c1-7b1b-43a7-acde-3a8ad2cd8bac"/>
        <s v="60d79197-fd4c-4a31-a577-d7d861b32c67"/>
        <s v="be31e53e-d5d8-4a44-a252-aa621bcd0ceb"/>
        <s v="b122bc72-7239-44b5-a84c-5afb4963ef9d"/>
        <s v="bf0d8fdb-9d95-48a0-8ea7-0981d07129f1"/>
        <s v="469f8a63-5545-411e-bc81-bc156cf61fd4"/>
        <s v="7b2e59df-2c66-40f3-a7c7-a4cc494f7f5e"/>
        <s v="54181b0d-ea89-4121-a212-605c632d4222"/>
        <s v="38689b3f-5f78-4f2d-8f10-c3c9cd750a01"/>
        <s v="5e092005-bbaf-4295-9ccc-3c9493b48d04"/>
        <s v="7fcd384b-a0e3-4e0f-a707-c4a8a1b4c112"/>
        <s v="b402f6a3-5340-4177-a05b-5f6189a1ccf6"/>
        <s v="c1fae86b-bd50-4387-a36c-f6dd0feee517"/>
        <s v="590172c6-7ce0-48b6-82b2-7436a3631331"/>
        <s v="28276074-9e08-4dbc-9f92-a0e62c97932d"/>
        <s v="b159a2a3-ef00-43a9-86db-5aa4f2337f02"/>
        <s v="b510688e-fa24-4654-b955-0b6adeee039e"/>
        <s v="a05c93ff-9a7b-4d33-9591-f2fbfbc01017"/>
        <s v="45b0ad4b-932c-441b-b413-53565decfa94"/>
        <s v="445ea43e-bacc-4f11-b46f-c0f73b30a387"/>
        <s v="6962b6a9-7e9b-4fc9-80fb-8d56c5243ad2"/>
        <s v="8e55023b-2774-4015-86a2-780e882c0d87"/>
        <s v="92474c1b-8e9f-4328-9dba-0478c7b8eff7"/>
        <s v="972e7cf2-8e0a-43e6-a952-bbda3382870a"/>
        <s v="43dd123c-830b-4e71-8f96-a6643feac4d9"/>
        <s v="c04d55c7-13f0-4d59-820e-72c4f05b3e9a"/>
        <s v="770c656a-1e48-4e6d-8a82-6d225a04964e"/>
        <s v="99bc21fb-dcd1-48e4-be06-9bd0b762b73e"/>
        <s v="5c8c2dfc-51fd-4224-a71e-92d06b2b0fa1"/>
        <s v="ef211983-e418-498f-bd94-b407618f19f2"/>
        <s v="32d07aeb-5e62-4984-b015-b54c974f9568"/>
        <s v="57a6f553-cfd0-401a-ab8d-e08db3b7b54c"/>
        <s v="342d4b10-ea36-4f9d-a345-cbb571e1445f"/>
        <s v="6b289530-390b-4fbc-a2f2-7adff1dc65eb"/>
        <s v="1b8b26e6-8632-4b38-8f73-c6f0e70ccf60"/>
        <s v="46208692-578c-41c7-a7ca-6da2fc87ff43"/>
        <s v="d67ed293-5149-4284-baa6-032c288347c3"/>
        <s v="a12e4ea3-c46c-4bfd-9028-7458aa0b25d1"/>
        <s v="3bd772bc-8bbc-41a0-b2df-bdeee19f3595"/>
        <s v="6150fdc0-97c3-4c8a-9865-22d23587632f"/>
        <s v="5532c3c2-1fd2-4b63-a93a-fe0891b55345"/>
        <s v="346d7c42-eb45-461e-a667-5669781129fb"/>
        <s v="c18afb66-4e4c-4a10-8418-cc817467cd65"/>
        <s v="3f4e6744-9808-4bca-91b6-ef2b005468ab"/>
        <s v="96733b38-2406-4c1b-a994-b0ac17d42098"/>
        <s v="f31c900d-f7f8-4aa9-8044-9fceda063770"/>
        <s v="0aaaf135-b356-4f2c-bdf2-f1df1f461081"/>
        <s v="27424277-2200-4cc7-a0af-4c423a089f4b"/>
        <s v="7262df37-0083-41ed-b686-43f93dc8ea21"/>
        <s v="54ac59d8-1eda-4373-bd55-691a4a1a13f9"/>
        <s v="b5bf5404-1040-4584-9e23-bd9aa4a748c4"/>
        <s v="7570252f-383e-4b44-92de-ec6fa27e5c27"/>
        <s v="d99b4d05-4df3-4c9f-a3a3-39f8b9dd5f4b"/>
        <s v="21534354-fc0b-48d9-9d78-62a4badc1a43"/>
        <s v="1fc16a62-28d6-40bf-bd79-70a515ccaa32"/>
        <s v="123ae22b-bc9d-4228-96dc-fc15dfb19590"/>
        <s v="e6a2b4de-97d2-4faf-82a6-28b39ab6b1b4"/>
        <s v="6fbf18c0-1d19-4cf9-b5cc-83d5970b7678"/>
        <s v="08b75205-ce56-4b95-a64f-9819304e40e0"/>
        <s v="54e1665d-4b89-4a00-ac21-c0dbd0a9f8e2"/>
        <s v="8f822140-8a36-4160-bf5d-68a254229e14"/>
        <s v="76479ec1-d623-4c0b-afe8-94ed5d2b1841"/>
        <s v="70a2c437-9cb0-4e0b-9cd5-ec6294260bb1"/>
        <s v="dac9f21c-448d-4f16-bcea-f8eb66b827c1"/>
        <s v="ed9aad8e-d0c1-4dda-a2ae-ab5809b7fd52"/>
        <s v="fa9e790b-934a-4153-b8d1-cb8319d59c61"/>
        <s v="2fcfe31d-bbe3-4d02-997b-2a688e44aa4a"/>
        <s v="24b8ae05-3a27-4a1d-b704-94fbf52b7e78"/>
        <s v="0e47c0df-dd8b-487b-8097-21c972837f36"/>
        <s v="f021cbf0-6ce0-45dd-82d0-c26df5f5cc72"/>
        <s v="0a194163-91a5-4990-a439-13d2a04cdd0d"/>
        <s v="26650ad1-0a4e-4c43-b8b0-99095f0adc66"/>
        <s v="0c2c5144-f911-42db-bd29-5f8d9540954e"/>
        <s v="8e4ddf27-be01-4cd2-bc4a-4045e7298017"/>
        <s v="e17b8e31-1444-4e73-8d2e-98e479a23fab"/>
        <s v="89a9fe2d-5336-4fdd-98cc-119f72686d97"/>
        <s v="b6857111-61b8-43f5-8981-c8ec006f2fb9"/>
        <s v="2ee16a28-cb66-41ad-9e11-480593b992f3"/>
        <s v="1801df3c-96b3-4e4a-be9c-19777e295ccd"/>
        <s v="2928f18a-0aa5-4ac6-90e5-f816a534a90a"/>
        <s v="278f1d63-6044-406a-b286-8ed51ce0b45a"/>
        <s v="673092af-8716-453b-88f4-efdc6f33c1e5"/>
        <s v="69ab5c31-c863-41d0-94a7-8aa6b0126003"/>
        <s v="572359f3-27ef-41f5-90d5-4388fd663182"/>
        <s v="111af87c-5fa3-4502-94ae-5ee5b28a52c9"/>
        <s v="a1278508-c2d2-4e1a-9ab3-cd5dcc25c9cf"/>
        <s v="4c951415-a35b-4aaa-9767-bb49b70a1cd4"/>
        <s v="d00a9636-3e8a-4e5a-be93-4b7605de2c32"/>
        <s v="74e8a449-803e-4d73-82f1-7db487e8dff0"/>
        <s v="64e8cb7b-f59e-470c-b704-3f79a8f2cc9e"/>
        <s v="b73ffa14-dae4-45da-b61f-6c3f7f80a89e"/>
        <s v="a49f90f7-8839-4571-8758-445882bf113d"/>
        <s v="63646080-8a8e-4da1-9008-d9bbefce4fdd"/>
        <s v="f3721b83-8d8d-4d6f-8765-534b41a15805"/>
        <s v="b4ec93f1-1142-488b-8b2b-61eeafdd8adf"/>
        <s v="3cef5bc2-1b15-4ce6-a4a3-3a3e5951e220"/>
        <s v="d7d84721-5bb1-4a4d-b1af-1660508cc586"/>
        <s v="231bf5a4-802c-4e67-87f9-145a7ddc42e3"/>
        <s v="39df2d77-4667-462c-a9a5-a4502b01e2af"/>
        <s v="d2791f68-c024-4553-af35-174d74e629f4"/>
        <s v="9a710806-780e-4656-b1d2-a4266eab7458"/>
        <s v="cf2331f6-6c22-469f-92b8-831ddcc71327"/>
        <s v="a07f9aa3-2d4a-44b5-983f-9e8c4f941136"/>
        <s v="348f55a1-ec49-4749-b0f2-d28f1d6587c1"/>
        <s v="5960a10e-3314-40d0-846b-6eb21cf652c1"/>
        <s v="3d38346c-86e1-40f6-996c-c0eaaf43480d"/>
        <s v="f0291dc4-c15b-4bcc-97f0-04c50c8926f6"/>
        <s v="0147e75f-4472-491b-8912-4bd7d08758ad"/>
        <s v="af657191-85e9-4afd-94e6-b34adf3aa8e2"/>
        <s v="594ee58d-dd9f-43f8-bbcc-5f4716f3b8bf"/>
        <s v="7a491145-3991-4010-a1e5-3b0f7d86b7e3"/>
        <s v="d433dfae-3ab4-4d09-9f43-eecdb06eb894"/>
        <s v="d079bbf1-e637-4020-8ca5-6bb2c45c34f9"/>
        <s v="abd79166-5325-4e3f-92fd-bea6b2eaa389"/>
        <s v="67cf0ad8-c53a-447e-84ac-fa1c61feafcc"/>
        <s v="a7c8d4b5-9c71-48ec-b135-330a9ff45957"/>
        <s v="32755cad-98f9-4eda-8888-7def2a0dd965"/>
        <s v="3773bcf2-e766-445f-90a8-279d0bd1b1ae"/>
        <s v="757f4440-b8cd-45b5-9b13-c97ac0e0b03c"/>
        <s v="29b35046-a922-4222-bb43-d4f2e673f05e"/>
        <s v="1f4ac01b-7a1a-4d64-ae6d-a13b0dd45606"/>
        <s v="a2ab5f05-64d9-4b5f-a606-40a5bd1bb17c"/>
        <s v="5cfc2d19-d3e9-408a-82b3-9e72a480e588"/>
        <s v="36cc47e7-ea9e-410e-ab8c-53adeed2d905"/>
        <s v="13857721-e31a-444e-a2c2-774566eb5f26"/>
        <s v="37a9f5be-b24a-4f6c-97bd-9b822a31fa1d"/>
        <s v="a9224dd3-b260-4439-9c91-63c444209873"/>
        <s v="d7a87238-7091-401f-a18e-21c1309e9064"/>
        <s v="cb8f4dea-863b-4651-a226-6e0dec00b253"/>
        <s v="538c9408-8b8b-4785-b9f9-cd2657097173"/>
        <s v="100275b6-8299-499c-9ddf-e472309c9cf0"/>
        <s v="1e54c09b-4c64-4a56-be8d-61e1318d7de9"/>
        <s v="be84e0fe-9e4b-46e0-be04-6f0f71667755"/>
        <s v="ee97ba16-5d7f-4349-b9a0-cc9069b8707b"/>
        <s v="4166e455-ac94-49a0-9bd8-7a5c8a17ac45"/>
        <s v="2613eb8c-73dd-4b40-8ff0-7cf4fa29b165"/>
        <s v="22325f75-012a-4872-929d-f3dcad77dde8"/>
        <s v="4404f1db-09be-4f2c-92f0-2d65ee6b0394"/>
        <s v="daf5edee-c366-417d-9cd7-be77ad5d329a"/>
        <s v="66f10c57-ee31-4fe2-b3a9-4e88f49e1e71"/>
        <s v="c3bb3562-c65e-4e05-bfb3-9df465d18c89"/>
        <s v="a84bc74c-2d98-4331-a5a9-c762bb61fb2e"/>
        <s v="6c3fead4-1fe5-4288-be37-3b39d5d98304"/>
        <s v="2f42e9be-b4f9-41cd-9925-02253d8b26bb"/>
        <s v="d7e693a3-06a8-4900-a649-17ebdc044442"/>
        <s v="47c5d8d5-18ad-4bf9-80ad-542822b25aca"/>
        <s v="e13367f1-7d08-4bb3-a252-f1741f4928d8"/>
        <s v="0c6b7809-83fa-4fe8-ae0d-766b000834e5"/>
        <s v="a87e348f-adbc-474d-84ab-934239890915"/>
        <s v="0b90db1b-0e53-4695-b650-7bf4633ec0f6"/>
        <s v="ec133e61-2767-4fb0-ab9c-665b9e47a3d2"/>
        <s v="caf893af-e7d0-485a-b903-5b6bb7b717d6"/>
        <s v="fcfe31f4-1827-4f08-8c09-fac8682e5bbc"/>
        <s v="5b8c2387-f4d6-4823-8d42-a41707a832ef"/>
        <s v="053c462d-890c-45f0-8bb4-0f12c91d58e7"/>
        <s v="4f0f1770-3af6-4b65-a5e9-61a996e12a76"/>
        <s v="b02eb611-668d-4716-946e-2f69918d05a7"/>
        <s v="cc794401-1ded-4891-a6ef-5cdc5b5384d5"/>
        <s v="62f7a1a9-7e11-442a-9de5-499e9da93e2f"/>
        <s v="75a62e15-6018-4f88-b473-5dd4eb79e63b"/>
        <s v="ed2a25dc-7b7a-4810-9252-9fa56521ff40"/>
        <s v="10c739f0-f7fb-4c8e-a239-ed1f5c295465"/>
        <s v="a2d32009-f750-4260-8311-8300bd425ff8"/>
        <s v="15d306a8-d422-44fb-9ae9-88cc0402b65d"/>
        <s v="4d3c7cfd-d33e-47a8-a31b-f2a694c31429"/>
        <s v="a4b8a935-59ba-43d2-9d68-660ee91a5acd"/>
        <s v="8f691093-3270-4ace-ae7f-f6404f3e9c97"/>
        <s v="c6f0a1e2-99c5-4a17-b0d8-ad6d416c81cc"/>
        <s v="b8d7d438-42a6-490e-878a-eabf47bc2626"/>
        <s v="325642ee-2d8b-4a13-a954-d573be58d386"/>
        <s v="b97d18e7-1657-470e-bc41-0860e9f0889b"/>
        <s v="eec053a4-5ae1-415f-b30f-845523ab472b"/>
        <s v="8ea7037d-ea94-41a9-96b7-83c29d8264c3"/>
        <s v="a7a8f827-451d-439f-95ca-6682c5127351"/>
        <s v="8dac1bb0-62a5-4b93-9f18-74bb64e1f8a8"/>
        <s v="01033810-39b1-401b-94e8-71a15ff61d49"/>
        <s v="6486d7e7-8b63-4036-a105-6f846c2be7ab"/>
        <s v="570e94ce-b053-46a5-8a1e-1a663553c880"/>
        <s v="2c43e82b-a86a-44f0-a9c7-359db0ff3d83"/>
        <s v="c959873c-5ee3-4647-bd0b-df86bd37e523"/>
        <s v="6df2b0ce-9ac0-4cf2-946a-557bf24c972f"/>
        <s v="2f004d71-2bd5-4fdb-a629-c4409dbaf7b8"/>
        <s v="c6836bfa-f154-46e7-81fa-88577b4553a6"/>
        <s v="f2f8a751-e6da-4e2b-b90b-7189fd4833ad"/>
        <s v="2119f43d-1200-4439-ad32-eab189cb6475"/>
        <s v="4d39c9a6-3193-454d-9981-2f01cdfb6409"/>
        <s v="33b5cb0d-ba44-4160-8e1f-1175cb33b310"/>
        <s v="b21c5672-3d61-481e-bd82-6e363e042060"/>
        <s v="41fe435e-4e1c-498f-8112-8a52ebd37db7"/>
        <s v="df7beeeb-1466-45c0-b687-7861cff4c459"/>
        <s v="7896d226-252e-4fbf-902d-719da7aaaf24"/>
        <s v="732de4a4-0325-4391-a400-19ffb39fdec9"/>
        <s v="3a57b856-992a-4aa3-a497-f62acef32235"/>
        <s v="1dada63c-2f5a-48d7-8e04-d26aacd30687"/>
        <s v="11a0323a-7513-4fd6-84cf-79c923b2e72e"/>
        <s v="c7da08b2-c581-41ed-8398-757d407a24ef"/>
        <s v="d9c044d0-2d9f-4974-b4ef-0cbae299e695"/>
        <s v="c048f440-4471-4f5b-8f49-4805f745f284"/>
        <s v="983f661d-1d5c-478c-aef5-611a679c13a6"/>
        <s v="fad038ce-1b32-4c25-85bc-38c2262677ee"/>
        <s v="257f5799-af41-462b-b2f9-acae82ba412c"/>
        <s v="586df37b-bacf-4952-94e8-20049c50d537"/>
        <s v="9e9a947c-796d-4653-bc4d-b777a5aa5e38"/>
        <s v="afc92f17-61fe-4e4e-84c2-09515ccc8e07"/>
        <s v="0d9c3f44-a748-478b-8652-36bac0fde7f7"/>
        <s v="32a2277a-2bbc-47d0-9874-fcd6195b5e16"/>
        <s v="98bc06e4-82c3-4589-93d7-e941e1ae7c85"/>
        <s v="2d00fa46-ed9d-4a83-8d4f-00268740aa20"/>
        <s v="dac843fc-5bc0-475f-a01e-8c48a965a9c2"/>
        <s v="8faa345b-0095-4a30-b89a-79a7b53e217a"/>
        <s v="38daf333-0f89-435f-9b2d-a6d639ff33df"/>
        <s v="71b6157e-f3ed-4bd0-83ed-fc382c96bff0"/>
        <s v="1e7c8a1d-abaf-4fac-be1b-22c8312a6026"/>
        <s v="b343399a-8398-43c0-a157-92dd7a44f5c7"/>
        <s v="0df64a43-b0b9-4928-8b22-58438782855d"/>
        <s v="3d80365e-3ca4-4c40-b7b5-8655955878bf"/>
        <s v="8f0f8ae1-20a3-4c9d-b76d-f1ebaf765b63"/>
        <s v="60961cdf-09a7-4a32-8c6c-2d05f517439d"/>
        <s v="ba9d11bd-abcf-425b-a84b-aa0bb71654e0"/>
        <s v="a8b647c7-bcba-44a0-8e1a-6b49fad5f46a"/>
        <s v="df1772a5-47bc-4e80-a07f-cca86b2ebcdc"/>
        <s v="fc8a05ee-e84e-44f7-96be-898033a352b4"/>
        <s v="27c73c7b-510b-4161-81d3-83559a1ad5b1"/>
        <s v="344db87d-a5d1-4172-aec9-fa915cf7c5b7"/>
      </sharedItems>
    </cacheField>
    <cacheField name="Producto unido" numFmtId="0">
      <sharedItems>
        <s v="Auriculares Con cable 32GB"/>
        <s v="Auriculares Bluetooth 8GB"/>
        <s v="Laptop Gaming 32GB"/>
        <s v="Tablet Pro 8GB"/>
        <s v="Teléfono Gama alta 4GB"/>
        <s v="Teléfono Gama alta 8GB"/>
        <s v="Tablet Mini 4GB"/>
        <s v="Laptop Ultraliviana 16GB"/>
        <s v="Auriculares Bluetooth 16GB"/>
        <s v="Auriculares Con cable 16GB"/>
        <s v="Tablet Pro 4GB"/>
        <s v="Teléfono Gama baja 16GB"/>
        <s v="Tablet Pro 32GB"/>
        <s v="Tablet Mini 32GB"/>
        <s v="Auriculares Cancelación de ruido 4GB"/>
        <s v="Teléfono Gama alta 16GB"/>
        <s v="Tablet Estándar 16GB"/>
        <s v="Teléfono Gama media 4GB"/>
        <s v="Teléfono Gama baja 8GB"/>
        <s v="Laptop Ultraliviana 32GB"/>
        <s v="Laptop Oficina 16GB"/>
        <s v="Teléfono Gama baja 4GB"/>
        <s v="Laptop Gaming 8GB"/>
        <s v="Laptop Oficina 8GB"/>
        <s v="Auriculares Con cable 8GB"/>
        <s v="Laptop Ultraliviana 4GB"/>
        <s v="Tablet Mini 8GB"/>
        <s v="Auriculares Cancelación de ruido 32GB"/>
        <s v="Auriculares Cancelación de ruido 8GB"/>
        <s v="Laptop Gaming 4GB"/>
        <s v="Auriculares Bluetooth 4GB"/>
        <s v="Tablet Mini 16GB"/>
        <s v="Tablet Estándar 4GB"/>
        <s v="Teléfono Gama baja 32GB"/>
        <s v="Laptop Oficina 32GB"/>
        <s v="Teléfono Gama alta 32GB"/>
        <s v="Laptop Oficina 4GB"/>
        <s v="Teléfono Gama media 8GB"/>
        <s v="Tablet Estándar 8GB"/>
        <s v="Tablet Pro 16GB"/>
        <s v="Tablet Estándar 32GB"/>
        <s v="Teléfono Gama media 32GB"/>
        <s v="Teléfono Gama media 16GB"/>
        <s v="Auriculares Cancelación de ruido 16GB"/>
        <s v="Laptop Gaming 16GB"/>
        <s v="Laptop Ultraliviana 8GB"/>
        <s v="Auriculares Con cable 4GB"/>
        <s v="Auriculares Bluetooth 32GB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V1001" sheet="Datos_Limpios"/>
  </cacheSource>
  <cacheFields>
    <cacheField name="Columna 1" numFmtId="0">
      <sharedItems>
        <s v="03/10/2024"/>
        <s v="15/10/2024"/>
        <s v="27/10/2024"/>
        <s v="02/11/2024"/>
        <s v="28/11/2024"/>
        <s v="05/11/2024"/>
        <s v="01/12/2024"/>
        <s v="10/12/2024"/>
        <s v="15/12/2024"/>
        <s v="23/12/2024"/>
        <s v="09/10/2024"/>
        <s v="25/11/2024"/>
        <s v="19/12/2024"/>
        <s v="21/10/2024"/>
        <s v="30/11/2024"/>
        <s v="05/12/2024"/>
        <s v="22/10/2024"/>
        <s v="28/12/2024"/>
        <s v="12/10/2024"/>
        <s v="14/11/2024"/>
        <s v="29/12/2024"/>
        <s v="10/11/2024"/>
        <s v="16/12/2024"/>
        <s v="14/10/2024"/>
        <s v="31/12/2024"/>
        <s v="24/12/2024"/>
        <s v="23/10/2024"/>
        <s v="08/10/2024"/>
        <s v="25/12/2024"/>
        <s v="29/10/2024"/>
        <s v="14/12/2024"/>
        <s v="11/01/2024"/>
        <s v="15/11/2024"/>
        <s v="03/12/2024"/>
        <s v="20/10/2024"/>
        <s v="11/11/2024"/>
        <s v="01/11/2024"/>
        <s v="31/10/2024"/>
        <s v="18/12/2024"/>
        <s v="17/11/2024"/>
        <s v="20/12/2024"/>
        <s v="10/10/2024"/>
        <s v="07/12/2024"/>
        <s v="13/11/2024"/>
        <s v="02/12/2024"/>
        <s v="19/11/2024"/>
        <s v="21/11/2024"/>
        <s v="07/11/2024"/>
        <s v="11/12/2024"/>
        <s v="18/10/2024"/>
        <s v="22/12/2024"/>
        <s v="04/11/2024"/>
        <s v="13/12/2024"/>
        <s v="25/10/2024"/>
        <s v="29/11/2024"/>
        <s v="24/10/2024"/>
        <s v="23/11/2024"/>
        <s v="03/11/2024"/>
        <s v="13/10/2024"/>
        <s v="26/11/2024"/>
        <s v="20/11/2024"/>
        <s v="21/12/2024"/>
        <s v="10/02/2024"/>
        <s v="16/10/2024"/>
        <s v="10/05/2024"/>
        <s v="12/06/2024"/>
        <s v="09/12/2024"/>
        <s v="30/10/2024"/>
        <s v="07/10/2024"/>
        <s v="12/01/2024"/>
        <s v="27/12/2024"/>
        <s v="24/11/2024"/>
        <s v="22/11/2024"/>
        <s v="09/11/2024"/>
        <s v="12/07/2024"/>
        <s v="04/10/2024"/>
        <s v="10/06/2024"/>
        <s v="26/10/2024"/>
        <s v="11/10/2024"/>
        <s v="19/10/2024"/>
        <s v="10/04/2024"/>
        <s v="06/11/2024"/>
        <s v="08/11/2024"/>
        <s v="26/12/2024"/>
        <s v="04/12/2024"/>
        <s v="05/10/2024"/>
        <s v="17/10/2024"/>
        <s v="18/11/2024"/>
        <s v="12/12/2024"/>
        <s v="06/12/2024"/>
        <s v="12/11/2024"/>
        <s v="28/10/2024"/>
        <s v="17/12/2024"/>
        <s v="27/11/2024"/>
        <s v="12/05/2024"/>
        <s v="10/08/2024"/>
        <s v="12/04/2024"/>
        <s v="10/07/2024"/>
        <s v="05/08/2024"/>
        <s v="12/02/2024"/>
        <s v="12/08/2024"/>
        <s v="11/09/2024"/>
        <s v="11/04/2024"/>
        <s v="16/11/2024"/>
        <s v="11/03/2024"/>
        <s v="08/12/2024"/>
        <s v="01/10/2024"/>
        <s v="30/12/2024"/>
        <s v="06/10/2024"/>
        <s v="09/03/2024"/>
        <s v="11/08/2024"/>
        <s v="12/03/2024"/>
        <s v="11/06/2024"/>
        <s v="10/09/2024"/>
        <s v="10/03/2024"/>
        <s v="11/07/2024"/>
        <s v="12/09/2024"/>
        <s v="11/05/2024"/>
        <s v="10/01/2024"/>
        <s v="11/02/2024"/>
        <s v="16/16/2024"/>
      </sharedItems>
    </cacheField>
    <cacheField name="Fecha">
      <sharedItems containsDate="1" containsMixedTypes="1">
        <d v="2024-10-03T00:00:00Z"/>
        <d v="2024-10-15T00:00:00Z"/>
        <d v="2024-10-27T00:00:00Z"/>
        <d v="2024-11-02T00:00:00Z"/>
        <d v="2024-11-28T00:00:00Z"/>
        <d v="2024-11-05T00:00:00Z"/>
        <d v="2024-12-01T00:00:00Z"/>
        <d v="2024-12-10T00:00:00Z"/>
        <d v="2024-12-15T00:00:00Z"/>
        <d v="2024-12-23T00:00:00Z"/>
        <d v="2024-10-09T00:00:00Z"/>
        <d v="2024-11-25T00:00:00Z"/>
        <d v="2024-12-19T00:00:00Z"/>
        <d v="2024-10-21T00:00:00Z"/>
        <d v="2024-11-30T00:00:00Z"/>
        <d v="2024-12-05T00:00:00Z"/>
        <d v="2024-10-22T00:00:00Z"/>
        <d v="2024-12-28T00:00:00Z"/>
        <d v="2024-10-12T00:00:00Z"/>
        <d v="2024-11-14T00:00:00Z"/>
        <d v="2024-12-29T00:00:00Z"/>
        <d v="2024-11-10T00:00:00Z"/>
        <d v="2024-12-16T00:00:00Z"/>
        <d v="2024-10-14T00:00:00Z"/>
        <d v="2024-12-31T00:00:00Z"/>
        <d v="2024-12-24T00:00:00Z"/>
        <d v="2024-10-23T00:00:00Z"/>
        <d v="2024-10-08T00:00:00Z"/>
        <d v="2024-12-25T00:00:00Z"/>
        <d v="2024-10-29T00:00:00Z"/>
        <d v="2024-12-14T00:00:00Z"/>
        <d v="2024-01-11T00:00:00Z"/>
        <d v="2024-11-15T00:00:00Z"/>
        <d v="2024-12-03T00:00:00Z"/>
        <d v="2024-10-20T00:00:00Z"/>
        <d v="2024-11-11T00:00:00Z"/>
        <d v="2024-11-01T00:00:00Z"/>
        <d v="2024-10-31T00:00:00Z"/>
        <d v="2024-12-18T00:00:00Z"/>
        <d v="2024-11-17T00:00:00Z"/>
        <d v="2024-12-20T00:00:00Z"/>
        <d v="2024-10-10T00:00:00Z"/>
        <d v="2024-12-07T00:00:00Z"/>
        <d v="2024-11-13T00:00:00Z"/>
        <d v="2024-12-02T00:00:00Z"/>
        <d v="2024-11-19T00:00:00Z"/>
        <d v="2024-11-21T00:00:00Z"/>
        <d v="2024-11-07T00:00:00Z"/>
        <d v="2024-12-11T00:00:00Z"/>
        <d v="2024-10-18T00:00:00Z"/>
        <d v="2024-12-22T00:00:00Z"/>
        <d v="2024-11-04T00:00:00Z"/>
        <d v="2024-12-13T00:00:00Z"/>
        <d v="2024-10-25T00:00:00Z"/>
        <d v="2024-11-29T00:00:00Z"/>
        <d v="2024-10-24T00:00:00Z"/>
        <d v="2024-11-23T00:00:00Z"/>
        <d v="2024-11-03T00:00:00Z"/>
        <d v="2024-10-13T00:00:00Z"/>
        <d v="2024-11-26T00:00:00Z"/>
        <d v="2024-11-20T00:00:00Z"/>
        <d v="2024-12-21T00:00:00Z"/>
        <d v="2024-02-10T00:00:00Z"/>
        <d v="2024-10-16T00:00:00Z"/>
        <d v="2024-05-10T00:00:00Z"/>
        <d v="2024-06-12T00:00:00Z"/>
        <d v="2024-12-09T00:00:00Z"/>
        <d v="2024-10-30T00:00:00Z"/>
        <d v="2024-10-07T00:00:00Z"/>
        <d v="2024-01-12T00:00:00Z"/>
        <d v="2024-12-27T00:00:00Z"/>
        <d v="2024-11-24T00:00:00Z"/>
        <d v="2024-11-22T00:00:00Z"/>
        <d v="2024-11-09T00:00:00Z"/>
        <d v="2024-07-12T00:00:00Z"/>
        <d v="2024-10-04T00:00:00Z"/>
        <d v="2024-06-10T00:00:00Z"/>
        <d v="2024-10-26T00:00:00Z"/>
        <d v="2024-10-11T00:00:00Z"/>
        <d v="2024-10-19T00:00:00Z"/>
        <d v="2024-04-10T00:00:00Z"/>
        <d v="2024-11-06T00:00:00Z"/>
        <d v="2024-11-08T00:00:00Z"/>
        <d v="2024-12-26T00:00:00Z"/>
        <d v="2024-12-04T00:00:00Z"/>
        <d v="2024-10-05T00:00:00Z"/>
        <d v="2024-10-17T00:00:00Z"/>
        <d v="2024-11-18T00:00:00Z"/>
        <d v="2024-12-12T00:00:00Z"/>
        <d v="2024-12-06T00:00:00Z"/>
        <d v="2024-11-12T00:00:00Z"/>
        <d v="2024-10-28T00:00:00Z"/>
        <d v="2024-12-17T00:00:00Z"/>
        <d v="2024-11-27T00:00:00Z"/>
        <d v="2024-05-12T00:00:00Z"/>
        <d v="2024-08-10T00:00:00Z"/>
        <d v="2024-04-12T00:00:00Z"/>
        <d v="2024-07-10T00:00:00Z"/>
        <d v="2024-08-05T00:00:00Z"/>
        <d v="2024-02-12T00:00:00Z"/>
        <d v="2024-08-12T00:00:00Z"/>
        <d v="2024-09-11T00:00:00Z"/>
        <d v="2024-04-11T00:00:00Z"/>
        <d v="2024-11-16T00:00:00Z"/>
        <d v="2024-03-11T00:00:00Z"/>
        <d v="2024-12-08T00:00:00Z"/>
        <d v="2024-10-01T00:00:00Z"/>
        <d v="2024-12-30T00:00:00Z"/>
        <d v="2024-10-06T00:00:00Z"/>
        <d v="2024-03-09T00:00:00Z"/>
        <d v="2024-08-11T00:00:00Z"/>
        <d v="2024-03-12T00:00:00Z"/>
        <d v="2024-06-11T00:00:00Z"/>
        <d v="2024-09-10T00:00:00Z"/>
        <d v="2024-03-10T00:00:00Z"/>
        <d v="2024-07-11T00:00:00Z"/>
        <d v="2024-09-12T00:00:00Z"/>
        <d v="2024-05-11T00:00:00Z"/>
        <d v="2024-01-10T00:00:00Z"/>
        <d v="2024-02-11T00:00:00Z"/>
        <s v="16/16/2024"/>
      </sharedItems>
    </cacheField>
    <cacheField name="Ciudad" numFmtId="0">
      <sharedItems>
        <s v="Monterrey"/>
        <s v="Bogotá"/>
        <s v="Medellín"/>
        <s v="Cali"/>
        <s v="Guadalajara"/>
        <s v="Ciudad De México"/>
        <s v="Tulum"/>
      </sharedItems>
    </cacheField>
    <cacheField name="Producto" numFmtId="0">
      <sharedItems>
        <s v="Auriculares"/>
        <s v="Laptop"/>
        <s v="Tablet"/>
        <s v="Teléfono"/>
      </sharedItems>
    </cacheField>
    <cacheField name="Tipo" numFmtId="0">
      <sharedItems>
        <s v="Con cable"/>
        <s v="Bluetooth"/>
        <s v="Gaming"/>
        <s v="Pro"/>
        <s v="Gama alta"/>
        <s v="Mini"/>
        <s v="Ultraliviana"/>
        <s v="Gama baja"/>
        <s v="Cancelación de ruido"/>
        <s v="Estándar"/>
        <s v="Gama media"/>
        <s v="Oficina"/>
      </sharedItems>
    </cacheField>
    <cacheField name="Especificaciones" numFmtId="0">
      <sharedItems>
        <s v="32GB"/>
        <s v="8GB"/>
        <s v="4GB"/>
        <s v="16GB"/>
      </sharedItems>
    </cacheField>
    <cacheField name="Precio unitario">
      <sharedItems containsMixedTypes="1" containsNumber="1">
        <n v="439.01"/>
        <n v="1090.69"/>
        <n v="1174.54"/>
        <n v="1291.38"/>
        <n v="1450.89"/>
        <n v="670.67"/>
        <n v="1114.1"/>
        <n v="1001.63"/>
        <n v="181.56"/>
        <n v="964.35"/>
        <n v="120.46"/>
        <n v="1061.61"/>
        <n v="2440.84"/>
        <n v="121.68"/>
        <n v="1109.64"/>
        <n v="2246.48"/>
        <n v="129.07"/>
        <n v="1724.31"/>
        <n v="1445.1"/>
        <n v="1618.43"/>
        <n v="2070.23"/>
        <n v="763.62"/>
        <n v="658.01"/>
        <n v="162.56"/>
        <n v="1721.22"/>
        <n v="741.79"/>
        <n v="489.42"/>
        <n v="1247.53"/>
        <n v="273.42"/>
        <n v="160.68"/>
        <n v="2297.62"/>
        <n v="1040.78"/>
        <n v="1850.94"/>
        <n v="134.89"/>
        <n v="2314.37"/>
        <n v="787.6"/>
        <n v="1532.2"/>
        <n v="1741.09"/>
        <n v="2116.69"/>
        <n v="1065.52"/>
        <n v="1919.71"/>
        <n v="450.01"/>
        <n v="2294.28"/>
        <n v="496.1"/>
        <n v="1529.1"/>
        <n v="2256.04"/>
        <n v="625.26"/>
        <n v="1933.07"/>
        <n v="434.9"/>
        <n v="1889.28"/>
        <n v="1708.81"/>
        <n v="1524.07"/>
        <n v="372.92"/>
        <n v="2168.25"/>
        <n v="882.55"/>
        <n v="602.68"/>
        <n v="2405.31"/>
        <n v="564.69"/>
        <n v="2373.12"/>
        <n v="278.37"/>
        <n v="1636.89"/>
        <s v="0"/>
        <n v="218.94"/>
        <n v="1077.1"/>
        <n v="2297.78"/>
        <n v="127.95"/>
        <n v="1545.28"/>
        <n v="97.52"/>
        <n v="817.03"/>
        <n v="721.04"/>
        <n v="1636.65"/>
        <n v="2114.2"/>
        <n v="934.1"/>
        <n v="2095.64"/>
        <n v="337.5"/>
        <n v="1962.79"/>
        <n v="2261.15"/>
        <n v="1491.19"/>
        <n v="405.62"/>
        <n v="2157.37"/>
        <n v="625.41"/>
        <n v="1664.18"/>
        <n v="2229.46"/>
        <n v="371.34"/>
        <n v="271.58"/>
        <n v="2371.6"/>
        <n v="2392.65"/>
        <n v="1738.96"/>
        <n v="1877.63"/>
        <n v="1547.71"/>
        <n v="1254.72"/>
        <n v="2087.84"/>
        <n v="1849.07"/>
        <n v="1290.52"/>
        <n v="392.86"/>
        <n v="1864.02"/>
        <n v="589.92"/>
        <n v="758.87"/>
        <n v="489.9"/>
        <n v="1614.05"/>
        <n v="179.58"/>
        <n v="984.34"/>
        <n v="1456.46"/>
        <n v="421.27"/>
        <n v="78.53"/>
        <n v="576.8"/>
        <n v="719.59"/>
        <n v="1050.44"/>
        <n v="166.45"/>
        <n v="2299.22"/>
        <n v="599.4"/>
        <n v="370.25"/>
        <n v="1747.28"/>
        <n v="1099.54"/>
        <n v="157.57"/>
        <n v="2200.84"/>
        <n v="290.07"/>
        <n v="2312.52"/>
        <n v="1401.28"/>
        <n v="1407.68"/>
        <n v="2044.86"/>
        <n v="2425.49"/>
        <n v="1752.92"/>
        <n v="1935.15"/>
        <n v="1612.87"/>
        <n v="1105.02"/>
        <n v="594.52"/>
        <n v="1077.13"/>
        <n v="1598.45"/>
        <n v="1744.95"/>
        <n v="2212.26"/>
        <n v="443.81"/>
        <n v="416.62"/>
        <n v="271.11"/>
        <n v="797.54"/>
        <n v="157.83"/>
        <n v="1096.28"/>
        <n v="1086.48"/>
        <n v="2361.22"/>
        <n v="2378.7"/>
        <n v="2186.25"/>
        <n v="156.04"/>
        <n v="1847.8"/>
        <n v="1912.53"/>
        <n v="919.0"/>
        <n v="2208.12"/>
        <n v="902.5"/>
        <n v="1585.53"/>
        <n v="90.89"/>
        <n v="88.54"/>
        <n v="230.59"/>
        <n v="2356.5"/>
        <n v="2030.62"/>
        <n v="539.2"/>
        <n v="1945.67"/>
        <n v="1656.59"/>
        <n v="56.71"/>
        <n v="841.77"/>
        <n v="853.52"/>
        <n v="851.86"/>
        <n v="1047.88"/>
        <n v="700.01"/>
        <n v="1909.2"/>
        <n v="981.62"/>
        <n v="210.76"/>
        <n v="713.75"/>
        <n v="1005.46"/>
        <n v="208.54"/>
        <n v="1902.94"/>
        <n v="2317.48"/>
        <n v="1522.98"/>
        <n v="807.96"/>
        <n v="761.94"/>
        <n v="1898.32"/>
        <n v="1145.32"/>
        <n v="1865.55"/>
        <n v="949.27"/>
        <n v="1944.73"/>
        <n v="1956.0"/>
        <n v="1848.95"/>
        <n v="814.63"/>
        <n v="120.94"/>
        <n v="797.71"/>
        <n v="762.46"/>
        <n v="1794.09"/>
        <n v="157.89"/>
        <n v="642.49"/>
        <n v="798.65"/>
        <n v="1533.19"/>
        <n v="1247.13"/>
        <n v="1988.0"/>
        <n v="1923.56"/>
        <n v="1112.81"/>
        <n v="2281.58"/>
        <n v="2095.66"/>
        <n v="2064.2"/>
        <n v="1143.24"/>
        <n v="2333.72"/>
        <n v="1537.12"/>
        <n v="2224.57"/>
        <n v="1688.92"/>
        <n v="1575.85"/>
        <n v="1861.0"/>
        <n v="62.73"/>
        <n v="1332.48"/>
        <n v="1771.25"/>
        <n v="788.6"/>
        <n v="591.94"/>
        <n v="2060.35"/>
        <n v="324.09"/>
        <n v="525.13"/>
        <n v="787.78"/>
        <n v="1242.34"/>
        <n v="1657.62"/>
        <n v="780.24"/>
        <n v="1832.39"/>
        <n v="205.57"/>
        <n v="1219.75"/>
        <n v="1126.91"/>
        <n v="1950.45"/>
        <n v="1940.18"/>
        <n v="251.95"/>
        <n v="1378.81"/>
        <n v="2215.63"/>
        <n v="1967.19"/>
        <n v="2395.85"/>
        <n v="809.92"/>
        <n v="1156.44"/>
        <n v="1062.11"/>
        <n v="784.39"/>
        <n v="1459.53"/>
        <n v="1668.3"/>
        <n v="563.73"/>
        <n v="2209.08"/>
        <n v="568.57"/>
        <n v="1795.59"/>
        <n v="883.61"/>
        <n v="1566.36"/>
        <n v="1141.13"/>
        <n v="1865.58"/>
        <n v="1585.75"/>
        <n v="1491.36"/>
        <n v="516.02"/>
        <n v="153.47"/>
        <n v="107.98"/>
        <n v="2441.7"/>
        <n v="785.65"/>
        <n v="229.33"/>
        <n v="1345.66"/>
        <n v="1805.81"/>
        <n v="1363.76"/>
        <n v="1405.61"/>
        <n v="100.98"/>
        <n v="401.92"/>
        <n v="890.76"/>
        <n v="989.79"/>
        <n v="1137.01"/>
        <n v="273.29"/>
        <n v="233.33"/>
        <n v="228.56"/>
        <n v="1277.75"/>
        <n v="2087.73"/>
        <n v="1937.4"/>
        <n v="1628.77"/>
        <n v="747.11"/>
        <n v="596.93"/>
        <n v="1691.93"/>
        <n v="2043.06"/>
        <n v="808.32"/>
        <n v="2092.55"/>
        <n v="785.82"/>
        <n v="2014.33"/>
        <n v="1030.99"/>
        <n v="658.24"/>
        <n v="1019.73"/>
        <n v="664.21"/>
        <n v="1307.54"/>
        <n v="1711.63"/>
        <n v="1670.11"/>
        <n v="1492.73"/>
        <n v="617.79"/>
        <n v="2211.26"/>
        <n v="1397.7"/>
        <n v="1339.17"/>
        <n v="992.68"/>
        <n v="2196.83"/>
        <n v="895.6"/>
        <n v="1280.61"/>
        <n v="288.64"/>
        <n v="2092.87"/>
        <n v="1631.22"/>
        <n v="1068.29"/>
        <n v="1216.59"/>
        <n v="979.2"/>
        <n v="1752.21"/>
        <n v="2381.87"/>
        <n v="173.98"/>
        <n v="1987.27"/>
        <n v="486.27"/>
        <n v="1615.07"/>
        <n v="1464.04"/>
        <n v="1612.96"/>
        <n v="920.68"/>
        <n v="499.22"/>
        <n v="1650.53"/>
        <n v="1112.48"/>
        <n v="366.39"/>
        <n v="1019.3"/>
        <n v="1152.44"/>
        <n v="1807.14"/>
        <n v="1175.45"/>
        <n v="177.74"/>
        <n v="1220.85"/>
        <n v="1866.74"/>
        <n v="1363.09"/>
        <n v="720.63"/>
        <n v="1719.53"/>
        <n v="2484.74"/>
        <n v="2437.77"/>
        <n v="702.77"/>
        <n v="284.79"/>
        <n v="824.79"/>
        <n v="616.36"/>
        <n v="1501.95"/>
        <n v="1429.89"/>
        <n v="1662.81"/>
        <n v="379.11"/>
        <n v="2242.24"/>
        <n v="1402.2"/>
        <n v="214.72"/>
        <n v="1017.27"/>
        <n v="1640.14"/>
        <n v="793.37"/>
        <n v="861.73"/>
        <n v="2264.15"/>
        <n v="226.25"/>
        <n v="720.31"/>
        <n v="1620.89"/>
        <n v="1912.83"/>
        <n v="1168.3"/>
        <n v="1281.78"/>
        <n v="1656.61"/>
        <n v="2030.7"/>
        <n v="649.99"/>
        <n v="68.0"/>
        <n v="348.21"/>
        <n v="782.8"/>
        <n v="2393.92"/>
        <n v="825.08"/>
        <n v="2323.09"/>
        <n v="1518.43"/>
        <n v="1779.15"/>
        <n v="1051.49"/>
        <n v="1014.61"/>
        <n v="1745.0"/>
        <n v="1273.61"/>
        <n v="1361.77"/>
        <n v="1710.52"/>
        <n v="412.36"/>
        <n v="718.45"/>
        <n v="1141.88"/>
        <n v="345.81"/>
        <n v="1602.14"/>
        <n v="1198.31"/>
        <n v="633.09"/>
        <n v="2100.84"/>
        <n v="2263.78"/>
        <n v="1840.11"/>
        <n v="2008.39"/>
        <n v="724.54"/>
        <n v="1923.49"/>
        <n v="653.09"/>
        <n v="627.66"/>
        <n v="1194.62"/>
        <n v="169.21"/>
        <n v="2081.9"/>
        <n v="324.46"/>
        <n v="1178.53"/>
        <n v="2196.48"/>
        <n v="1527.82"/>
        <n v="1213.49"/>
        <n v="288.29"/>
        <n v="1006.61"/>
        <n v="1388.37"/>
        <n v="2114.99"/>
        <n v="1627.59"/>
        <n v="1385.54"/>
        <n v="1164.32"/>
        <n v="169.2"/>
        <n v="1057.56"/>
        <n v="1567.55"/>
        <n v="2012.81"/>
        <n v="2101.18"/>
        <n v="2008.78"/>
        <n v="1451.3"/>
        <n v="1291.39"/>
        <n v="1083.91"/>
        <n v="1181.12"/>
        <n v="1665.73"/>
        <n v="1083.6"/>
        <n v="1614.84"/>
        <n v="1261.22"/>
        <n v="571.73"/>
        <n v="1056.48"/>
        <n v="292.81"/>
        <n v="2085.29"/>
        <n v="206.29"/>
        <n v="271.04"/>
        <n v="1770.13"/>
        <n v="988.8"/>
        <n v="1170.2"/>
        <n v="2418.11"/>
        <n v="1639.83"/>
        <n v="1373.32"/>
        <n v="825.4"/>
        <n v="796.3"/>
        <n v="2127.13"/>
        <n v="2009.75"/>
        <n v="634.44"/>
        <n v="2452.44"/>
        <n v="460.39"/>
        <n v="564.58"/>
        <n v="1265.56"/>
        <n v="85.19"/>
        <n v="1468.39"/>
        <n v="1450.82"/>
        <n v="429.21"/>
        <n v="724.28"/>
        <n v="1654.16"/>
        <n v="1834.12"/>
        <n v="2148.04"/>
        <n v="1325.42"/>
        <n v="1148.65"/>
        <n v="932.02"/>
        <n v="1806.33"/>
        <n v="2187.34"/>
        <n v="1859.58"/>
        <n v="306.11"/>
        <n v="1429.62"/>
        <n v="1788.74"/>
        <n v="2199.82"/>
        <n v="2476.21"/>
        <n v="2261.12"/>
        <n v="1247.08"/>
        <n v="479.96"/>
        <n v="1155.26"/>
        <n v="563.92"/>
        <n v="1022.39"/>
        <n v="1527.87"/>
        <n v="1804.11"/>
        <n v="70.91"/>
        <n v="1768.85"/>
        <n v="446.49"/>
        <n v="416.81"/>
        <n v="1437.75"/>
        <n v="2078.48"/>
        <n v="1292.9"/>
        <n v="1703.47"/>
        <n v="240.45"/>
        <n v="1700.41"/>
        <n v="460.62"/>
        <n v="1092.45"/>
        <n v="1270.75"/>
        <n v="583.68"/>
        <n v="1284.18"/>
        <n v="569.56"/>
        <n v="1808.18"/>
        <n v="2255.29"/>
        <n v="847.32"/>
        <n v="509.58"/>
        <n v="578.14"/>
        <n v="879.78"/>
        <n v="205.25"/>
        <n v="2309.76"/>
        <n v="1540.33"/>
        <n v="1018.4"/>
        <n v="1058.81"/>
        <n v="890.66"/>
        <n v="252.24"/>
        <n v="1705.74"/>
        <n v="2289.42"/>
        <n v="2281.01"/>
        <n v="1093.69"/>
        <n v="233.85"/>
        <n v="1779.34"/>
        <n v="1490.57"/>
        <n v="1696.63"/>
        <n v="942.47"/>
        <n v="2064.92"/>
        <n v="2182.77"/>
        <n v="1402.66"/>
        <n v="2420.41"/>
        <n v="2084.89"/>
        <n v="173.04"/>
        <n v="1831.56"/>
        <n v="1899.66"/>
        <n v="197.09"/>
        <n v="1577.5"/>
        <n v="832.37"/>
        <n v="1519.67"/>
        <n v="1947.2"/>
        <n v="793.75"/>
        <n v="1001.15"/>
        <n v="1492.69"/>
        <n v="1228.88"/>
        <n v="2068.09"/>
        <n v="1882.22"/>
        <n v="2266.71"/>
        <n v="1035.07"/>
        <n v="1958.41"/>
        <n v="1222.82"/>
        <n v="66.58"/>
        <n v="2287.41"/>
        <n v="2310.61"/>
        <n v="1332.22"/>
        <n v="2135.79"/>
        <n v="1868.91"/>
        <n v="2063.13"/>
        <n v="1772.58"/>
        <n v="2224.61"/>
        <n v="419.18"/>
        <n v="2149.59"/>
        <n v="709.65"/>
        <n v="1191.71"/>
        <n v="914.84"/>
        <n v="2419.81"/>
        <n v="1750.63"/>
        <n v="1091.59"/>
        <n v="2182.83"/>
        <n v="919.27"/>
        <n v="145.9"/>
        <n v="1208.42"/>
        <n v="1990.56"/>
        <n v="347.49"/>
        <n v="771.57"/>
        <n v="1346.1"/>
        <n v="1806.45"/>
        <n v="2248.35"/>
        <n v="817.31"/>
        <n v="2484.65"/>
        <n v="101.1"/>
        <n v="1311.78"/>
        <n v="271.81"/>
        <n v="371.09"/>
        <n v="1414.97"/>
        <n v="1823.15"/>
        <n v="1118.74"/>
        <n v="1511.08"/>
        <n v="210.37"/>
        <n v="495.51"/>
        <n v="1327.27"/>
        <n v="1101.82"/>
        <n v="1767.16"/>
        <n v="764.41"/>
        <n v="2148.99"/>
        <n v="1663.22"/>
        <n v="1898.24"/>
        <n v="569.35"/>
        <n v="2312.7"/>
        <n v="360.98"/>
        <n v="320.64"/>
        <n v="1843.37"/>
        <n v="833.39"/>
        <n v="1321.79"/>
        <n v="1286.13"/>
        <n v="1447.41"/>
        <n v="1456.11"/>
        <n v="1286.15"/>
        <n v="2483.87"/>
        <n v="2499.77"/>
        <n v="1284.54"/>
        <n v="218.17"/>
        <n v="1597.75"/>
        <n v="1736.9"/>
        <n v="1542.12"/>
        <n v="1991.97"/>
        <n v="769.77"/>
        <n v="173.94"/>
        <n v="1118.35"/>
        <n v="232.18"/>
        <n v="1217.56"/>
        <n v="303.05"/>
        <n v="807.71"/>
        <n v="794.49"/>
        <n v="2388.79"/>
        <n v="1768.49"/>
        <n v="1873.69"/>
        <n v="752.56"/>
        <n v="619.4"/>
        <n v="834.63"/>
        <n v="211.08"/>
        <n v="103.69"/>
        <n v="1137.77"/>
        <n v="2009.76"/>
        <n v="755.38"/>
        <n v="287.48"/>
        <n v="808.48"/>
        <n v="181.51"/>
        <n v="2246.65"/>
        <n v="1029.22"/>
        <n v="1713.18"/>
        <n v="1375.85"/>
        <n v="1268.59"/>
        <n v="633.29"/>
        <n v="664.19"/>
        <n v="2198.02"/>
        <n v="1406.32"/>
        <n v="421.59"/>
        <n v="1160.86"/>
        <n v="340.31"/>
        <n v="1916.11"/>
        <n v="970.38"/>
        <n v="378.98"/>
        <n v="2028.12"/>
        <n v="988.44"/>
        <n v="1832.97"/>
        <n v="530.94"/>
        <n v="2254.91"/>
        <n v="127.35"/>
        <n v="732.27"/>
        <n v="2063.96"/>
        <n v="2271.98"/>
        <n v="627.26"/>
        <n v="2391.72"/>
        <n v="318.76"/>
        <n v="1375.44"/>
        <n v="488.25"/>
        <n v="1928.76"/>
        <n v="1228.74"/>
        <n v="2384.86"/>
        <n v="2332.8"/>
        <n v="1274.8"/>
        <n v="181.16"/>
        <n v="110.53"/>
        <n v="1008.28"/>
        <n v="1758.16"/>
        <n v="548.67"/>
        <n v="664.18"/>
        <n v="1453.6"/>
        <n v="2191.24"/>
        <n v="2101.48"/>
        <n v="2461.45"/>
        <n v="1972.43"/>
        <n v="214.86"/>
        <n v="397.5"/>
        <n v="1673.73"/>
        <n v="1395.95"/>
        <n v="2140.33"/>
        <n v="2167.21"/>
        <n v="276.58"/>
        <n v="2062.25"/>
        <n v="2343.81"/>
        <n v="1397.49"/>
        <n v="1159.32"/>
        <n v="1717.67"/>
        <n v="611.99"/>
        <n v="1865.37"/>
        <n v="642.95"/>
        <n v="1237.66"/>
        <n v="1172.2"/>
        <n v="2142.82"/>
        <n v="1083.45"/>
        <n v="927.31"/>
        <n v="2392.27"/>
        <n v="219.68"/>
        <n v="563.11"/>
        <n v="2269.51"/>
        <n v="299.66"/>
        <n v="2139.42"/>
        <n v="1164.16"/>
        <n v="2202.87"/>
        <n v="386.85"/>
        <n v="2461.26"/>
        <n v="469.22"/>
        <n v="499.69"/>
        <n v="2493.45"/>
        <n v="510.78"/>
        <n v="221.44"/>
        <n v="1177.91"/>
        <n v="2100.59"/>
        <n v="302.84"/>
        <n v="2431.8"/>
        <n v="2488.53"/>
        <n v="1079.32"/>
        <n v="1421.57"/>
        <n v="314.21"/>
        <n v="2027.81"/>
        <n v="342.64"/>
        <n v="379.5"/>
        <n v="778.63"/>
        <n v="2020.01"/>
        <n v="2288.18"/>
        <n v="120.49"/>
        <n v="84.76"/>
        <n v="1746.28"/>
        <n v="2003.92"/>
        <n v="2332.13"/>
        <n v="1918.04"/>
        <n v="800.91"/>
        <n v="1129.0"/>
        <n v="2399.48"/>
        <n v="763.21"/>
        <n v="1061.9"/>
        <n v="2329.03"/>
        <n v="1249.46"/>
        <n v="1905.51"/>
        <n v="1151.85"/>
        <n v="428.56"/>
        <n v="1672.13"/>
        <n v="1312.69"/>
        <n v="1306.96"/>
        <n v="164.87"/>
        <n v="1152.78"/>
        <n v="2210.34"/>
        <n v="1125.48"/>
        <n v="142.14"/>
        <n v="66.73"/>
        <n v="1021.75"/>
        <n v="620.05"/>
        <n v="1588.14"/>
        <n v="379.46"/>
        <n v="495.86"/>
        <n v="1010.17"/>
        <n v="969.37"/>
        <n v="100.75"/>
        <n v="2242.64"/>
        <n v="774.69"/>
        <n v="535.75"/>
        <n v="1318.47"/>
        <n v="1711.88"/>
        <n v="1756.32"/>
        <n v="2143.37"/>
        <n v="769.01"/>
        <n v="269.57"/>
        <n v="2185.04"/>
        <n v="2251.92"/>
        <n v="330.1"/>
        <n v="1331.81"/>
        <n v="2115.54"/>
        <n v="2411.28"/>
        <n v="519.68"/>
        <n v="455.85"/>
        <n v="1669.72"/>
        <n v="2224.42"/>
        <n v="1032.0"/>
        <n v="2387.49"/>
        <n v="474.59"/>
        <n v="1951.0"/>
        <n v="2425.55"/>
        <n v="2214.19"/>
        <n v="1165.81"/>
        <n v="1402.18"/>
        <n v="1649.11"/>
        <n v="1531.23"/>
        <n v="742.02"/>
        <n v="494.33"/>
        <n v="731.02"/>
        <n v="2203.93"/>
        <n v="2002.21"/>
        <n v="428.02"/>
        <n v="2160.65"/>
        <n v="2472.61"/>
        <n v="1252.47"/>
        <n v="130.05"/>
        <n v="2399.53"/>
        <n v="1900.01"/>
        <n v="1344.3"/>
        <n v="2170.39"/>
        <n v="403.48"/>
        <n v="2172.79"/>
        <n v="892.88"/>
        <n v="463.17"/>
        <n v="944.98"/>
        <n v="848.42"/>
        <n v="303.84"/>
        <n v="684.7"/>
        <n v="1876.74"/>
        <n v="1770.14"/>
        <n v="815.48"/>
        <n v="986.08"/>
        <n v="646.22"/>
        <n v="2240.54"/>
        <n v="1260.9"/>
        <n v="540.19"/>
        <n v="1254.96"/>
        <n v="1037.64"/>
        <n v="1273.07"/>
        <n v="2430.43"/>
        <n v="1203.93"/>
        <n v="2426.87"/>
        <n v="1848.98"/>
        <n v="1436.52"/>
        <n v="904.01"/>
        <n v="344.69"/>
        <n v="1564.37"/>
        <n v="2031.79"/>
        <n v="1119.17"/>
        <n v="1031.51"/>
        <n v="700.55"/>
        <n v="2138.25"/>
        <n v="1604.02"/>
        <n v="714.18"/>
        <n v="2181.56"/>
        <n v="2083.24"/>
        <n v="879.04"/>
        <n v="1606.74"/>
        <n v="2442.23"/>
        <n v="462.11"/>
        <n v="867.71"/>
        <n v="1793.94"/>
        <n v="2068.34"/>
        <n v="2469.75"/>
        <n v="1268.91"/>
        <n v="818.61"/>
        <n v="500.92"/>
        <n v="2247.57"/>
        <n v="2189.91"/>
        <n v="2144.75"/>
        <n v="1642.37"/>
        <n v="2005.24"/>
        <n v="1944.02"/>
        <n v="215.41"/>
        <n v="2331.11"/>
        <n v="1966.38"/>
        <n v="1496.64"/>
        <n v="2242.47"/>
        <n v="1507.69"/>
        <n v="920.71"/>
        <n v="140.58"/>
        <n v="1383.94"/>
        <n v="806.78"/>
        <n v="1292.41"/>
        <n v="1983.71"/>
        <n v="2390.84"/>
        <n v="1943.33"/>
        <n v="718.69"/>
        <n v="1979.07"/>
        <n v="2317.94"/>
        <n v="1397.8"/>
        <n v="974.06"/>
        <n v="2086.06"/>
        <n v="1808.15"/>
        <n v="1130.03"/>
        <n v="903.41"/>
        <n v="379.64"/>
        <n v="554.25"/>
        <n v="1832.19"/>
        <n v="1485.74"/>
        <n v="1699.32"/>
        <n v="1780.69"/>
        <n v="484.68"/>
        <n v="583.8"/>
        <n v="579.54"/>
        <n v="1615.43"/>
        <n v="489.63"/>
        <n v="1415.48"/>
        <n v="613.16"/>
        <n v="1295.8"/>
        <n v="2040.92"/>
        <n v="1441.97"/>
        <n v="1081.59"/>
        <n v="1901.74"/>
        <n v="231.5"/>
        <n v="1796.72"/>
        <n v="2086.91"/>
        <n v="411.02"/>
        <n v="1064.4"/>
        <n v="1381.5"/>
        <n v="201.31"/>
        <n v="1083.12"/>
        <n v="1969.69"/>
        <n v="2498.64"/>
        <n v="314.84"/>
        <n v="752.58"/>
        <n v="2389.97"/>
        <n v="2374.3"/>
        <n v="532.35"/>
        <n v="1490.14"/>
        <n v="1390.26"/>
        <n v="494.57"/>
        <n v="1582.73"/>
        <n v="812.41"/>
        <n v="432.18"/>
        <n v="1603.02"/>
        <n v="2019.54"/>
        <n v="1896.1"/>
        <n v="226.52"/>
        <n v="2334.37"/>
        <n v="2180.21"/>
        <n v="2439.67"/>
        <n v="1076.71"/>
        <n v="1163.04"/>
        <n v="1701.36"/>
        <n v="1892.73"/>
        <n v="1097.51"/>
        <n v="1362.97"/>
        <n v="1626.83"/>
        <n v="292.99"/>
        <n v="1570.12"/>
        <n v="2174.89"/>
        <n v="1288.12"/>
        <n v="158.82"/>
        <n v="1092.96"/>
        <n v="722.95"/>
        <n v="829.53"/>
        <n v="680.45"/>
        <n v="2351.13"/>
        <n v="792.6"/>
        <n v="741.53"/>
        <n v="72.37"/>
        <n v="242.27"/>
        <n v="2097.38"/>
        <n v="270.83"/>
        <n v="494.09"/>
        <n v="1984.42"/>
        <n v="992.95"/>
        <n v="2230.77"/>
        <n v="1203.25"/>
        <n v="1912.01"/>
        <n v="2049.26"/>
        <n v="1088.33"/>
        <n v="1089.03"/>
        <n v="155.7"/>
        <n v="716.29"/>
        <n v="1922.79"/>
        <n v="1992.15"/>
        <n v="823.08"/>
        <n v="1753.0"/>
        <n v="2145.76"/>
        <n v="1826.03"/>
        <n v="174.28"/>
        <n v="648.35"/>
        <n v="456.65"/>
        <n v="1566.88"/>
        <n v="1880.14"/>
        <n v="2377.34"/>
        <n v="1811.9"/>
        <n v="1160.21"/>
        <n v="1698.28"/>
        <n v="690.26"/>
        <n v="1034.4"/>
        <n v="1868.8"/>
        <n v="1817.8"/>
        <n v="1384.09"/>
        <n v="259.75"/>
        <n v="500.74"/>
        <n v="1113.91"/>
        <n v="2474.36"/>
        <n v="1440.56"/>
        <n v="72.75"/>
        <n v="776.93"/>
        <n v="997.09"/>
        <n v="842.36"/>
        <n v="228.78"/>
        <n v="2382.64"/>
        <n v="1111.98"/>
        <n v="1148.92"/>
        <n v="1279.5"/>
        <n v="424.12"/>
        <n v="1088.66"/>
        <n v="173.36"/>
        <n v="1560.05"/>
        <n v="2114.97"/>
        <n v="1578.34"/>
        <n v="427.92"/>
        <n v="1742.12"/>
        <n v="841.48"/>
        <n v="173.92"/>
        <n v="796.49"/>
        <n v="1420.28"/>
        <n v="1939.56"/>
        <n v="1438.41"/>
        <n v="1423.68"/>
        <n v="419.85"/>
        <n v="877.11"/>
        <n v="2260.99"/>
        <n v="273.01"/>
        <n v="1919.62"/>
        <n v="2077.18"/>
        <n v="304.68"/>
        <n v="1838.04"/>
        <n v="536.87"/>
        <n v="1876.88"/>
      </sharedItems>
    </cacheField>
    <cacheField name="Cantidad" numFmtId="0">
      <sharedItems containsSemiMixedTypes="0" containsString="0" containsNumber="1" containsInteger="1">
        <n v="5.0"/>
        <n v="1.0"/>
        <n v="2.0"/>
        <n v="4.0"/>
        <n v="3.0"/>
      </sharedItems>
    </cacheField>
    <cacheField name="Monto total">
      <sharedItems containsMixedTypes="1" containsNumber="1">
        <n v="2195.05"/>
        <n v="1090.69"/>
        <n v="2349.08"/>
        <n v="5165.52"/>
        <n v="1450.89"/>
        <n v="2682.68"/>
        <n v="3342.3"/>
        <n v="3004.89"/>
        <n v="726.24"/>
        <n v="4821.75"/>
        <n v="120.46"/>
        <n v="1061.61"/>
        <n v="12204.2"/>
        <n v="243.36"/>
        <s v="0"/>
        <n v="2246.48"/>
        <n v="516.28"/>
        <n v="3448.62"/>
        <n v="5780.4"/>
        <n v="4855.29"/>
        <n v="10351.15"/>
        <n v="763.62"/>
        <n v="3290.05"/>
        <n v="650.24"/>
        <n v="6884.88"/>
        <n v="1483.58"/>
        <n v="1468.26"/>
        <n v="4990.12"/>
        <n v="1093.68"/>
        <n v="160.68"/>
        <n v="9190.48"/>
        <n v="2081.56"/>
        <n v="1850.94"/>
        <n v="674.45"/>
        <n v="11571.85"/>
        <n v="787.6"/>
        <n v="1532.2"/>
        <n v="6964.36"/>
        <n v="4233.38"/>
        <n v="2131.04"/>
        <n v="7678.84"/>
        <n v="1800.04"/>
        <n v="2294.28"/>
        <n v="1488.3"/>
        <n v="1529.1"/>
        <n v="11280.2"/>
        <n v="3126.3"/>
        <n v="5799.21"/>
        <n v="434.9"/>
        <n v="7557.12"/>
        <n v="1708.81"/>
        <n v="1524.07"/>
        <n v="1118.76"/>
        <n v="6504.75"/>
        <n v="4412.75"/>
        <n v="1808.04"/>
        <n v="1129.38"/>
        <n v="4746.24"/>
        <n v="835.11"/>
        <n v="3273.78"/>
        <n v="1787.41"/>
        <n v="656.82"/>
        <n v="5385.5"/>
        <n v="9191.12"/>
        <n v="511.8"/>
        <n v="3090.56"/>
        <n v="97.52"/>
        <n v="1634.06"/>
        <n v="2884.16"/>
        <n v="3273.3"/>
        <n v="10571.0"/>
        <n v="1868.2"/>
        <n v="10478.2"/>
        <n v="1687.5"/>
        <n v="5888.37"/>
        <n v="2261.15"/>
        <n v="7455.95"/>
        <n v="1622.48"/>
        <n v="10786.85"/>
        <n v="1250.82"/>
        <n v="4992.54"/>
        <n v="6688.38"/>
        <n v="1114.02"/>
        <n v="9938.64"/>
        <n v="1357.9"/>
        <n v="4743.2"/>
        <n v="9570.6"/>
        <n v="6955.84"/>
        <n v="3755.26"/>
        <n v="7738.55"/>
        <n v="2509.44"/>
        <n v="2087.84"/>
        <n v="4978.62"/>
        <n v="9245.35"/>
        <n v="3871.56"/>
        <n v="785.72"/>
        <n v="9320.1"/>
        <n v="1769.76"/>
        <n v="2276.61"/>
        <n v="979.8"/>
        <n v="1614.05"/>
        <n v="538.74"/>
        <n v="2953.02"/>
        <n v="5825.84"/>
        <n v="1685.08"/>
        <n v="157.06"/>
        <n v="1730.4"/>
        <n v="2158.77"/>
        <n v="5252.2"/>
        <n v="832.25"/>
        <n v="11496.1"/>
        <n v="599.4"/>
        <n v="1481.0"/>
        <n v="1747.28"/>
        <n v="2199.08"/>
        <n v="315.14"/>
        <n v="6602.52"/>
        <n v="1160.28"/>
        <n v="2312.52"/>
        <n v="7006.4"/>
        <n v="4223.04"/>
        <n v="6134.58"/>
        <n v="12127.45"/>
        <n v="1752.92"/>
        <n v="5805.45"/>
        <n v="6451.48"/>
        <n v="5525.1"/>
        <n v="1189.04"/>
        <n v="5385.65"/>
        <n v="4795.35"/>
        <n v="3489.9"/>
        <n v="11061.3"/>
        <n v="443.81"/>
        <n v="2083.1"/>
        <n v="542.22"/>
        <n v="3190.16"/>
        <n v="789.15"/>
        <n v="3288.84"/>
        <n v="1086.48"/>
        <n v="4722.44"/>
        <n v="2378.7"/>
        <n v="10931.25"/>
        <n v="468.12"/>
        <n v="5543.4"/>
        <n v="1912.53"/>
        <n v="4595.0"/>
        <n v="4416.24"/>
        <n v="2707.5"/>
        <n v="4756.59"/>
        <n v="90.89"/>
        <n v="442.7"/>
        <n v="230.59"/>
        <n v="11782.5"/>
        <n v="4061.24"/>
        <n v="539.2"/>
        <n v="7782.68"/>
        <n v="1656.59"/>
        <n v="56.71"/>
        <n v="841.77"/>
        <n v="4267.6"/>
        <n v="851.86"/>
        <n v="3143.64"/>
        <n v="2100.03"/>
        <n v="5727.6"/>
        <n v="4908.1"/>
        <n v="1053.8"/>
        <n v="2141.25"/>
        <n v="5027.3"/>
        <n v="417.08"/>
        <n v="7611.76"/>
        <n v="2317.48"/>
        <n v="1522.98"/>
        <n v="1615.92"/>
        <n v="3047.76"/>
        <n v="7593.28"/>
        <n v="1145.32"/>
        <n v="3731.1"/>
        <n v="1898.54"/>
        <n v="7778.92"/>
        <n v="9780.0"/>
        <n v="5546.85"/>
        <n v="814.63"/>
        <n v="797.71"/>
        <n v="762.46"/>
        <n v="8970.45"/>
        <n v="157.89"/>
        <n v="2569.96"/>
        <n v="798.65"/>
        <n v="6132.76"/>
        <n v="6235.65"/>
        <n v="3976.0"/>
        <n v="7694.24"/>
        <n v="1112.81"/>
        <n v="2281.58"/>
        <n v="10478.3"/>
        <n v="2064.2"/>
        <n v="2286.48"/>
        <n v="4667.44"/>
        <n v="3074.24"/>
        <n v="11122.85"/>
        <n v="8444.6"/>
        <n v="3151.7"/>
        <n v="9305.0"/>
        <n v="188.19"/>
        <n v="6662.4"/>
        <n v="7085.0"/>
        <n v="3154.4"/>
        <n v="1183.88"/>
        <n v="6181.05"/>
        <n v="648.18"/>
        <n v="1050.26"/>
        <n v="2363.34"/>
        <n v="6211.7"/>
        <n v="6630.48"/>
        <n v="2340.72"/>
        <n v="7329.56"/>
        <n v="1027.85"/>
        <n v="2439.5"/>
        <n v="3380.73"/>
        <n v="7801.8"/>
        <n v="5820.54"/>
        <n v="1259.75"/>
        <n v="4136.43"/>
        <n v="6646.89"/>
        <n v="3934.38"/>
        <n v="9583.4"/>
        <n v="3239.68"/>
        <n v="1156.44"/>
        <n v="2124.22"/>
        <n v="784.39"/>
        <n v="1459.53"/>
        <n v="3336.6"/>
        <n v="563.73"/>
        <n v="4418.16"/>
        <n v="1705.71"/>
        <n v="8977.95"/>
        <n v="1767.22"/>
        <n v="7831.8"/>
        <n v="3423.39"/>
        <n v="8070.25"/>
        <n v="3731.16"/>
        <n v="7928.75"/>
        <n v="2982.72"/>
        <n v="2064.08"/>
        <n v="460.41"/>
        <n v="215.96"/>
        <n v="4883.4"/>
        <n v="785.65"/>
        <n v="917.32"/>
        <n v="2691.32"/>
        <n v="5417.43"/>
        <n v="5455.04"/>
        <n v="7028.05"/>
        <n v="302.94"/>
        <n v="1205.76"/>
        <n v="1781.52"/>
        <n v="4948.95"/>
        <n v="3411.03"/>
        <n v="1366.45"/>
        <n v="699.99"/>
        <n v="685.68"/>
        <n v="1277.75"/>
        <n v="3874.8"/>
        <n v="6515.08"/>
        <n v="3735.55"/>
        <n v="2984.65"/>
        <n v="1691.93"/>
        <n v="4086.12"/>
        <n v="3233.28"/>
        <n v="10462.75"/>
        <n v="1571.64"/>
        <n v="8057.32"/>
        <n v="1030.99"/>
        <n v="1974.72"/>
        <n v="2039.46"/>
        <n v="664.21"/>
        <n v="1307.54"/>
        <n v="6846.52"/>
        <n v="5010.33"/>
        <n v="7463.65"/>
        <n v="1853.37"/>
        <n v="6633.78"/>
        <n v="4193.1"/>
        <n v="2678.34"/>
        <n v="4963.4"/>
        <n v="10984.15"/>
        <n v="2686.8"/>
        <n v="6403.05"/>
        <n v="288.64"/>
        <n v="8371.48"/>
        <n v="8156.1"/>
        <n v="4273.16"/>
        <n v="3649.77"/>
        <n v="4896.0"/>
        <n v="7008.84"/>
        <n v="2381.87"/>
        <n v="695.92"/>
        <n v="5961.81"/>
        <n v="2431.35"/>
        <n v="4845.21"/>
        <n v="5856.16"/>
        <n v="1612.96"/>
        <n v="2762.04"/>
        <n v="1497.66"/>
        <n v="1650.53"/>
        <n v="2224.96"/>
        <n v="1465.56"/>
        <n v="4077.2"/>
        <n v="5762.2"/>
        <n v="1955.27"/>
        <n v="9035.7"/>
        <n v="5877.25"/>
        <n v="710.96"/>
        <n v="1220.85"/>
        <n v="7466.96"/>
        <n v="6815.45"/>
        <n v="720.63"/>
        <n v="3439.06"/>
        <n v="12423.7"/>
        <n v="4875.54"/>
        <n v="2108.31"/>
        <n v="1423.95"/>
        <n v="3299.16"/>
        <n v="2465.44"/>
        <n v="3003.9"/>
        <n v="5719.56"/>
        <n v="8314.05"/>
        <n v="379.11"/>
        <n v="2242.24"/>
        <n v="7011.0"/>
        <n v="644.16"/>
        <n v="1017.27"/>
        <n v="8200.7"/>
        <n v="1586.74"/>
        <n v="4308.65"/>
        <n v="11320.75"/>
        <n v="2160.93"/>
        <n v="4862.67"/>
        <n v="3825.66"/>
        <n v="3504.9"/>
        <n v="3845.34"/>
        <n v="4969.83"/>
        <n v="4061.4"/>
        <n v="1299.98"/>
        <n v="204.0"/>
        <n v="1741.05"/>
        <n v="1565.6"/>
        <n v="7181.76"/>
        <n v="3300.32"/>
        <n v="2323.09"/>
        <n v="7592.15"/>
        <n v="8895.75"/>
        <n v="3154.47"/>
        <n v="2029.22"/>
        <n v="8725.0"/>
        <n v="5094.44"/>
        <n v="2723.54"/>
        <n v="3421.04"/>
        <n v="1649.44"/>
        <n v="718.45"/>
        <n v="5709.4"/>
        <n v="1037.43"/>
        <n v="8010.7"/>
        <n v="3594.93"/>
        <n v="1899.27"/>
        <n v="10504.2"/>
        <n v="11318.9"/>
        <n v="1840.11"/>
        <n v="8033.56"/>
        <n v="3622.7"/>
        <n v="9617.45"/>
        <n v="2612.36"/>
        <n v="627.66"/>
        <n v="5973.1"/>
        <n v="507.63"/>
        <n v="2081.9"/>
        <n v="648.92"/>
        <n v="2357.06"/>
        <n v="10982.4"/>
        <n v="4583.46"/>
        <n v="1213.49"/>
        <n v="864.87"/>
        <n v="4026.44"/>
        <n v="4165.11"/>
        <n v="2114.99"/>
        <n v="1627.59"/>
        <n v="2771.08"/>
        <n v="3492.96"/>
        <n v="507.6"/>
        <n v="5287.8"/>
        <n v="4702.65"/>
        <n v="8051.24"/>
        <n v="8404.72"/>
        <n v="10043.9"/>
        <n v="2902.6"/>
        <n v="3874.17"/>
        <n v="3251.73"/>
        <n v="3543.36"/>
        <n v="3331.46"/>
        <n v="1083.6"/>
        <n v="4844.52"/>
        <n v="2522.44"/>
        <n v="2286.92"/>
        <n v="4225.92"/>
        <n v="1464.05"/>
        <n v="2085.29"/>
        <n v="825.16"/>
        <n v="1084.16"/>
        <n v="1770.13"/>
        <n v="4944.0"/>
        <n v="1170.2"/>
        <n v="2418.11"/>
        <n v="6559.32"/>
        <n v="1373.32"/>
        <n v="3301.6"/>
        <n v="3185.2"/>
        <n v="2127.13"/>
        <n v="4019.5"/>
        <n v="2537.76"/>
        <n v="7357.32"/>
        <n v="2301.95"/>
        <n v="796.92"/>
        <n v="2258.32"/>
        <n v="6327.8"/>
        <n v="85.19"/>
        <n v="1468.39"/>
        <n v="1450.82"/>
        <n v="2146.05"/>
        <n v="2172.84"/>
        <n v="1654.16"/>
        <n v="1834.12"/>
        <n v="2148.04"/>
        <n v="3976.26"/>
        <n v="2297.3"/>
        <n v="3728.08"/>
        <n v="1806.33"/>
        <n v="2187.34"/>
        <n v="5578.74"/>
        <n v="612.22"/>
        <n v="1166.65"/>
        <n v="2859.24"/>
        <n v="3577.48"/>
        <n v="8799.28"/>
        <n v="12381.05"/>
        <n v="9044.48"/>
        <n v="1247.08"/>
        <n v="1919.84"/>
        <n v="4621.04"/>
        <n v="1127.84"/>
        <n v="2044.78"/>
        <n v="3055.74"/>
        <n v="7216.44"/>
        <n v="212.73"/>
        <n v="8844.25"/>
        <n v="1339.47"/>
        <n v="833.62"/>
        <n v="7188.75"/>
        <n v="6235.44"/>
        <n v="2585.8"/>
        <n v="3406.94"/>
        <n v="961.8"/>
        <n v="6801.64"/>
        <n v="1842.48"/>
        <n v="3277.35"/>
        <n v="6353.75"/>
        <n v="2334.72"/>
        <n v="3852.54"/>
        <n v="2278.24"/>
        <n v="9040.9"/>
        <n v="6765.87"/>
        <n v="4236.6"/>
        <n v="1528.74"/>
        <n v="2890.7"/>
        <n v="879.78"/>
        <n v="615.75"/>
        <n v="11548.8"/>
        <n v="1540.33"/>
        <n v="5092.0"/>
        <n v="3176.43"/>
        <n v="890.66"/>
        <n v="1261.2"/>
        <n v="6822.96"/>
        <n v="9157.68"/>
        <n v="9124.04"/>
        <n v="1093.69"/>
        <n v="701.55"/>
        <n v="5338.02"/>
        <n v="4471.71"/>
        <n v="6786.52"/>
        <n v="1884.94"/>
        <n v="6194.76"/>
        <n v="6548.31"/>
        <n v="7013.3"/>
        <n v="4840.82"/>
        <n v="10424.45"/>
        <n v="346.08"/>
        <n v="3663.12"/>
        <n v="3799.32"/>
        <n v="591.27"/>
        <n v="6310.0"/>
        <n v="1664.74"/>
        <n v="6078.68"/>
        <n v="9736.0"/>
        <n v="793.75"/>
        <n v="4004.6"/>
        <n v="7463.45"/>
        <n v="3686.64"/>
        <n v="4136.18"/>
        <n v="5646.66"/>
        <n v="4533.42"/>
        <n v="1035.07"/>
        <n v="7833.64"/>
        <n v="1222.82"/>
        <n v="266.32"/>
        <n v="4574.82"/>
        <n v="6931.83"/>
        <n v="6661.1"/>
        <n v="2135.79"/>
        <n v="9344.55"/>
        <n v="8252.52"/>
        <n v="3545.16"/>
        <n v="8898.44"/>
        <n v="1676.72"/>
        <n v="8598.36"/>
        <n v="2128.95"/>
        <n v="4766.84"/>
        <n v="3659.36"/>
        <n v="12099.05"/>
        <n v="8753.15"/>
        <n v="5457.95"/>
        <n v="8731.32"/>
        <n v="1838.54"/>
        <n v="729.5"/>
        <n v="3625.26"/>
        <n v="3981.12"/>
        <n v="1737.45"/>
        <n v="3857.85"/>
        <n v="1346.1"/>
        <n v="7225.8"/>
        <n v="11241.75"/>
        <n v="1634.62"/>
        <n v="4969.3"/>
        <n v="303.3"/>
        <n v="6558.9"/>
        <n v="1484.36"/>
        <n v="1414.97"/>
        <n v="9115.75"/>
        <n v="4474.96"/>
        <n v="3022.16"/>
        <n v="210.37"/>
        <n v="991.02"/>
        <n v="2654.54"/>
        <n v="5509.1"/>
        <n v="1767.16"/>
        <n v="2293.23"/>
        <n v="10744.95"/>
        <n v="8316.1"/>
        <n v="1898.24"/>
        <n v="2277.4"/>
        <n v="6938.1"/>
        <n v="1082.94"/>
        <n v="1603.2"/>
        <n v="5530.11"/>
        <n v="833.39"/>
        <n v="6608.95"/>
        <n v="5144.52"/>
        <n v="5789.64"/>
        <n v="7280.55"/>
        <n v="2572.3"/>
        <n v="12419.35"/>
        <n v="11708.85"/>
        <n v="7499.31"/>
        <n v="3853.62"/>
        <n v="872.68"/>
        <n v="3195.5"/>
        <n v="8684.5"/>
        <n v="6168.48"/>
        <n v="5975.91"/>
        <n v="3079.08"/>
        <n v="869.7"/>
        <n v="4473.4"/>
        <n v="1086.51"/>
        <n v="696.54"/>
        <n v="3652.68"/>
        <n v="303.05"/>
        <n v="2423.13"/>
        <n v="1588.98"/>
        <n v="4777.58"/>
        <n v="3536.98"/>
        <n v="3747.38"/>
        <n v="1505.12"/>
        <n v="619.4"/>
        <n v="3338.52"/>
        <n v="844.32"/>
        <n v="518.45"/>
        <n v="5688.85"/>
        <n v="2009.76"/>
        <n v="3021.52"/>
        <n v="1149.92"/>
        <n v="3233.92"/>
        <n v="907.55"/>
        <n v="4493.3"/>
        <n v="5146.1"/>
        <n v="3426.36"/>
        <n v="1375.85"/>
        <n v="5074.36"/>
        <n v="633.29"/>
        <n v="2656.76"/>
        <n v="2198.02"/>
        <n v="5625.28"/>
        <n v="843.18"/>
        <n v="4643.44"/>
        <n v="680.62"/>
        <n v="7664.44"/>
        <n v="4851.9"/>
        <n v="378.98"/>
        <n v="10140.6"/>
        <n v="1976.88"/>
        <n v="3665.94"/>
        <n v="2654.7"/>
        <n v="9019.64"/>
        <n v="127.35"/>
        <n v="2929.08"/>
        <n v="4127.92"/>
        <n v="11359.9"/>
        <n v="627.26"/>
        <n v="2391.72"/>
        <n v="956.28"/>
        <n v="5501.76"/>
        <n v="2441.25"/>
        <n v="3857.52"/>
        <n v="2457.48"/>
        <n v="9539.44"/>
        <n v="2332.8"/>
        <n v="6259.84"/>
        <n v="6374.0"/>
        <n v="724.64"/>
        <n v="552.65"/>
        <n v="5041.4"/>
        <n v="8790.8"/>
        <n v="1097.34"/>
        <n v="1328.36"/>
        <n v="5814.4"/>
        <n v="10956.2"/>
        <n v="4202.96"/>
        <n v="9845.8"/>
        <n v="9862.15"/>
        <n v="1074.3"/>
        <n v="795.0"/>
        <n v="1673.73"/>
        <n v="4187.85"/>
        <n v="10701.65"/>
        <n v="4334.42"/>
        <n v="276.58"/>
        <n v="6186.75"/>
        <n v="9375.24"/>
        <n v="4192.47"/>
        <n v="5796.6"/>
        <n v="6870.68"/>
        <n v="1223.98"/>
        <n v="1865.37"/>
        <n v="1285.9"/>
        <n v="1237.66"/>
        <n v="1172.2"/>
        <n v="4285.64"/>
        <n v="5417.25"/>
        <n v="1854.62"/>
        <n v="9569.08"/>
        <n v="878.72"/>
        <n v="563.11"/>
        <n v="6808.53"/>
        <n v="898.98"/>
        <n v="8557.68"/>
        <n v="4656.64"/>
        <n v="11014.35"/>
        <n v="773.7"/>
        <n v="7383.78"/>
        <n v="469.22"/>
        <n v="499.69"/>
        <n v="4986.9"/>
        <n v="1532.34"/>
        <n v="664.32"/>
        <n v="2355.82"/>
        <n v="4201.18"/>
        <n v="908.52"/>
        <n v="4863.6"/>
        <n v="2488.53"/>
        <n v="1079.32"/>
        <n v="5686.28"/>
        <n v="628.42"/>
        <n v="8111.24"/>
        <n v="685.28"/>
        <n v="1518.0"/>
        <n v="778.63"/>
        <n v="10100.05"/>
        <n v="2288.18"/>
        <n v="361.47"/>
        <n v="339.04"/>
        <n v="3492.56"/>
        <n v="4007.84"/>
        <n v="2332.13"/>
        <n v="9590.2"/>
        <n v="935.4"/>
        <n v="4004.55"/>
        <n v="5645.0"/>
        <n v="4798.96"/>
        <n v="3816.05"/>
        <n v="4247.6"/>
        <n v="9316.12"/>
        <n v="1249.46"/>
        <n v="3811.02"/>
        <n v="5759.25"/>
        <n v="428.56"/>
        <n v="6688.52"/>
        <n v="6563.45"/>
        <n v="2613.92"/>
        <n v="494.61"/>
        <n v="4611.12"/>
        <n v="6631.02"/>
        <n v="2250.96"/>
        <n v="426.42"/>
        <n v="266.92"/>
        <n v="2043.5"/>
        <n v="3100.25"/>
        <n v="6352.56"/>
        <n v="1897.3"/>
        <n v="495.86"/>
        <n v="1010.17"/>
        <n v="2908.11"/>
        <n v="100.75"/>
        <n v="8970.56"/>
        <n v="774.69"/>
        <n v="1071.5"/>
        <n v="1318.47"/>
        <n v="3423.76"/>
        <n v="7025.28"/>
        <n v="6430.11"/>
        <n v="3845.05"/>
        <n v="1347.85"/>
        <n v="8740.16"/>
        <n v="11259.6"/>
        <n v="1320.4"/>
        <n v="3995.43"/>
        <n v="10577.7"/>
        <n v="9645.12"/>
        <n v="2598.4"/>
        <n v="911.7"/>
        <n v="6678.88"/>
        <n v="8897.68"/>
        <n v="4128.0"/>
        <n v="2387.49"/>
        <n v="1898.36"/>
        <n v="9755.0"/>
        <n v="7276.65"/>
        <n v="4428.38"/>
        <n v="1165.81"/>
        <n v="4206.54"/>
        <n v="6596.44"/>
        <n v="4593.69"/>
        <n v="742.02"/>
        <n v="2471.65"/>
        <n v="2924.08"/>
        <n v="11019.65"/>
        <n v="3713.2"/>
        <n v="6006.63"/>
        <n v="1284.06"/>
        <n v="6481.95"/>
        <n v="12363.05"/>
        <n v="6262.35"/>
        <n v="130.05"/>
        <n v="9500.05"/>
        <n v="1344.3"/>
        <n v="4340.78"/>
        <n v="806.96"/>
        <n v="8691.16"/>
        <n v="4464.4"/>
        <n v="1389.51"/>
        <n v="944.98"/>
        <n v="2545.26"/>
        <n v="303.84"/>
        <n v="3423.5"/>
        <n v="5630.22"/>
        <n v="1770.14"/>
        <n v="1630.96"/>
        <n v="3944.32"/>
        <n v="1292.44"/>
        <n v="4481.08"/>
        <n v="3782.7"/>
        <n v="2160.76"/>
        <n v="1254.96"/>
        <n v="3112.92"/>
        <n v="3819.21"/>
        <n v="12152.15"/>
        <n v="4815.72"/>
        <n v="9635.4"/>
        <n v="12134.35"/>
        <n v="5546.94"/>
        <n v="2873.04"/>
        <n v="904.01"/>
        <n v="1723.45"/>
        <n v="1564.37"/>
        <n v="10158.95"/>
        <n v="5595.85"/>
        <n v="1031.51"/>
        <n v="3502.75"/>
        <n v="4276.5"/>
        <n v="8020.1"/>
        <n v="2856.72"/>
        <n v="10907.8"/>
        <n v="2083.24"/>
        <n v="1758.08"/>
        <n v="6426.96"/>
        <n v="9768.92"/>
        <n v="1848.44"/>
        <n v="2603.13"/>
        <n v="5381.82"/>
        <n v="4136.68"/>
        <n v="12348.75"/>
        <n v="2537.82"/>
        <n v="2455.83"/>
        <n v="2504.6"/>
        <n v="8990.28"/>
        <n v="6569.73"/>
        <n v="2144.75"/>
        <n v="4927.11"/>
        <n v="2005.24"/>
        <n v="1944.02"/>
        <n v="215.41"/>
        <n v="9324.44"/>
        <n v="9831.9"/>
        <n v="2993.28"/>
        <n v="8969.88"/>
        <n v="7538.45"/>
        <n v="3682.84"/>
        <n v="421.74"/>
        <n v="4151.82"/>
        <n v="806.78"/>
        <n v="6462.05"/>
        <n v="3967.42"/>
        <n v="11954.2"/>
        <n v="1943.33"/>
        <n v="2874.76"/>
        <n v="1979.07"/>
        <n v="9271.76"/>
        <n v="2795.6"/>
        <n v="4870.3"/>
        <n v="2086.06"/>
        <n v="3616.3"/>
        <n v="5650.15"/>
        <n v="2710.23"/>
        <n v="1138.92"/>
        <n v="554.25"/>
        <n v="1832.19"/>
        <n v="4457.22"/>
        <n v="6797.28"/>
        <n v="7122.76"/>
        <n v="2423.4"/>
        <n v="2919.0"/>
        <n v="1738.62"/>
        <n v="8077.15"/>
        <n v="489.63"/>
        <n v="1415.48"/>
        <n v="613.16"/>
        <n v="1295.8"/>
        <n v="2040.92"/>
        <n v="4325.91"/>
        <n v="3244.77"/>
        <n v="7606.96"/>
        <n v="231.5"/>
        <n v="2897.12"/>
        <n v="7186.88"/>
        <n v="10434.55"/>
        <n v="411.02"/>
        <n v="3193.2"/>
        <n v="6907.5"/>
        <n v="1006.55"/>
        <n v="1083.12"/>
        <n v="7878.76"/>
        <n v="4997.28"/>
        <n v="314.84"/>
        <n v="1505.16"/>
        <n v="7169.91"/>
        <n v="2374.3"/>
        <n v="1597.05"/>
        <n v="1490.14"/>
        <n v="1390.26"/>
        <n v="494.57"/>
        <n v="3165.46"/>
        <n v="4062.05"/>
        <n v="432.18"/>
        <n v="6412.08"/>
        <n v="6058.62"/>
        <n v="3792.2"/>
        <n v="453.04"/>
        <n v="2334.37"/>
        <n v="6540.63"/>
        <n v="4879.34"/>
        <n v="3230.13"/>
        <n v="1163.04"/>
        <n v="5104.08"/>
        <n v="9463.65"/>
        <n v="1097.51"/>
        <n v="1362.97"/>
        <n v="1626.83"/>
        <n v="292.99"/>
        <n v="4710.36"/>
        <n v="4349.78"/>
        <n v="1288.12"/>
        <n v="317.64"/>
        <n v="4371.84"/>
        <n v="2168.85"/>
        <n v="3318.12"/>
        <n v="2721.8"/>
        <n v="2351.13"/>
        <n v="3963.0"/>
        <n v="2224.59"/>
        <n v="289.48"/>
        <n v="242.27"/>
        <n v="4194.76"/>
        <n v="812.49"/>
        <n v="1976.36"/>
        <n v="7937.68"/>
        <n v="2978.85"/>
        <n v="11153.85"/>
        <n v="4813.0"/>
        <n v="7648.04"/>
        <n v="10246.3"/>
        <n v="4353.32"/>
        <n v="5445.15"/>
        <n v="778.5"/>
        <n v="716.29"/>
        <n v="5768.37"/>
        <n v="3984.3"/>
        <n v="3292.32"/>
        <n v="8765.0"/>
        <n v="10728.8"/>
        <n v="3652.06"/>
        <n v="174.28"/>
        <n v="3241.75"/>
        <n v="913.3"/>
        <n v="4700.64"/>
        <n v="1880.14"/>
        <n v="4754.68"/>
        <n v="1811.9"/>
        <n v="2320.42"/>
        <n v="3716.95"/>
        <n v="5094.84"/>
        <n v="2761.04"/>
        <n v="1034.4"/>
        <n v="3737.6"/>
        <n v="5453.4"/>
        <n v="2768.18"/>
        <n v="1039.0"/>
        <n v="2002.96"/>
        <n v="2227.82"/>
        <n v="4948.72"/>
        <n v="1440.56"/>
        <n v="218.25"/>
        <n v="776.93"/>
        <n v="1994.18"/>
        <n v="4211.8"/>
        <n v="228.78"/>
        <n v="9530.56"/>
        <n v="4447.92"/>
        <n v="4595.68"/>
        <n v="2559.0"/>
        <n v="848.24"/>
        <n v="4354.64"/>
        <n v="4429.96"/>
        <n v="346.72"/>
        <n v="1560.05"/>
        <n v="2114.97"/>
        <n v="4735.02"/>
        <n v="855.84"/>
        <n v="6968.48"/>
        <n v="1682.96"/>
        <n v="521.76"/>
        <n v="2389.47"/>
        <n v="7409.25"/>
        <n v="5681.12"/>
        <n v="9697.8"/>
        <n v="5753.64"/>
        <n v="1423.68"/>
        <n v="419.85"/>
        <n v="877.11"/>
        <n v="4521.98"/>
        <n v="273.01"/>
        <n v="3839.24"/>
        <n v="8308.72"/>
        <n v="1523.4"/>
        <n v="7352.16"/>
        <n v="536.87"/>
        <n v="7507.52"/>
      </sharedItems>
    </cacheField>
    <cacheField name="Cliente" numFmtId="0">
      <sharedItems>
        <s v="Sandra Báez"/>
        <s v="Mariano Leticia Palomino"/>
        <s v="Gregorio Gaytán"/>
        <s v="Alejandra Araceli Gutiérrez"/>
        <s v="Miguel Ángel Mondragón Benavídez"/>
        <s v="Gabino Conchita Bueno"/>
        <s v="Karla Pineda Arriaga"/>
        <s v="Rolando Mares"/>
        <s v="Virginia Mondragón"/>
        <s v="Luis Manuel Aldonza Contreras"/>
        <s v="Indira Guadalupe Montez Alcaraz"/>
        <s v="Luz De La Garza"/>
        <s v="Karla Mateo"/>
        <s v="Abril Julio Tórrez Segovia"/>
        <s v="Esteban Curiel"/>
        <s v="Hilda Mónica Acuña Zedillo"/>
        <s v="Iván Sanches Vallejo"/>
        <s v="Alejandra Roldán"/>
        <s v="Lorenzo Wendolin Méndez Gollum"/>
        <s v="Catalina Adela Galarza Camacho"/>
        <s v="Aldo Rodrígez"/>
        <s v="Carlota Aguayo"/>
        <s v="Aurora Amador Mendoza Prieto"/>
        <s v="Gabino Rubén Menéndez"/>
        <s v="Roberto María Cristina Madera Alejandro"/>
        <s v="Uriel Helena Caldera"/>
        <s v="Mónica Cortez"/>
        <s v="Trinidad Badillo"/>
        <s v="Noemí Julia Zepeda"/>
        <s v="Armando Ricardo Durán"/>
        <s v="Asunción Rebeca Rivero"/>
        <s v="Ruby Virginia Salcido"/>
        <s v="Blanca Ordóñez Matos"/>
        <s v="María José Jacobo Perales Ortiz"/>
        <s v="Rosalia Alcántar"/>
        <s v="Emilio Almaraz"/>
        <s v="Darío Martín Tovar"/>
        <s v="Nadia Ana María Merino Arteaga"/>
        <s v="Uriel Montes Contreras"/>
        <s v="Serafín Samuel Tamayo Báez"/>
        <s v="José Manuél Torres"/>
        <s v="Daniel Carlota Arredondo Linares"/>
        <s v="Hilda Razo Lerma"/>
        <s v="Mauricio Oquendo Bustos"/>
        <s v="Amalia Guillermina Ozuna Santana"/>
        <s v="Gabino Barrera Quiroz"/>
        <s v="Alonso Lucero"/>
        <s v="Zeferino Clara Ureña Ramos"/>
        <s v="Magdalena Morales"/>
        <s v="María Cristina Raquel Carranza Orosco"/>
        <s v="Jorge Luis Baca"/>
        <s v="Abelardo Héctor Brito Solorzano"/>
        <s v="Pilar Luisa Bonilla Garrido"/>
        <s v="Fernando Márquez Almaraz"/>
        <s v="Verónica Wendolin Terán"/>
        <s v="Ricardo Coronado"/>
        <s v="Virginia Aldonza Zamora Longoria"/>
        <s v="Alonso Paola Rocha"/>
        <s v="Aida Marrero"/>
        <s v="César Verduzco"/>
        <s v="Rodrigo Yeni Avilés"/>
        <s v="Cynthia Aguilera Figueroa"/>
        <s v="Omar Casares Benavídez"/>
        <s v="Mario Cortés"/>
        <s v="Delia Rosario"/>
        <s v="Citlali Jorge Gastélum"/>
        <s v="Mateo Salazar"/>
        <s v="Emilia Fajardo"/>
        <s v="Leonel Salcido"/>
        <s v="René Rafaél Rocha"/>
        <s v="Gonzalo Rascón"/>
        <s v="Patricio Palomino"/>
        <s v="Roberto Mateo Hurtado León"/>
        <s v="Agustín Sandoval"/>
        <s v="Silvano Villanueva Alcaraz"/>
        <s v="Gonzalo Cortés Nieto"/>
        <s v="Marco Antonio Mercado Henríquez"/>
        <s v="Elias Sotelo Espinal"/>
        <s v="Ángel Dávila"/>
        <s v="Alejandra Delgadillo"/>
        <s v="Arturo Haro Varela"/>
        <s v="Asunción Samaniego"/>
        <s v="Paola Leyva Maestas"/>
        <s v="René Luna Pineda"/>
        <s v="Israel De Anda Rodríguez"/>
        <s v="Benito Carla Cano Olvera"/>
        <s v="Timoteo Abelardo Urías Niño"/>
        <s v="Julia Gonzalo Armendáriz"/>
        <s v="Carlota Julio De Jess"/>
        <s v="Abelardo Cynthia Crespo"/>
        <s v="Susana Juárez"/>
        <s v="Claudio Laura Corona Cordero"/>
        <s v="Anabel Gonzalo Pedroza"/>
        <s v="Amanda Prado"/>
        <s v="Camila Montemayor"/>
        <s v="Marcela Guzmán"/>
        <s v="Bruno Samuel Acosta Rascón"/>
        <s v="Pamela Rolando Ayala"/>
        <s v="Bernabé Zaragoza"/>
        <s v="Yuridia Rubén Armendáriz"/>
        <s v="Verónica Francisca Tafoya"/>
        <s v="Aurora Esteban Sisneros Centeno"/>
        <s v="Alonso Abreu"/>
        <s v="Wendolin Jerónimo Farías"/>
        <s v="Modesto Rufino Mares Negrón"/>
        <s v="Mitzy De La Rosa"/>
        <s v="Mario Fidel Laureano Castro"/>
        <s v="Vicente Israel Cortés"/>
        <s v="Lorenzo Minerva Ocampo Aguilar"/>
        <s v="Cristian Jacinto Ornelas"/>
        <s v="Noelia León Sanches"/>
        <s v="Manuel Tórrez"/>
        <s v="Yeni Indira Loya"/>
        <s v="Francisca Lucas Jaimes Zavala"/>
        <s v="Esteban Violeta Loya"/>
        <s v="Martha Tamayo Niño"/>
        <s v="Ernesto Rendón"/>
        <s v="Gustavo Bernardo Briseño Marín"/>
        <s v="Benjamín Alejandra Zapata Zamudio"/>
        <s v="Gerardo Sauceda"/>
        <s v="Conchita Nazario"/>
        <s v="Vanesa Valverde"/>
        <s v="Rosario Leticia Calderón Mota"/>
        <s v="Jerónimo Nava"/>
        <s v="Ricardo Eugenio Meza"/>
        <s v="Aurora Zamudio"/>
        <s v="Aldonza Hernán Sosa"/>
        <s v="Dalia Crespo"/>
        <s v="Rodrigo Aldonza Polanco"/>
        <s v="Minerva Lorena Santana Botello"/>
        <s v="Marisol Espinosa Briones"/>
        <s v="Frida Arroyo Zepeda"/>
        <s v="Cristian Ofelia Urbina Murillo"/>
        <s v="Oswaldo Trujillo Tórrez"/>
        <s v="Federico Guillermina Vargas"/>
        <s v="María José Zeferino Avilés Zarate"/>
        <s v="Horacio Moya Noriega"/>
        <s v="Abel Teresa Zñiga"/>
        <s v="Israel Amaya"/>
        <s v="Cristal Luis Manuel Sánchez"/>
        <s v="Rosario Centeno Rosario"/>
        <s v="Jos Vega"/>
        <s v="Cristina Barbara De La Rosa"/>
        <s v="Ariadna Rosas Altamirano"/>
        <s v="Andrea Almaraz Barajas"/>
        <s v="Arcelia Nieves"/>
        <s v="Verónica De León Covarrubias"/>
        <s v="Benjamín Marcela Lucero"/>
        <s v="Estefanía Piña"/>
        <s v="Teodoro Nieves Burgos"/>
        <s v="José Emilio Herrera Sanabria"/>
        <s v="Aldonza Morales Piña"/>
        <s v="Nancy Mauro Ibarra Lucio"/>
        <s v="Abel Véliz"/>
        <s v="Paola Zarate"/>
        <s v="Socorro Aida Moya Amaya"/>
        <s v="Gerardo Mónica Cornejo Collado"/>
        <s v="Liliana Puente"/>
        <s v="Gilberto Arellano Lozano"/>
        <s v="Cristina Valentín Castillo"/>
        <s v="Cristina Miguel Madrid"/>
        <s v="Alfredo Ozuna"/>
        <s v="Héctor Luevano"/>
        <s v="Jaime Gómez"/>
        <s v="Sandra Marisol Vergara"/>
        <s v="Julio César Fernando Cordero"/>
        <s v="Abril Ríos"/>
        <s v="Alfredo Cintrón"/>
        <s v="Hernán Rael"/>
        <s v="Cristobal Germán Razo Montenegro"/>
        <s v="Laura Báez"/>
        <s v="Elsa Alonso Rivera"/>
        <s v="Jerónimo Julia Peralta"/>
        <s v="Olivia Cristobal Oquendo Nieves"/>
        <s v="Wilfrido Evelio Marrero Sotelo"/>
        <s v="Daniela Padrón"/>
        <s v="Andrea Altamirano"/>
        <s v="Norma Celia Leiva Bañuelos"/>
        <s v="Esparta Gracia"/>
        <s v="Jos Mariana Cano"/>
        <s v="Nadia Fernando Guerra Arroyo"/>
        <s v="Berta Tania Méndez Lebrón"/>
        <s v="Germán Crespo Leyva"/>
        <s v="Esmeralda Bañuelos"/>
        <s v="Concepción Isabel Becerra Del Valle"/>
        <s v="Miguel Luis Girón Montañez"/>
        <s v="David Prado"/>
        <s v="Jos Venegas"/>
        <s v="Antonio Juana Soria"/>
        <s v="Rufino Lucero Urrutia"/>
        <s v="Jaqueline Velásquez Hidalgo"/>
        <s v="Abigail Mayorga"/>
        <s v="Indira Eric Rentería Velázquez"/>
        <s v="Leonor Cristina Concepción"/>
        <s v="Ángela Navarro"/>
        <s v="Mateo Ral Sosa Arreola"/>
        <s v="Irene Domínguez"/>
        <s v="Jess Jimínez"/>
        <s v="Elias Dulce Figueroa"/>
        <s v="Adán Perla Orosco"/>
        <s v="Eric Lorenzo Raya"/>
        <s v="Abraham Loera Mondragón"/>
        <s v="Vicente Ureña"/>
        <s v="Caridad Ojeda"/>
        <s v="Zoé Claudia Barraza Cornejo"/>
        <s v="Elisa Soria"/>
        <s v="Margarita Olivas"/>
        <s v="Paulina Peres Carmona"/>
        <s v="Blanca Galarza"/>
        <s v="Eloy Godoy Del Río"/>
        <s v="Ana María Verdugo Pichardo"/>
        <s v="Diana Garza Alfaro"/>
        <s v="María José Noriega"/>
        <s v="Timoteo Cynthia Cordero"/>
        <s v="César Barrera Orta"/>
        <s v="Jacobo Adán Aparicio Tejada"/>
        <s v="Clemente Irene Carrera"/>
        <s v="José Carlos Soledad Osorio Rodrígez"/>
        <s v="Salma Andrés Montañez"/>
        <s v="Isabela Amador"/>
        <s v="Cristal De La O Tovar"/>
        <s v="Angélica Bueno Olvera"/>
        <s v="Salvador Berríos Preciado"/>
        <s v="Blanca Gabriela Arenas"/>
        <s v="Arcelia Victoria Ferrer"/>
        <s v="María Cristina Valdivia Mondragón"/>
        <s v="Luis Miguel Lerma"/>
        <s v="Diego Fernández"/>
        <s v="Luisa Domínguez Ocampo"/>
        <s v="Victoria Cabrera Armenta"/>
        <s v="Germán Corral"/>
        <s v="Liliana Altamirano Solano"/>
        <s v="Ana Luisa Araceli De La Crz"/>
        <s v="Blanca Alfaro"/>
        <s v="Cornelio José Manuél Ureña Cazares"/>
        <s v="Ariadna De Jess"/>
        <s v="Natividad Fernando Gastélum"/>
        <s v="Armando Carreón"/>
        <s v="Dolores Jess Quiñónez Lebrón"/>
        <s v="Isabela Mario Vigil Colunga"/>
        <s v="Paulina Cornejo"/>
        <s v="Wilfrido Jorge Portillo Roque"/>
        <s v="Agustín Montemayor Escobedo"/>
        <s v="Rocío José Luis Villareal Vargas"/>
        <s v="Víctor Anguiano"/>
        <s v="Ernesto Quezada"/>
        <s v="Gilberto Hernán Murillo"/>
        <s v="Perla Villaseñor Holguín"/>
        <s v="Carolina Clara Cotto"/>
        <s v="Tania José Salcedo"/>
        <s v="Cristina Gamez"/>
        <s v="Ernesto De La Fuente Lozano"/>
        <s v="Abraham Guillen"/>
        <s v="Eloisa Ballesteros"/>
        <s v="Hugo Orellana Aguilera"/>
        <s v="Fernando Calderón"/>
        <s v="Jorge Luis Blanca Regalado Mora"/>
        <s v="Gerardo Elisa Franco"/>
        <s v="Beatriz Virginia Duarte Flores"/>
        <s v="Arturo Barraza"/>
        <s v="Nicolás Martín Báez"/>
        <s v="Yuridia Nayeli Armas Aragón"/>
        <s v="Esteban José Emilio Polanco Valentín"/>
        <s v="Karina Jerónimo Pérez Mojica"/>
        <s v="Inés Griego Lemus"/>
        <s v="Fabiola Angélica Bravo"/>
        <s v="Nadia Pérez Medina"/>
        <s v="Ignacio Leonor Guajardo"/>
        <s v="Zeferino Oquendo"/>
        <s v="Hernán Samuel Colón"/>
        <s v="Evelio Luz Herrera Melgar"/>
        <s v="Eloisa Octavio Quintero"/>
        <s v="Roberto Casárez Lozada"/>
        <s v="Cynthia Oswaldo Olvera"/>
        <s v="Iván Fuentes Fierro"/>
        <s v="Vanesa Bustos"/>
        <s v="Patricia Candelaria Ramón"/>
        <s v="Evelio Rosario"/>
        <s v="Silvano Alvaro Enríquez Pineda"/>
        <s v="Uriel José María Mercado"/>
        <s v="María José Carrera"/>
        <s v="Genaro Paz"/>
        <s v="Eva Julio Corrales"/>
        <s v="Ana María Cruz Montero"/>
        <s v="Nicolás Guevara"/>
        <s v="Araceli Ulloa Blanco"/>
        <s v="Rebeca Salvador Gamez García"/>
        <s v="Marcela Páez"/>
        <s v="Frida Alba"/>
        <s v="Guillermina Otero"/>
        <s v="Elena Zepeda"/>
        <s v="Karina Nñez"/>
        <s v="Reynaldo Darío Rivas"/>
        <s v="Carmen Colunga"/>
        <s v="Federico Alfaro"/>
        <s v="Andrea Ríos"/>
        <s v="Eugenia Zambrano Casas"/>
        <s v="José Luis Ana María Robledo Cortés"/>
        <s v="Julio César Collazo"/>
        <s v="Jorge Alva"/>
        <s v="Norma Gastélum Estévez"/>
        <s v="Rsula Guardado"/>
        <s v="Patricio Citlali Rico Jurado"/>
        <s v="Marisol Verónica Velásquez"/>
        <s v="José Luis Alarcón"/>
        <s v="Jerónimo Evelio Serrano Almonte"/>
        <s v="César Fabiola Palacios"/>
        <s v="Julio Fuentes"/>
        <s v="Aurelio Lemus"/>
        <s v="Héctor José Luis Vaca"/>
        <s v="Aldo Fonseca"/>
        <s v="Abraham Girón"/>
        <s v="Cristal Leticia Varela Soliz"/>
        <s v="Octavio Santacruz Lucero"/>
        <s v="Abel Salcedo"/>
        <s v="Abraham Israel Cortés Gaitán"/>
        <s v="Amador Scar Orellana"/>
        <s v="Lourdes Godoy Niño"/>
        <s v="Germán León"/>
        <s v="Sergio Hugo Benavídez García"/>
        <s v="Alejandro Rodrigo Guillen Paredes"/>
        <s v="Daniel Campos"/>
        <s v="Carla Nevárez"/>
        <s v="Armando Mónica Reyna"/>
        <s v="Alta Gracia Alicia Guzmán"/>
        <s v="Marcos Alba Becerra"/>
        <s v="Georgina Preciado"/>
        <s v="Yuridia Riojas Cotto"/>
        <s v="Luis Manuel Ilse Apodaca"/>
        <s v="Karla Berríos"/>
        <s v="Esther Durán"/>
        <s v="Camilo Terrazas Merino"/>
        <s v="Jacobo Centeno Velázquez"/>
        <s v="Pedro Zapata"/>
        <s v="Dalia Sosa"/>
        <s v="Gilberto Mascareñas"/>
        <s v="Diego Valdez"/>
        <s v="Inés Meza Campos"/>
        <s v="Abel Emilio Robledo"/>
        <s v="Judith José Eduardo Zaragoza"/>
        <s v="Elsa Alonso Almanza"/>
        <s v="Isabel Quiroz"/>
        <s v="Ramón Godoy"/>
        <s v="Santiago Perla Carrero"/>
        <s v="Eduardo Benavídez Leal"/>
        <s v="Pamela Dalia Hinojosa"/>
        <s v="Caridad Alvarado"/>
        <s v="Bruno Miranda"/>
        <s v="Mariana Jerónimo Partida Tejeda"/>
        <s v="Patricio Narváez Holguín"/>
        <s v="José Benavídez"/>
        <s v="Marcela Augusto Baca"/>
        <s v="Ivonne Olivia Cazares"/>
        <s v="Omar Alicia Mendoza Barrientos"/>
        <s v="Esperanza Domínguez"/>
        <s v="Salvador Bahena"/>
        <s v="Marisol Lucio Perea"/>
        <s v="Celia Madrid"/>
        <s v="Sonia Nancy Burgos"/>
        <s v="Ernesto Cavazos"/>
        <s v="Samuel Alonzo"/>
        <s v="Rafaél Gerardo Serrato"/>
        <s v="Trinidad Holguín Bustamante"/>
        <s v="Rosa Godínez"/>
        <s v="Alvaro Ontiveros"/>
        <s v="Ángel Bruno Peña Ulibarri"/>
        <s v="Cecilia Abelardo Soto Quintana"/>
        <s v="Alma Paola Godoy"/>
        <s v="Marisol Mota"/>
        <s v="Carlota Tórrez"/>
        <s v="Pamela Homero Arreola Godoy"/>
        <s v="Bianca Mayorga"/>
        <s v="Horacio Emilio Espinosa Padrón"/>
        <s v="Israel Paredes"/>
        <s v="Ignacio Guzmán Borrego"/>
        <s v="Margarita Guadalupe Ceja"/>
        <s v="Uriel Tafoya Lucio"/>
        <s v="Salma Vega"/>
        <s v="Hermelinda Clemente Sisneros"/>
        <s v="Esperanza Victoria Rendón"/>
        <s v="Israel Barragán"/>
        <s v="Bernabé Colunga Cordero"/>
        <s v="Agustín Dalia Rojo"/>
        <s v="Salma Rosas Pedroza"/>
        <s v="Jaime Esmeralda Márquez Ayala"/>
        <s v="Paulina Garibay Gracia"/>
        <s v="Zeferino León"/>
        <s v="Concepción Colunga"/>
        <s v="Pedro Jasso"/>
        <s v="Blanca Juan Carlos Sisneros"/>
        <s v="María Cristina Bernal"/>
        <s v="Olga Evelio Solorio"/>
        <s v="Patricia Feliciano"/>
        <s v="Diego Benito Ramos Galván"/>
        <s v="David Valencia"/>
        <s v="Elena Guardado Enríquez"/>
        <s v="Wendolin Elvia Osorio Gallardo"/>
        <s v="Francisco Javier Blanca Serrato"/>
        <s v="Violeta Celia Valverde"/>
        <s v="Salma De La Garza"/>
        <s v="Ofelia Francisco Javier Rojas"/>
        <s v="Miguel Mariana Murillo Carrera"/>
        <s v="Lorenzo Collado Gastélum"/>
        <s v="Guadalupe Vanesa Navarro"/>
        <s v="Fidel Celia Roque Vallejo"/>
        <s v="Lilia Bétancourt Parra"/>
        <s v="Alma Galván"/>
        <s v="Marisela Preciado"/>
        <s v="José Manuél Lebrón Peralta"/>
        <s v="Eugenio Juana Orta Chapa"/>
        <s v="José Eduardo Conchita Barrientos Pulido"/>
        <s v="Jaqueline Dávila"/>
        <s v="Fabiola Tamayo"/>
        <s v="Mauricio José Luis Arroyo Mascareñas"/>
        <s v="Eva Rivas Gallardo"/>
        <s v="Luisa Gilberto Trujillo"/>
        <s v="Sessa Barragán"/>
        <s v="Amanda Báez"/>
        <s v="Ilse Lozada"/>
        <s v="Elsa Prieto"/>
        <s v="Zacarías Galván"/>
        <s v="Santiago Montenegro"/>
        <s v="Amador Juan Tafoya Hinojosa"/>
        <s v="Francisco Valdés Becerra"/>
        <s v="Sergio Velásquez"/>
        <s v="Rodolfo Magaña"/>
        <s v="Claudio Anguiano Suárez"/>
        <s v="Pedro Liver De La Rosa"/>
        <s v="Octavio Madrid Acevedo"/>
        <s v="Estela Tijerina"/>
        <s v="Dulce María Amador"/>
        <s v="Alfonso Alejandra Aguilera"/>
        <s v="Octavio Briseño Corrales"/>
        <s v="Benjamín Octavio Gaona"/>
        <s v="Mariana Urbina"/>
        <s v="Elias María Elena Arenas Ocasio"/>
        <s v="Isabela Magdalena Mascareñas López"/>
        <s v="Rubén Irizarry Roldán"/>
        <s v="Lorenzo Zaragoza"/>
        <s v="Vanesa Carrera"/>
        <s v="Aurora Armenta"/>
        <s v="Patricio Puga"/>
        <s v="Ana Alvarado Zambrano"/>
        <s v="Leticia Alba"/>
        <s v="Daniel Leyva"/>
        <s v="Gabino María Eugenia García"/>
        <s v="Aurelio Sanabria"/>
        <s v="Natalia Carmen Madrid"/>
        <s v="José Manuél Candelaria"/>
        <s v="Carmen Elvira Medina"/>
        <s v="Hernán Angulo Ulibarri"/>
        <s v="Bruno Hernán Rivero"/>
        <s v="Lucas Barela"/>
        <s v="Sessa Blanco"/>
        <s v="Guillermo Merino"/>
        <s v="Omar Nelly Gamboa"/>
        <s v="Norma Ávila"/>
        <s v="Barbara Urrutia Palacios"/>
        <s v="Esperanza Pablo Villa Segovia"/>
        <s v="Zacarías Padrón"/>
        <s v="Victoria Gurule"/>
        <s v="María Luisa Roberto Holguín Zelaya"/>
        <s v="Tomás Cabrera Tijerina"/>
        <s v="César Burgos Flórez"/>
        <s v="Eric Bonilla"/>
        <s v="Mónica Montañez"/>
        <s v="María Díaz"/>
        <s v="Dolores Minerva Frías Baeza"/>
        <s v="Yuridia Madrid"/>
        <s v="Nelly Arce"/>
        <s v="Antonia Martha Esparza"/>
        <s v="Liver Téllez"/>
        <s v="Liver Julio César Cervantes"/>
        <s v="Camilo Cervántez"/>
        <s v="Marcos Amador"/>
        <s v="Rosalia Martínez"/>
        <s v="Estela Verónica Avilés"/>
        <s v="Eloy Valles"/>
        <s v="Juan López"/>
        <s v="Julia Baeza"/>
        <s v="Serafín Dulce María Vargas"/>
        <s v="Citlali Aguayo"/>
        <s v="Frida Patiño"/>
        <s v="Lucía Irma Zñiga"/>
        <s v="Karla Amelia Garrido Zedillo"/>
        <s v="Wendolin Vallejo Bueno"/>
        <s v="Jorge Seplveda"/>
        <s v="Isabela Cortez"/>
        <s v="Guillermina Carbajal"/>
        <s v="Aldonza Arriaga"/>
        <s v="Mateo Flavio Uribe García"/>
        <s v="Marcos Ruby Mateo Quiroz"/>
        <s v="Ofelia Suárez"/>
        <s v="Delia Medrano"/>
        <s v="Wilfrido Carranza"/>
        <s v="Octavio Isabela Barraza"/>
        <s v="Emilia Federico Altamirano"/>
        <s v="Concepción Elias Alonso Garrido"/>
        <s v="José Eduardo Jerónimo Montoya Loera"/>
        <s v="Ana María Palacios Cardenas"/>
        <s v="Ruby Amador Quintero"/>
        <s v="Pilar Laboy"/>
        <s v="Alfredo De La Fuente"/>
        <s v="Estela Iván Figueroa"/>
        <s v="Liliana Pedraza"/>
        <s v="Victoria Galván"/>
        <s v="Ricardo Bruno Báez"/>
        <s v="Guillermo Diana Curiel Verdugo"/>
        <s v="Susana Valadez De La Crz"/>
        <s v="María Del Carmen Liver Calderón"/>
        <s v="Gustavo Aldonza Nazario Granado"/>
        <s v="María Teresa Ocasio Vera"/>
        <s v="Omar Carla Miranda"/>
        <s v="Yolanda Rafaél Gamez"/>
        <s v="Nayeli Del Valle"/>
        <s v="Elvira Figueroa Fuentes"/>
        <s v="Cristina Urbina"/>
        <s v="Horacio Victoria Quiroz"/>
        <s v="Benito Lucio Iglesias"/>
        <s v="Caridad Frida Villarreal"/>
        <s v="Amanda Mariana Verduzco"/>
        <s v="Helena Salvador Alba"/>
        <s v="Sandra Cornelio Nava Galarza"/>
        <s v="Leonardo José Luis Manzanares Trujillo"/>
        <s v="Norma Paulina Quiñones"/>
        <s v="Emilio Alva"/>
        <s v="Virginia Irma Rolón Arteaga"/>
        <s v="Hilda Armando Padilla Castellanos"/>
        <s v="Javier Ofelia Quintanilla Villa"/>
        <s v="Mauro Meléndez"/>
        <s v="Emilio Peres"/>
        <s v="Esteban Ureña"/>
        <s v="Rufino Amador Ochoa"/>
        <s v="Abel Leticia Calderón Gallegos"/>
        <s v="Olivia Zavala"/>
        <s v="Hilda Vergara Tirado"/>
        <s v="Aida Ojeda Galindo"/>
        <s v="Gilberto Mitzy Aguirre Macías"/>
        <s v="Yuridia Rivas"/>
        <s v="Germán Bustos"/>
        <s v="Carlota Helena Cepeda"/>
        <s v="Darío Antonia Medrano"/>
        <s v="Ignacio Genaro Varela"/>
        <s v="Juan Ortega"/>
        <s v="Claudia Suárez Galván"/>
        <s v="Manuel Iván Alarcón Noriega"/>
        <s v="Pascual Treviño"/>
        <s v="Jaqueline Juan Osorio"/>
        <s v="Mauricio Pamela Villegas"/>
        <s v="Agustín Rocha"/>
        <s v="Fernando Almanza Durán"/>
        <s v="Anel Cervántez"/>
        <s v="Débora Uriel Montez"/>
        <s v="Pedro Tamayo"/>
        <s v="Irma Bañuelos"/>
        <s v="Cynthia Rolón"/>
        <s v="Bianca Abel Valentín Alarcón"/>
        <s v="Marisol Toledo"/>
        <s v="Federico Matías"/>
        <s v="Eloy Jaime Mercado Roldán"/>
        <s v="Catalina Montenegro"/>
        <s v="Armando Ángela Juárez"/>
        <s v="Eugenio Mónica Reséndez"/>
        <s v="Gilberto Tamez Sanches"/>
        <s v="Mariana Navarrete"/>
        <s v="Victoria Wendolin Terrazas Carvajal"/>
        <s v="Agustín Esparza"/>
        <s v="José Aparicio"/>
        <s v="Estela Villanueva"/>
        <s v="Guillermina Pedroza"/>
        <s v="Israel Anabel Merino"/>
        <s v="Emiliano Estévez"/>
        <s v="José María Vergara"/>
        <s v="Itzel Saiz Santiago"/>
        <s v="Guadalupe Juan Armas Montes"/>
        <s v="Enrique Crespo Alvarez"/>
        <s v="María Cristina Rebeca Quiñones Dávila"/>
        <s v="Adán Ana Ornelas Samaniego"/>
        <s v="Antonio Adriana Razo"/>
        <s v="Isác Reina Nieto"/>
        <s v="Amanda Cant Segura"/>
        <s v="Leonor María Luisa Calderón Negrón"/>
        <s v="Citlali Pantoja"/>
        <s v="Amelia Hilda Reyes"/>
        <s v="Indira Brito"/>
        <s v="Ángel Echeverría"/>
        <s v="Rodrigo Vanegas Serna"/>
        <s v="Mercedes Sessa Valladares"/>
        <s v="Dulce María Rendón Zedillo"/>
        <s v="Yeni Diego Mateo Irizarry"/>
        <s v="Camilo Eric Medina"/>
        <s v="Scar Valenzuela"/>
        <s v="María Eugenia Guajardo Ayala"/>
        <s v="Emilio Campos Grijalva"/>
        <s v="Cecilia Casas Ledesma"/>
        <s v="Alonso Ignacio Hidalgo Montes"/>
        <s v="Socorro Jurado"/>
        <s v="Camila María Teresa Reyna Lucero"/>
        <s v="María Luisa Cardenas Montemayor"/>
        <s v="Iván Amaya"/>
        <s v="Julia Dulce María Rodarte Durán"/>
        <s v="Mónica Cristal Chacón Candelaria"/>
        <s v="Hilda Soto Serna"/>
        <s v="Laura Vaca Madera"/>
        <s v="Graciela Merino"/>
        <s v="Rsula Cristian Ledesma Lara"/>
        <s v="Abel Toro"/>
        <s v="Berta Cortés"/>
        <s v="Gregorio Cristal Amaya Zelaya"/>
        <s v="Isabel Maya"/>
        <s v="Ana Luisa Montalvo"/>
        <s v="Linda Tomás Cuellar"/>
        <s v="Elias Carmen Téllez"/>
        <s v="Espartaco Esperanza Armenta Gaitán"/>
        <s v="Elvia Mariano Rendón Coronado"/>
        <s v="Carlota Ontiveros"/>
        <s v="José Carlos Rojo Páez"/>
        <s v="Anabel Susana Villalpando Huerta"/>
        <s v="Liliana Urías Velasco"/>
        <s v="Tania Soto Nieves"/>
        <s v="Jonás Osorio"/>
        <s v="Alma Leonel Morales Anguiano"/>
        <s v="Jess Burgos Ballesteros"/>
        <s v="Elena Delgado Menéndez"/>
        <s v="Vanesa Enríquez"/>
        <s v="Marcela Linares"/>
        <s v="Mario Gilberto Tórrez"/>
        <s v="Jess Carreón"/>
        <s v="Juana Negrete"/>
        <s v="Abelardo Ríos"/>
        <s v="César Jimínez"/>
        <s v="Ana María Hidalgo Razo"/>
        <s v="Guillermina Bañuelos Varela"/>
        <s v="Maximiliano Puga"/>
        <s v="Juana Rangel"/>
        <s v="Eugenio Lourdes Portillo Olvera"/>
        <s v="Dalia María Cristina Robledo Escobar"/>
        <s v="Emiliano Liliana Olivares Bañuelos"/>
        <s v="Camilo Partida"/>
        <s v="Cristina Esteban Quintero"/>
        <s v="Luis Camila Guardado"/>
        <s v="Juan Carlos Teresa Girón Sosa"/>
        <s v="Alberto Calvillo"/>
        <s v="Clara Echeverría"/>
        <s v="Hermelinda Mota"/>
        <s v="Patricia Santana"/>
        <s v="Alfredo Lerma"/>
        <s v="Patricio Abigail Meza"/>
        <s v="Wilfrido Mariana Rivero Martínez"/>
        <s v="Leticia Luevano Mayorga"/>
        <s v="Scar Ulloa Valdivia"/>
        <s v="Estefanía Modesto Lebrón Figueroa"/>
        <s v="Socorro Arcelia Alejandro"/>
        <s v="Víctor Jaramillo"/>
        <s v="Julia Nájera"/>
        <s v="Ramón Reyes"/>
        <s v="Carmen Brito"/>
        <s v="Jos Bernabé Osorio"/>
        <s v="Sara Jorge Alvarez"/>
        <s v="María Renato Ochoa Aguilera"/>
        <s v="Elvia Pulido Brito"/>
        <s v="Miguel Granados Oquendo"/>
        <s v="Rubén Cecilia Zarate"/>
        <s v="Amanda José Eduardo Rolón"/>
        <s v="Espartaco Godoy Fuentes"/>
        <s v="Armando Paola Tejeda Reynoso"/>
        <s v="María Elena Guajardo Serna"/>
        <s v="Jonás Corrales"/>
        <s v="Alicia Barela"/>
        <s v="César Portillo"/>
        <s v="María González"/>
        <s v="Mitzy Fidel Aguirre Barragán"/>
        <s v="Josefina Zarate"/>
        <s v="Gloria Cabán Santana"/>
        <s v="Micaela Zavala Borrego"/>
        <s v="Yolanda Elisa De La Garza"/>
        <s v="Emiliano Ofelia Luevano"/>
        <s v="Juan Aranda"/>
        <s v="Wilfrido Daniela Alonso Gaytán"/>
        <s v="Lucía Patricia Ybarra Segovia"/>
        <s v="Yolanda Emilio Marín Arenas"/>
        <s v="María Teresa Citlali Negrete"/>
        <s v="Cristian Godínez"/>
        <s v="Alejandro Aida Esquibel Candelaria"/>
        <s v="Luz Eduardo Villegas León"/>
        <s v="Alejandra Marco Antonio Salas Contreras"/>
        <s v="Delia Jacinto Quintanilla Olvera"/>
        <s v="Eugenio Marcos Lara"/>
        <s v="Isác Ignacio Benítez"/>
        <s v="Leonel Orosco"/>
        <s v="Carlos Esteban Nieves Zarate"/>
        <s v="Dalia Cornelio Treviño De La O"/>
        <s v="Rolando Gutiérrez Barrera"/>
        <s v="Hernán Anguiano"/>
        <s v="Mitzy Adame Tafoya"/>
        <s v="Anabel Graciela Orta Limón"/>
        <s v="Ivonne Georgina Arenas"/>
        <s v="Ilse Ocasio"/>
        <s v="Antonia Borrego"/>
        <s v="José Manuél Indira Ledesma Treviño"/>
        <s v="Itzel Puente Téllez"/>
        <s v="Martín Salma Bermdez"/>
        <s v="Emiliano Emilio Cuellar"/>
        <s v="Mitzy Ordóñez"/>
        <s v="Yolanda Joaquín Barela Méndez"/>
        <s v="Ivonne Inés Solorzano"/>
        <s v="Anabel Carreón"/>
        <s v="Rafaél Nájera"/>
        <s v="Gonzalo Leonel Pulido"/>
        <s v="Francisco Javier Mitzy Zedillo"/>
        <s v="Gilberto Granados"/>
        <s v="Magdalena Bustamante"/>
        <s v="José Eduardo Moreno"/>
        <s v="Estela Zamora Téllez"/>
        <s v="Mayte Muro"/>
        <s v="Diego Abigail Henríquez"/>
        <s v="Uriel Abel Rivero Vargas"/>
        <s v="Vanesa José Santana"/>
        <s v="María Cristina Amelia Rosario Trujillo"/>
        <s v="Miriam Rosales"/>
        <s v="Eugenia Franco"/>
        <s v="Estela Gómez Montañez"/>
        <s v="Rsula Palacios"/>
        <s v="Flavio Terán"/>
        <s v="Conchita Barrientos Olvera"/>
        <s v="Humberto Benavides"/>
        <s v="Clemente Lucas De La Crz Flórez"/>
        <s v="Agustín Alba"/>
        <s v="Maximiliano Pizarro Escamilla"/>
        <s v="Ramiro Adriana Botello"/>
        <s v="Eric Yolanda Saldivar"/>
        <s v="Josefina Varela"/>
        <s v="Daniel Treviño Almaraz"/>
        <s v="Lorenzo Zaragoza Niño"/>
        <s v="Estela Vanegas"/>
        <s v="Asunción Badillo"/>
        <s v="Ignacio Corrales"/>
        <s v="Bruno Linda Flores"/>
        <s v="Carla Urbina"/>
        <s v="Ángela Homero Bravo"/>
        <s v="Roberto Alemán Duarte"/>
        <s v="Sara Naranjo Colón"/>
        <s v="Conchita Arteaga"/>
        <s v="Hilda Corrales Ramón"/>
        <s v="Esther Casares"/>
        <s v="Olga Frías Paz"/>
        <s v="Pamela Magdalena Pantoja Sisneros"/>
        <s v="Natividad Balderas"/>
        <s v="Débora Alberto De Jess Rodríguez"/>
        <s v="Scar Cadena Valle"/>
        <s v="Olga Castillo Longoria"/>
        <s v="Clemente Omar Olivo"/>
        <s v="Modesto Ricardo Llamas"/>
        <s v="Vanesa Gurule"/>
        <s v="Eric Joaquín Navarrete"/>
        <s v="José Manuél Barrios"/>
        <s v="Blanca Acosta"/>
        <s v="Alejandro Tomás Arellano"/>
        <s v="Angélica Berta Alemán"/>
        <s v="Mariano Cruz"/>
        <s v="Guadalupe Marisol Negrón Cazares"/>
        <s v="Cristobal Frida Lucero Chapa"/>
        <s v="Trinidad Seplveda Venegas"/>
        <s v="Daniel Flores"/>
        <s v="Irene Murillo Cano"/>
        <s v="Rosalia Carbajal"/>
        <s v="Ana Luisa Garrido Camarillo"/>
        <s v="Adriana Quiñones"/>
        <s v="Ramón Ruby Solís"/>
        <s v="Perla Meléndez"/>
        <s v="Cristobal Renato Malave Mercado"/>
        <s v="David José Luis Espinosa Alonso"/>
        <s v="Nayeli Abrego"/>
        <s v="Magdalena Del Río Covarrubias"/>
        <s v="Mauricio Horacio Marín"/>
        <s v="Eric Amador Santiago"/>
        <s v="Salma De Anda"/>
        <s v="Lorena Jacinto Limón"/>
        <s v="Julio César Hinojosa Carrión"/>
        <s v="Clara Maximiliano Samaniego Lebrón"/>
        <s v="Judith José María Menchaca Nieves"/>
        <s v="Lucas Mendoza"/>
        <s v="Micaela Santacruz"/>
        <s v="Amelia Baca"/>
        <s v="Nelly Vaca Santana"/>
        <s v="Miguel Ángel Alberto Tamayo"/>
        <s v="Luis Manuel Arriaga"/>
        <s v="Adela Alcala"/>
        <s v="Luisa Eugenio Vásquez Alemán"/>
        <s v="Jorge Luis María Calderón Valdivia"/>
        <s v="Marcela Micaela De La Garza Alarcón"/>
        <s v="Berta Aldonza Toro Colunga"/>
        <s v="Augusto Oswaldo Arce Guardado"/>
        <s v="Andrés Brito"/>
        <s v="Mariano Borrego"/>
        <s v="María Luisa Benavides"/>
        <s v="Asunción Maximiliano Baca Ramírez"/>
        <s v="Yolanda Miranda"/>
        <s v="Alonso Rsula Ordóñez Quezada"/>
        <s v="Ana Perla Zavala Laboy"/>
        <s v="Zoé Alejandro"/>
        <s v="Pascual Bravo"/>
        <s v="Alma Karina Munguía Paredes"/>
        <s v="Maximiliano Omar Brito Vega"/>
        <s v="María Cristina De La Crz"/>
        <s v="David Preciado"/>
        <s v="Jess Arce Valles"/>
        <s v="Vanesa Valverde Gaona"/>
        <s v="Leonel Noelia Solís"/>
        <s v="Porfirio Lorenzo Cordero"/>
        <s v="Pascual Gracia Robles"/>
        <s v="Bianca Ávalos Cant"/>
        <s v="Espartaco José Eduardo Zayas"/>
        <s v="Alma Mondragón Elizondo"/>
        <s v="Aida Perales"/>
        <s v="José Urrutia"/>
        <s v="Humberto Yeni Ceballos"/>
        <s v="Lorenzo Rafaél Morales Valles"/>
        <s v="Florencia Viera"/>
        <s v="Camila Arcelia Enríquez Hinojosa"/>
        <s v="Felipe Fuentes Loera"/>
        <s v="Leonardo Griego"/>
        <s v="Nadia Canales Nñez"/>
        <s v="Soledad Yeni Gonzales"/>
        <s v="Samuel Esteban Caraballo Balderas"/>
        <s v="Rosalia Florencia Contreras"/>
        <s v="Eugenio Almonte"/>
        <s v="Francisca Norma Valle Lozada"/>
        <s v="Olga Delgadillo"/>
        <s v="Cristina Anguiano"/>
        <s v="Estefanía Casas"/>
        <s v="Liver De León"/>
        <s v="Esperanza Scar Zelaya"/>
        <s v="Estefanía Ruiz"/>
        <s v="Mariana Guerrero Arreola"/>
        <s v="Francisco Javier Gustavo Gracia Arteaga"/>
        <s v="Eloisa Orta"/>
        <s v="Magdalena Carlota Pérez"/>
        <s v="Cristal Andrés Gómez"/>
        <s v="Celia Cardona Griego"/>
        <s v="Marisela Zeferino Adame Ureña"/>
        <s v="Leonel Ponce"/>
        <s v="Santiago Frías"/>
        <s v="Eugenia Jáquez"/>
        <s v="Ignacio De La Garza"/>
        <s v="Eugenia Magaña Tejeda"/>
        <s v="Alfonso Gerónimo Tovar Merino"/>
        <s v="Lilia Esteban Lucio"/>
        <s v="Abril Fonseca"/>
        <s v="Adalberto Nayeli Villarreal Dávila"/>
        <s v="Alfredo Flórez"/>
        <s v="Josefina Miramontes"/>
        <s v="Serafín Antonio Fonseca"/>
        <s v="Pedro Eric Parra Palacios"/>
        <s v="Mitzy Noelia Ramos Menchaca"/>
        <s v="Marisol Santana"/>
        <s v="Diego Armando Portillo"/>
        <s v="Marcos Adriana Orosco Bétancourt"/>
        <s v="Diego Nancy Madrid Cornejo"/>
        <s v="Ofelia Duarte"/>
        <s v="Benjamín Luisa Marrero Frías"/>
        <s v="Daniela Uribe"/>
        <s v="Marco Antonio Cornejo"/>
        <s v="Wilfrido Arenas"/>
        <s v="Elias José Eduardo Marín Palomino"/>
        <s v="Judith Ayala"/>
        <s v="Cristobal Ortega"/>
        <s v="Leonel Cruz Enríquez"/>
        <s v="Jerónimo José Manuél Magaña"/>
        <s v="Abelardo Melgar"/>
        <s v="Jaqueline Sessa Gutiérrez"/>
        <s v="Indira Eugenia Fuentes"/>
        <s v="Graciela Garibay"/>
        <s v="Dolores Rodolfo Rojas Arellano"/>
        <s v="Karina Gálvez Durán"/>
        <s v="Flavio Iván Casillas"/>
        <s v="Emilio Leiva"/>
        <s v="Alicia Rosales"/>
        <s v="Elvira Marisol Reyes Alfaro"/>
        <s v="Fidel Mateo Parra Ulloa"/>
        <s v="Leonardo Orosco"/>
        <s v="Julio César Olivares Matos"/>
        <s v="Hernán Vallejo"/>
        <s v="Miriam Arcelia Casares"/>
        <s v="Clara Del Valle"/>
        <s v="Claudio Ana Aguirre Urías"/>
        <s v="Georgina Murillo"/>
        <s v="Catalina Matías"/>
        <s v="María Navarrete"/>
        <s v="Pilar Collado"/>
        <s v="Arcelia Navarrete"/>
        <s v="Amalia Soledad Alba Crespo"/>
        <s v="Benito Montañez"/>
        <s v="Emilia Rolón"/>
        <s v="Aldo Lira"/>
        <s v="Elvira Laboy"/>
        <s v="Evelio Pilar Urbina"/>
        <s v="Indira Orozco Cuellar"/>
        <s v="Gilberto Fajardo Esquivel"/>
        <s v="Elena Ballesteros"/>
        <s v="Cecilia Gurule"/>
        <s v="Esmeralda Eugenia Ceja"/>
        <s v="Rocío Eugenio Villagómez"/>
        <s v="Tania Carrera"/>
        <s v="Carmen Curiel Samaniego"/>
        <s v="Mariano Fuentes Esquibel"/>
        <s v="Ana María Nájera"/>
        <s v="Débora Escamilla"/>
        <s v="Eric Montañez Velázquez"/>
        <s v="Delia Wilfrido Valladares Tapia"/>
        <s v="Olivia Amelia Cadena"/>
        <s v="Adán Prado"/>
        <s v="Mariano Corrales Orosco"/>
        <s v="Ana María Pichardo Seplveda"/>
        <s v="Cristina Del Río Longoria"/>
        <s v="María Eugenia Valdivia"/>
        <s v="Miguel Romo"/>
        <s v="Alejandro Hermelinda Mondragón Alvarado"/>
        <s v="Rocío Villareal"/>
        <s v="Carlos Peralta"/>
        <s v="Olga Georgina Iglesias"/>
        <s v="Dalia Barrera"/>
        <s v="Jorge Bernardo Ávalos"/>
        <s v="Emiliano Violeta Anguiano Paz"/>
        <s v="Guadalupe Borrego"/>
        <s v="Benito Ramón"/>
        <s v="Ricardo Velasco"/>
        <s v="Amanda Gollum"/>
        <s v="Mercedes Amanda Jurado Centeno"/>
        <s v="Marcos Rivas"/>
        <s v="Norma Meléndez"/>
        <s v="Augusto Adán Niño"/>
        <s v="Amador Hernandes Menéndez"/>
        <s v="Alejandro Longoria"/>
        <s v="Amelia Oswaldo Bernal Niño"/>
        <s v="Liliana Verduzco"/>
        <s v="Espartaco Arguello Bustamante"/>
        <s v="Evelio Ramiro Arce"/>
        <s v="Elias Juan Carlos Estévez Cepeda"/>
        <s v="Carmen Leyva"/>
        <s v="Oswaldo Magaña"/>
        <s v="Cristal Rincón"/>
        <s v="María Maximiliano Ochoa"/>
        <s v="Nelly Hernán Ríos Guardado"/>
        <s v="Yeni Tafoya"/>
        <s v="Estela Alejandro Caballero"/>
        <s v="Federico Angulo"/>
        <s v="Felix Pizarro"/>
        <s v="Alonso Gutiérrez Gonzales"/>
        <s v="Natividad Armenta Espino"/>
        <s v="Diego Adame"/>
        <s v="Rosa Serrano"/>
        <s v="Nancy Horacio Porras"/>
        <s v="Hugo Polanco"/>
        <s v="Alta Gracia Espino"/>
        <s v="Verónica Jurado Gonzales"/>
        <s v="Carolina Cabán Urías"/>
        <s v="Evelio Holguín Galarza"/>
        <s v="Oswaldo Jorge Mota"/>
        <s v="Diana Olivas"/>
        <s v="Dolores Pablo Menéndez"/>
        <s v="Abigail Castillo"/>
        <s v="Ramón Miramontes"/>
        <s v="Martín Sara Verduzco"/>
        <s v="Omar Irene Corral"/>
        <s v="Irene Saldivar"/>
        <s v="Raquel Crespo Carrión"/>
        <s v="Raquel Domínguez Vanegas"/>
        <s v="Antonio Jess Vallejo Bravo"/>
        <s v="Barbara Perla Godínez"/>
        <s v="Salvador Barela"/>
        <s v="Mayte Acevedo Viera"/>
        <s v="Carmen Macías"/>
        <s v="Lucía Montoya"/>
        <s v="Eugenio Fernando Delgado"/>
        <s v="Alta Gracia Marrero Ocasio"/>
        <s v="Conchita Calvillo Alba"/>
        <s v="Alicia Agustín Piña"/>
        <s v="Cristian Mercedes Rubio Medrano"/>
        <s v="Gustavo Berta Aragón"/>
        <s v="Liver Ulloa"/>
        <s v="Lourdes Reyes Valladares"/>
        <s v="Humberto Rosas"/>
        <s v="Jerónimo Palomino Lozano"/>
        <s v="Carmen Rufino Téllez Benavides"/>
        <s v="Anel Marco Antonio Patiño"/>
        <s v="Alejandra Nájera Miramontes"/>
        <s v="Jonás Peña"/>
        <s v="Abril Rolando Cardona"/>
        <s v="Gabriela Aida Chapa"/>
        <s v="Guillermina Guajardo Griego"/>
        <s v="Olga Merino Benavides"/>
        <s v="Florencia Jaramillo"/>
        <s v="Ángel Aldo Tello Noriega"/>
        <s v="Timoteo Alvaro Lemus"/>
        <s v="Fabiola Galindo"/>
        <s v="Cristina Alejandro"/>
        <s v="Wendolin Fonseca"/>
        <s v="Cristobal Villa"/>
        <s v="María Cristina Esparta Partida Lozano"/>
      </sharedItems>
    </cacheField>
    <cacheField name="ID de orden" numFmtId="0">
      <sharedItems>
        <s v="d7c9e19e-1228-4326-8b2a-cde42e222a67"/>
        <s v="c1103728-e36d-48da-ba95-42c7fc1ccca5"/>
        <s v="1fd52e4f-ce34-4747-8dc7-fa4b9fe57dc4"/>
        <s v="0ada26be-f753-405b-a1a4-3599df81e700"/>
        <s v="9300cdf6-1250-4659-917a-93641a266da5"/>
        <s v="c46fe29a-c3e5-4c00-b9ea-94b719c84734"/>
        <s v="35bff7d1-834a-47b1-8627-e9ce0847bae9"/>
        <s v="5199a25e-ee56-4e1f-9c71-21f24998e8fc"/>
        <s v="e58774cc-8183-4c21-b23d-1089685c61dd"/>
        <s v="4e85609f-8a23-4d99-a616-2f83279d0dc0"/>
        <s v="a076e80e-95f4-4b8d-8e0e-af032fd3e7e3"/>
        <s v="b76b9aa0-31e3-4e6d-905f-d7fc227d629a"/>
        <s v="fde0973c-ba07-4b7c-b196-f9743e17466a"/>
        <s v="0281b754-3298-47cb-85b3-b7e7a8c57bab"/>
        <s v="6d6dc8da-1c46-48a9-9864-d6731b144bc7"/>
        <s v="6d865eac-7ee1-4c9f-bf09-98a0163a585b"/>
        <s v="166ba421-1a83-493d-b4f5-5832605721e4"/>
        <s v="530801f5-4c88-4d00-b297-5944ebece83d"/>
        <s v="116022d7-56fc-4596-aeba-30c58ab21dbf"/>
        <s v="6685e5bb-9081-494c-b6aa-422ddb87955d"/>
        <s v="f8087330-1de4-4af6-8cae-e91d660b819f"/>
        <s v="d58eb71d-bd78-4ec3-8a70-34213c01464b"/>
        <s v="45698812-aa8b-4fea-b214-81743c8c3e1d"/>
        <s v="df7f87e2-753a-411f-bbe9-b634b149f17c"/>
        <s v="bfde20ee-a837-4bd7-af36-f9e5b40dfe3b"/>
        <s v="91de2837-a873-4607-8185-7fa6844d2be8"/>
        <s v="814e531c-1781-4af9-86e2-0da4494565c9"/>
        <s v="698672ae-dbbd-4086-a5f7-90c3dfe00ff8"/>
        <s v="102bcf63-b887-46cb-8d4f-8c9404340da9"/>
        <s v="c2c34b94-f490-4a39-9f0d-d895d228fae3"/>
        <s v="dba5fcd9-c9cd-46ba-a785-12d580ffe57a"/>
        <s v="10459092-6977-440d-ad85-b85e03763cf7"/>
        <s v="e9bf9df3-945d-4164-9afd-4e3cdee9991c"/>
        <s v="ead07a50-6dc3-4997-a078-77b5ae38bb54"/>
        <s v="a9fee7b5-3729-4db8-815f-355ff6236823"/>
        <s v="72bb2e02-f0ab-4425-ad19-83e3487dfc79"/>
        <s v="ced0a1f9-ee13-48fd-ae58-db4f7cdfb189"/>
        <s v="446489c3-d916-48e8-af47-535cb42956ac"/>
        <s v="ab896c73-e2a6-4dc5-922f-889ab750954e"/>
        <s v="c196a64f-ac47-4c79-b416-d0807432cfa3"/>
        <s v="5004d2bb-d9ba-4955-8ee4-bf09d5db221e"/>
        <s v="50132920-f6aa-4e4d-8964-c48df8dcf12f"/>
        <s v="5eb1511c-6bde-49b4-b1e9-39aeeca914bc"/>
        <s v="36d91d20-825b-4909-9326-ca55a5ba261f"/>
        <s v="62a28aa3-fc75-41e7-abc8-fbb577726ebd"/>
        <s v="02858336-ce07-4437-8326-04e65dd55fe4"/>
        <s v="46930688-ab22-4f38-922e-c8bdee972554"/>
        <s v="00f3b5c0-94a8-46ed-a8a8-4d11bde44da7"/>
        <s v="9d83faf6-b95d-4623-85a1-78d8b416dd3f"/>
        <s v="3217ab5c-f143-443a-aece-3a47846a3ff2"/>
        <s v="2f12cb9e-2010-490d-9bfa-31410ba27433"/>
        <s v="ac86de05-18a9-4269-876c-d1c20900fd8f"/>
        <s v="403acb42-0f8a-41c6-b42a-d1adc4b62bfb"/>
        <s v="1d366307-d6bd-4e44-b202-bab1ce141dbd"/>
        <s v="6a83774a-e4f8-4c9b-ae75-2c985e801156"/>
        <s v="84862dcd-d58c-423c-99b1-8b1ee8b38e4e"/>
        <s v="512f8818-bb8d-466a-9f10-79bd8f52408b"/>
        <s v="8588db90-3e5f-471e-8500-c89cbc6d1623"/>
        <s v="84603ef1-6930-4a3e-b3f4-2e56b1a84398"/>
        <s v="af1640cb-8d21-4be4-a497-cf19ebe3fa3e"/>
        <s v="fa21bde8-c128-4e66-83c3-a35891b527e7"/>
        <s v="6a533065-10e9-417f-90b8-cc321916284c"/>
        <s v="be2593fe-882a-47b4-84fb-96d56973714b"/>
        <s v="9b5f5828-58aa-4107-b467-e223f64cae41"/>
        <s v="a23fb156-d7f0-48b3-8429-51722fc91010"/>
        <s v="b7d845eb-4a64-4099-a793-3f93363ea49e"/>
        <s v="8d472941-b5df-4f80-b3a6-ece0e6978e8a"/>
        <s v="8e37e816-5b3d-4cf1-9cef-cf002ceb456f"/>
        <s v="b970ae82-fee0-482e-b413-b42d8439bc7e"/>
        <s v="21eb6780-a2cf-4959-81fd-6bec09658cd0"/>
        <s v="632f3ed9-ab81-468b-93d0-16a797a5d1c7"/>
        <s v="b3d5e0b4-2834-4e54-a96a-d9085614ca23"/>
        <s v="0332c3e0-2f25-4dfd-ad14-79f12be80567"/>
        <s v="1a1b2b13-06f4-45bf-a9e9-678df211aedf"/>
        <s v="da98ee54-efa1-4a37-a44f-16e69c8a3769"/>
        <s v="f175c4e2-a107-42a1-87d8-ae02bbeada76"/>
        <s v="6c9a8394-7c0d-49dd-814c-cdca8e78dbd5"/>
        <s v="4082ebc9-a484-41c7-ae7f-fcdfa5f8c7f8"/>
        <s v="4466335e-c645-4d4b-a152-4044038bf97c"/>
        <s v="bc02e752-e8f9-4729-a7cd-24ba1ff00164"/>
        <s v="2feb799d-af20-4c3b-99b5-36c59009058b"/>
        <s v="4e9e641c-a0d6-4903-8f6e-f87d90c24aa0"/>
        <s v="dafa21d9-a2ea-4867-b143-31f8243c024c"/>
        <s v="75b08c4a-c440-4f59-a757-c070085c6101"/>
        <s v="7da07b63-351f-4e52-aa15-8e1320b57edf"/>
        <s v="7f6c0f86-6158-4f16-8105-a9407f403fe9"/>
        <s v="279ccf00-0de5-4813-a6ed-58a52bc1a5ad"/>
        <s v="ce229233-81ec-4127-be94-95ce93175cd4"/>
        <s v="17ce4fbf-b0f5-4e3b-aeb9-956b5c881168"/>
        <s v="bfef5ecf-9029-4f0b-9ca9-4cce9f340385"/>
        <s v="dca0f25c-824a-4634-827c-d385dafa7123"/>
        <s v="b3a633a5-e62e-4c18-a2a7-1e1b9a949d2a"/>
        <s v="3c3a1e13-f9c9-448a-91f3-059857dd86f5"/>
        <s v="a60e107a-d3cc-46c7-9a8e-b0aa9cfa7817"/>
        <s v="a6735135-46d8-4997-ad55-d449e18fd075"/>
        <s v="56344cb2-c22e-400d-87dd-49a631ced56f"/>
        <s v="5eb46f68-93f4-40bf-ade8-2f3822a7d3fe"/>
        <s v="3c8ea69b-f625-4431-b5c1-1d4bdc621135"/>
        <s v="f652769b-e1e8-44a1-8f3d-6f80c1ac3f13"/>
        <s v="9e945271-543f-4b06-a34e-b1dfcd6b8450"/>
        <s v="fd16a28b-5ec8-4f7c-aac8-e6c93568cda5"/>
        <s v="8dcb205e-e032-4baa-a658-7e640f07fe1e"/>
        <s v="bbcfa88c-1300-46e2-bc6a-e3c6ddbb62d8"/>
        <s v="4cfd7c38-6607-4b36-ab60-fb259d4e18b4"/>
        <s v="1f451643-e6fa-4d54-b03d-304b7a23b3e1"/>
        <s v="2c42cc7e-a16c-4dc9-ae59-89dbe94c5127"/>
        <s v="e00df3f6-aa51-4a6d-bf1d-36462af123a2"/>
        <s v="bb3ff505-4124-4f45-b8b6-401ab861a5af"/>
        <s v="7a66e4f7-bc95-4384-85ad-39070d893921"/>
        <s v="9c66ca34-d486-44b8-bf48-2843a252f7a0"/>
        <s v="15c297bf-5d8e-4902-b9f9-0205a370b77e"/>
        <s v="ed2140fd-8a01-4a73-bd2d-02153d2e7f26"/>
        <s v="ad128167-ed41-4cfc-980f-861300230ea2"/>
        <s v="9c8710a3-d9ef-4a00-9c0b-7c93d5fb8f63"/>
        <s v="8f1343f8-568b-4478-bc57-4112e44e97c4"/>
        <s v="d220d617-88a5-417d-906a-713dd8d57f69"/>
        <s v="7c7c5e94-04af-466b-bbd2-9ba60b16b6cc"/>
        <s v="84e9d394-3af7-4da9-9805-83c89cc6120f"/>
        <s v="d5d39d13-0c4d-4695-9fb3-6fbc66298a78"/>
        <s v="e8b495a0-823c-484a-8e06-d1bdd07a0b5f"/>
        <s v="6a6b7bb0-7d16-4f28-a74f-712ee43c38a6"/>
        <s v="4d3b34a5-8ae2-4de1-a0af-616e0a229665"/>
        <s v="768f4e3f-b865-4aa6-92fa-bf0b9431ed0a"/>
        <s v="e3cbaf49-bfb7-417c-9883-c7501381b3e1"/>
        <s v="8f7b25cf-e88f-4704-9a71-5fe4e6e4d0c9"/>
        <s v="d21d73fe-7b8a-4ddb-a473-47c717ebb087"/>
        <s v="4c53a9db-d0fe-42d8-a909-921633d44173"/>
        <s v="7b989337-edb6-498f-9b1d-9056bb83e316"/>
        <s v="4b66bc0e-757f-46df-8fd9-af3d9751bd47"/>
        <s v="1c3f2222-1db8-46db-876a-6f85812ebbbf"/>
        <s v="1a50b4b1-1657-4b5e-a237-9cfb5c083efc"/>
        <s v="48fa08f3-3f1d-41d4-98c7-9d364159c3ee"/>
        <s v="ffdae6e0-eb2e-4a6c-8726-a98497d0dedb"/>
        <s v="873e756f-1f4a-4de6-90ff-4cb697b1e8fe"/>
        <s v="7ba0efb4-239e-4695-a171-7e53a2d5321c"/>
        <s v="404fea2a-d896-4427-a0d6-e0581df99ba3"/>
        <s v="8ed93f26-7deb-40c4-b603-2dab763f14bd"/>
        <s v="15e734e2-2950-4516-be09-1c82cf0c10ef"/>
        <s v="73c9e2ed-d0e0-4b5c-92ac-e3a55014e974"/>
        <s v="a895a20b-523d-4f9e-a3e5-039259362c4f"/>
        <s v="677b528f-dda1-49de-adfd-cb2648ff77c2"/>
        <s v="6c8cd43e-c6ec-498f-b791-a986f872af1d"/>
        <s v="5407753d-0304-48ca-9ea9-d8bbfb643e29"/>
        <s v="0b19abc7-fda3-4d4c-944d-c789af3a12ee"/>
        <s v="2f83c135-17e5-4888-8b31-f505c0170e5e"/>
        <s v="d5751f29-c753-47da-9e7a-d5ed1090b0ad"/>
        <s v="0461093f-4c28-41d9-b8c1-8f858b8a8164"/>
        <s v="cc9f2851-c332-405f-a3fb-1abae821a706"/>
        <s v="a735a980-0215-4741-924f-a6525c85f916"/>
        <s v="20cb126e-53ab-49aa-9f94-792732fd304c"/>
        <s v="43bdd060-f236-479e-81bb-97be1c5dc7be"/>
        <s v="135a4c21-3cb1-4e50-ba78-3db911948053"/>
        <s v="749cbc33-d403-4c84-a42b-66866a2e6f47"/>
        <s v="499ebdfa-358c-41aa-8d92-cc8b5259dfd0"/>
        <s v="22971ca8-f21c-436b-84f8-11a2a2c20ff6"/>
        <s v="c7c879c2-7a83-4527-a295-5f822ea9b655"/>
        <s v="f4841777-97d3-4cce-bc0f-17c21f34e253"/>
        <s v="49d7397b-eb15-4d2d-b30b-8f6ca86b2125"/>
        <s v="5659c3e8-e722-4ce4-a66f-283a33db3b2a"/>
        <s v="784aa491-3eb3-4b5e-858a-3b24918b10a1"/>
        <s v="d710fc03-2b70-47e7-9fe6-590b75fdde09"/>
        <s v="95af7f10-1768-4963-ab62-677ee934c6c0"/>
        <s v="517b090a-2e73-4c68-aad4-180d1350b369"/>
        <s v="8204039a-5541-4976-bc5b-19da90d1ecf0"/>
        <s v="03d8d67d-53e4-43e8-bd00-72801ff4e987"/>
        <s v="fd56654c-43c9-4016-8183-cbdf6b382ba6"/>
        <s v="8429854b-a406-4cf2-9cdd-ed466b843f6e"/>
        <s v="298b36d0-dae0-4465-94e0-f5a242f44bd5"/>
        <s v="ce0567fa-7e48-43a0-a5b7-07aa5cc439d0"/>
        <s v="6152d019-c240-4dd1-adb5-1811f3729839"/>
        <s v="7a27100e-236d-45f0-952e-b7c838d737a2"/>
        <s v="656f3966-abb8-497a-981c-4e2bec529c24"/>
        <s v="c499769d-908e-43f6-bd30-c1817bd0deff"/>
        <s v="99a8722a-ede3-4080-9d85-450687f17be6"/>
        <s v="8c7eb2e6-d1ab-4158-93c5-a214d07681c6"/>
        <s v="14722e2a-7971-43ee-ac45-587157e6f198"/>
        <s v="df7faa34-7de9-48f0-8ba1-2897a5b1e8fd"/>
        <s v="a487c1e9-95f4-4b1d-b9e1-8ce364aaa62c"/>
        <s v="7d131cdc-d20b-4dba-ba8c-67f9adbbcf3b"/>
        <s v="f2788526-390a-447d-aadf-5ad11ba53e76"/>
        <s v="78bdd5ec-2c8a-49c9-918e-bfe3147b65c3"/>
        <s v="569d9a75-753b-41b8-9540-1368ec0acbe5"/>
        <s v="0514f6bb-c61e-409d-8985-bc35bb86f4af"/>
        <s v="4a70ae74-59ef-4f8f-98ee-d8fff858e22d"/>
        <s v="a98bfa4e-dd81-401d-b806-a98b5c514056"/>
        <s v="d59afe7f-49e3-483a-97f5-ce81f54d250f"/>
        <s v="86dddca7-94b8-407d-9b43-bb0906ba81e6"/>
        <s v="f6a5ccaa-f8db-4293-9b11-932f3470afdf"/>
        <s v="8dbce9a8-4e8c-41c7-a836-12fe71b7ad0a"/>
        <s v="f34bc8a2-d539-45c5-a4cb-e23ab3ad1bf9"/>
        <s v="0bbe7dc7-b837-4dff-83eb-a691bf3d9337"/>
        <s v="48f1f9b2-e5c3-45db-9c35-dba3af2b3e37"/>
        <s v="56137b69-5c0a-49a2-bc0e-cd99b52af4b9"/>
        <s v="c6ebe95f-880f-4175-b857-173d436e2753"/>
        <s v="bfb5f658-102d-4d01-bec2-1f4cced1bbef"/>
        <s v="25b223d6-04b8-478f-9246-79edbe8738eb"/>
        <s v="2ad918fa-d68e-42ea-926c-414454fd8220"/>
        <s v="437715f5-b663-4ceb-8e4d-01760b5c39e8"/>
        <s v="261f24e0-0c30-40fa-92d3-3c013d335e1f"/>
        <s v="61cc0a01-493f-48a6-8973-8cc3bf69bd4b"/>
        <s v="699048e6-5415-4dd4-ada9-8e6e4a549eb2"/>
        <s v="05462222-2134-4569-8058-16e2b626c19b"/>
        <s v="1c44a1fd-cb0c-401e-8e21-c1a8d9242148"/>
        <s v="636e2a36-d8c0-4ac8-b15e-52b5f9b2507b"/>
        <s v="3341556d-8dc1-42f2-b455-3a339ff909cd"/>
        <s v="eb72415a-2fdb-436d-a740-aa38fe92dba8"/>
        <s v="82c801f7-86fa-465e-b47e-1a2faca2409f"/>
        <s v="df271a81-4486-42c3-b66a-88accdba843d"/>
        <s v="67b79c05-b522-4593-8812-0d7f9fe8aead"/>
        <s v="7ac1b8fd-c88f-4033-9061-4a7613449273"/>
        <s v="1cc3a12d-c04b-4839-a053-31d0fce65570"/>
        <s v="fd7d838f-61fb-4072-8a90-c3d1b393f61b"/>
        <s v="55a4140a-ad3c-4b67-9d33-7eb275fe9440"/>
        <s v="b5d4423c-9255-4859-8feb-44a8655b46a4"/>
        <s v="16c09f74-0932-405b-8587-0165634b10b3"/>
        <s v="6bbde35c-e30d-4e24-884b-5b00ccf47e4b"/>
        <s v="544cee72-594a-4c94-8dc6-243ba049fe28"/>
        <s v="ff0b4f20-17ed-4610-9fc5-30d4da7e79e4"/>
        <s v="3b41356a-51cc-450b-9098-9b6959c32336"/>
        <s v="2a1cc810-f23f-44be-ad5d-2c2061de3b67"/>
        <s v="9d884542-5d01-4a57-bd22-ce173740036f"/>
        <s v="9ffc235a-1e2b-44c3-80ec-61b7a7d4cbc5"/>
        <s v="e387b8f5-c2cb-4dfe-a9c5-5747a0bf2ba4"/>
        <s v="53cd2e8b-92e5-4411-a0ca-9f936ff0be49"/>
        <s v="5a679e4d-2017-44f1-8c69-308bd963826c"/>
        <s v="9fc06fba-9376-4e96-97f1-0aeca2f00a87"/>
        <s v="19e94e09-d952-49ce-b5b6-95c649d995d4"/>
        <s v="d1068262-a372-42f4-b5e9-48fa9a84b933"/>
        <s v="7c0a6b67-d03e-4b5f-95bc-b0d715cb90f0"/>
        <s v="bfe71cbd-5340-41ca-b9f4-c5301c10428f"/>
        <s v="87c5ffd3-6c28-4101-af3b-154ff4ae6392"/>
        <s v="20d27746-91f7-427d-9e21-02ca06d5e5c3"/>
        <s v="720e7c71-4c87-47e1-b24a-7f8c021bc9a3"/>
        <s v="850ed2df-b6ba-4845-90f3-4d82ffd954aa"/>
        <s v="08269db4-0566-4ede-ba0a-3261c90dd7cc"/>
        <s v="2394f979-8464-44ce-a630-ae28dbf2d042"/>
        <s v="30a44076-ebcc-4c8b-8064-9e1a18718512"/>
        <s v="018fc11e-35bf-41a6-9c2e-0fe1cb9dcb9b"/>
        <s v="5c299656-4419-4c69-bdd2-2dc9b8af337b"/>
        <s v="ddd463db-888b-4ab8-b2a7-396cacbc0f7c"/>
        <s v="c0e13eaa-0352-4ecd-87d9-f5acfcbb40df"/>
        <s v="a2415cd2-e7d5-4a04-aa89-a0821ac995b6"/>
        <s v="d1dd5a1a-3f08-4909-b8b0-04384056d29b"/>
        <s v="5c84518e-8046-4ee0-802c-5c7e6eafa4c6"/>
        <s v="74e91e22-a440-4514-996c-da314a1c94c0"/>
        <s v="89cde298-9d2d-459e-ac2a-33f1db2b8db1"/>
        <s v="39f5457f-dcd1-4ade-baf5-0b5ac2798271"/>
        <s v="cc9e3eb1-75ac-43c1-9836-fb3698df70e0"/>
        <s v="9d189c13-ff1e-411f-93d3-ee251f727785"/>
        <s v="7c83c051-cdef-4ee9-99b8-ab628e7e0137"/>
        <s v="4bf38add-780a-44cc-839a-27eadcf0009e"/>
        <s v="b286124b-1bcf-484f-92a1-6fc89c6f74ee"/>
        <s v="0a037e7f-e874-4665-a3e4-734c560a30f9"/>
        <s v="8a9c117c-0931-4ed8-9d8f-3a5c2d9c904f"/>
        <s v="e2689eed-d7a5-4b39-a1e0-7b6894376ce5"/>
        <s v="0877fac4-86db-45ad-94c8-6b0e1624953f"/>
        <s v="cce81a35-f0aa-40e7-a33d-43e447f74b34"/>
        <s v="50041cfa-9dbe-4a33-855e-dfc293e0392e"/>
        <s v="d2226fcc-944b-4300-a358-816d2b168c5f"/>
        <s v="0a5787f4-b611-4db3-9a36-d6bd45f0ce8e"/>
        <s v="3be08974-31f2-40c3-afb9-3a240fd500b5"/>
        <s v="9b9cbe9b-905b-4b17-a60a-f42b5800d911"/>
        <s v="7c10c6c6-9acd-42a2-b74c-041e173a74ff"/>
        <s v="581770ae-84a5-4fc3-ba77-826c11cb3e70"/>
        <s v="14ad0f9b-ea8e-437c-b3d9-d3b4ddd90518"/>
        <s v="76fde716-641c-4ff4-848c-ade7a38970de"/>
        <s v="a5740e45-38d1-421a-8d38-8a6d427463c6"/>
        <s v="2ecd07a3-c49e-486f-a9f0-9a7b1dc20737"/>
        <s v="8a06b4fc-26f2-4b8b-827b-2c6a1f537edf"/>
        <s v="ca1cb20b-c27e-4a80-abe5-5c61f19ada3a"/>
        <s v="2198c786-f1c8-4272-9619-35fe62fbf3c5"/>
        <s v="80c340bc-bd50-477d-a7dc-27237bf10b22"/>
        <s v="890c4fe3-a2aa-473b-a2ff-9c2704d3ac14"/>
        <s v="496f9895-2148-475d-9da8-8846db1a0d2e"/>
        <s v="94019fc0-5f8a-4f46-b07d-b18f9ed2fb2d"/>
        <s v="7973d01c-f337-48a1-8f89-e3be9acd41ae"/>
        <s v="791a6835-1e53-4dab-9537-f28d07071087"/>
        <s v="c6fe3646-36da-4379-b9d4-1237b3932c67"/>
        <s v="9643a7f2-7f1e-4f3a-b67a-e4db4ac513f7"/>
        <s v="7d923bc2-e260-42ce-af34-40f80a5bb97e"/>
        <s v="7fdbc1e6-947e-4174-a90b-3e6fa8d1770d"/>
        <s v="b8257a06-d0a6-4198-b8a6-7c4130b98420"/>
        <s v="d8feecfb-981d-4008-b113-8a7aba34e4b1"/>
        <s v="1bd0c57b-8184-4850-859c-b8ff7197c553"/>
        <s v="ec13955e-4ae5-4e40-93e4-236b0eaab336"/>
        <s v="a5a9edd5-c2b3-4542-ac87-c882564547e6"/>
        <s v="53a9e98d-d57a-488e-bcec-701bc4e1ec3e"/>
        <s v="e98e23f8-e415-4062-bdbb-4e90ecd252c4"/>
        <s v="817537ef-9729-49a5-8458-d7108a639dab"/>
        <s v="6b2a6d67-9ca9-4751-9892-59fbd4257856"/>
        <s v="7424e9fb-eb47-4eb6-b0ee-330eb470b214"/>
        <s v="650656a9-a043-47bc-ae91-0380ba19f6d1"/>
        <s v="357c27a8-d03f-45e6-be30-3565ec6d4ff5"/>
        <s v="95e49e46-be39-496b-8a9b-52bd39505406"/>
        <s v="b847cf15-a430-4067-b4ba-2bca14b1ebd1"/>
        <s v="c433376a-096b-4d0c-b385-da369f628996"/>
        <s v="ae03b614-5581-49d6-bb73-db61d22a7b6c"/>
        <s v="055f940c-62c7-485e-a8a9-6e6970c4bd9d"/>
        <s v="be245970-0c63-4d78-ae9d-e25f66cad9cf"/>
        <s v="d4d30727-21e7-45cf-abfd-68611006864c"/>
        <s v="7ca60689-ffdb-4ad9-b339-4085c13dfc70"/>
        <s v="36046905-c325-4177-8dd6-ef3a3eefbe09"/>
        <s v="55359418-5f6c-4f2b-9e70-525bf3b5c143"/>
        <s v="c331b5bf-7dc0-44f3-bbc6-33242970d6bd"/>
        <s v="0d3db73a-8164-4ea7-82ec-bc976d02b86a"/>
        <s v="5adc0581-cda3-450e-9af3-c3c10c954910"/>
        <s v="0e28ad98-fe18-44a9-9a89-466a166843e3"/>
        <s v="36de6ea0-d38c-4032-a4ab-885c917e6447"/>
        <s v="9cba1b15-28fd-439f-af54-d9a1bf7128b0"/>
        <s v="a244bdbd-1394-4bdb-bbc3-e6fc452874c4"/>
        <s v="8ccc7ee3-b4a6-404a-9faf-787343dc06f2"/>
        <s v="fe56b9b6-8658-46ab-b178-142e1c6c32ec"/>
        <s v="bc41d301-8342-4b13-a0a6-0094760ae37b"/>
        <s v="4473af02-2d6e-42ae-8fd6-1e6eb2b0c846"/>
        <s v="38bac1f5-8a77-4803-a105-2adcca972ed6"/>
        <s v="e14300c1-3569-475f-a547-4c787f5cf604"/>
        <s v="f10d3d99-9f63-4b93-a89a-94e952ffcf1c"/>
        <s v="8cfb7643-588b-4ac4-8843-ef2886b4bbea"/>
        <s v="d4f65876-1ffb-4376-ac69-30bc4a1f11d5"/>
        <s v="c100b479-c169-4f62-8d2a-82994a8ef0fa"/>
        <s v="cb2352c0-8796-4ebd-84d7-33203546a4cb"/>
        <s v="826d9505-bc85-407f-95a3-b12b5fe5566b"/>
        <s v="4e35c600-2a16-4f28-9de5-5ac2151674a5"/>
        <s v="c29d00e9-6a9a-45f0-b194-a343ff209570"/>
        <s v="88268205-0f39-4e9a-9353-1a9ee68c009c"/>
        <s v="1d0dc58b-5630-4061-a4c4-8af444dd978f"/>
        <s v="fa63cc57-bb9c-4785-aff8-0c7c326b44bd"/>
        <s v="c7ef43ee-8690-4aa4-9f03-8c8f2d905b35"/>
        <s v="a1cb1e10-0e31-479a-b8bb-5dc909b32b66"/>
        <s v="34e4f422-3bd5-496a-af08-11ecf5856460"/>
        <s v="302bfa8d-a0d2-49bf-ba0e-92515d5d4911"/>
        <s v="97a11539-f994-4f4b-9252-85c25f05e297"/>
        <s v="495441f0-2d83-4d9c-aafc-5c80643ab7b5"/>
        <s v="7413d048-5e1b-4043-9969-89781ce744b0"/>
        <s v="6b1218cd-9317-4016-8163-c9066aeb1992"/>
        <s v="54fb7e8c-ef1d-4daf-815b-e5c1e7948ed3"/>
        <s v="c9d412ed-c316-4612-a0d3-34580de6a8c0"/>
        <s v="42475c68-ebdf-44e9-8ae2-152388b5d345"/>
        <s v="1a70ed1b-c3d7-4e03-b54a-3308b332ece5"/>
        <s v="6a60671f-259c-41c8-b7d6-e1848e4ca004"/>
        <s v="d7b9f594-a51e-4402-948d-437dc2679714"/>
        <s v="9ed12598-d607-406c-a92d-66e498a65727"/>
        <s v="e686ffbf-1106-4e80-9c74-30ed3ca60174"/>
        <s v="6a2ef805-75fa-4c53-b30f-57c35a82c2a4"/>
        <s v="710a2493-760b-4c29-8181-ee456d867a10"/>
        <s v="402dc8b0-1539-48cc-8e45-054961cea52f"/>
        <s v="0290472b-3bf5-4451-95ed-11349e543e25"/>
        <s v="2a34b394-3a83-4acf-a98b-738080cc0de3"/>
        <s v="50843e6d-c79e-434b-87b9-c3050b4bcc8f"/>
        <s v="467ff27d-c3d7-4928-bade-34474e2a754a"/>
        <s v="eb22a1ca-e765-4386-9637-b65cff10da6f"/>
        <s v="213520c6-9cb7-434b-bd54-ffac25a0f0c9"/>
        <s v="1d2a3f24-e05a-4249-8b6d-8695ae2cf4c0"/>
        <s v="67b34291-ecc9-476a-bf0b-8643f28dc5e3"/>
        <s v="159a0e2b-f468-4295-9e69-b0d9dd79d890"/>
        <s v="d7706a15-f812-457c-8d85-83d2a2d32412"/>
        <s v="43e6f253-5964-4977-b9a4-0e5736909a2d"/>
        <s v="d316fe37-6f89-4145-b9d0-9c1a80acf0c5"/>
        <s v="ffc0eaa2-dede-4a7c-951e-989249dddf91"/>
        <s v="1c737d8d-798a-48ec-948e-46c132c3393f"/>
        <s v="fc5fb02d-66ba-4eb7-8c96-53c743ac52e7"/>
        <s v="f778848a-1ec7-484b-a619-98ff8730961f"/>
        <s v="009ae06d-cf99-467d-9ca4-a01697f72e27"/>
        <s v="c2fdb9cb-b220-4f3e-952f-61a657955f70"/>
        <s v="f04eeda0-c720-4430-b322-240c09bd8019"/>
        <s v="9929413b-4955-42b3-b759-d93919a6a2c6"/>
        <s v="36802342-00cd-4228-8e94-cc30c83b0652"/>
        <s v="e9aad92b-b3bc-438a-9893-00066fab9810"/>
        <s v="c7d6ecb9-b4e6-44ac-bf56-caf4c24db02f"/>
        <s v="32958c32-9158-41e9-a53a-1fc911df997a"/>
        <s v="7a049296-c624-4bff-8f06-3b6b06011495"/>
        <s v="028c3012-bbb3-43aa-964f-69aba65f05aa"/>
        <s v="93adef20-4cdb-4207-bbba-d4412eb8840b"/>
        <s v="448e14d0-eae1-4771-8c1c-dd1f4ea21088"/>
        <s v="fd338d3a-d67f-4c10-bd09-55bbc6c310d1"/>
        <s v="077fd234-6153-410d-a149-184f01f2e37a"/>
        <s v="89765ca7-1472-4672-b556-1f836ca9eae7"/>
        <s v="01e64b83-374e-4aac-8ea2-166257f545a7"/>
        <s v="af40dcd7-913c-4661-9539-8e5b477bae0b"/>
        <s v="b3ac9ad7-3336-45ee-8e9c-45dd90295e61"/>
        <s v="0cede563-5f38-42bf-93ca-f67930084cf1"/>
        <s v="a0229848-67ee-4a81-b13f-f722ded36349"/>
        <s v="c0cd7087-1cf5-4a4a-88c0-5880b8793c33"/>
        <s v="21abf1f9-c019-42cc-a2fd-e17bdaa99242"/>
        <s v="6eb13480-9450-4caa-8024-32e6e36c12ab"/>
        <s v="3c957274-31de-4637-8c46-828eb2c095e9"/>
        <s v="b7681cb8-fbde-4312-ba1b-0c772e149e82"/>
        <s v="b1d25534-830a-470d-a41f-2a8ac404b047"/>
        <s v="dd6c8ba4-bdce-4e89-8a25-248a85e34e96"/>
        <s v="1a8c7e9d-606f-43dc-9e8a-38707414cb60"/>
        <s v="9fea2180-a947-4e2f-b6c9-5371f9bac38e"/>
        <s v="a54ade2d-7062-4dcd-a41a-a92c117729ad"/>
        <s v="b9c6fc20-68c7-453f-b881-23c480cd6bd2"/>
        <s v="557a8a9d-fb81-41f2-9c1e-7c5651463eae"/>
        <s v="f3c3146d-5022-4c1a-8a7c-38632c504802"/>
        <s v="a406d85a-6020-4738-b3ed-53d680678126"/>
        <s v="b530707f-4d7d-4afc-bde4-e36c5328a487"/>
        <s v="688bf8b0-b0ea-4f26-96a2-bf0bf26b0c06"/>
        <s v="60d8025a-b531-49e9-a8a9-cc068cf74685"/>
        <s v="40b3bbac-c623-4647-a606-b5af9a39c69f"/>
        <s v="915c486d-4ef1-4e6b-953c-b179a8d2ba80"/>
        <s v="46e7ea20-4ea9-4a4d-a9d0-fe7ff0edc16b"/>
        <s v="ad71df5b-e541-4c69-a100-86824806dfcc"/>
        <s v="6a4bb496-8bb3-4227-aa74-8a7d94a78dd5"/>
        <s v="b2ccd416-d146-4511-9bd6-7eb3bd7333c6"/>
        <s v="5a5c3350-ddcf-484e-8349-4b078818dfc5"/>
        <s v="bddbebd3-8d7c-4f54-b99a-707a32de78d9"/>
        <s v="3cd2ba34-59ca-4654-b969-558904dc2456"/>
        <s v="f72dc1de-5d72-4f3f-b45b-348ffb8c50ea"/>
        <s v="3786d3a2-e035-4239-845a-3dce8eca0b61"/>
        <s v="45b7faf6-5799-4708-8c79-9b6b478ccfc3"/>
        <s v="102c4aaf-9bcf-4c52-b93a-cf8ec01c2ab6"/>
        <s v="ea922216-7953-46a5-b039-73b0459c6adf"/>
        <s v="f10d9e5e-78e5-42f9-984f-478745f93fb9"/>
        <s v="5d5d2fc9-2318-4ab5-b209-bb096e9dc1a1"/>
        <s v="62a79a02-2ff5-4434-a42e-150fc8d403dd"/>
        <s v="b1db7db2-5c54-40de-8504-0fd6675da8c4"/>
        <s v="a7dfe4eb-5eeb-4472-bdee-bc2113869dcc"/>
        <s v="cebd42be-c5fb-495b-b850-22b67d7d538d"/>
        <s v="4143d835-b0c6-4920-b3a2-df5339be92e0"/>
        <s v="de4c96f0-b965-4289-ab99-9976cb8ce9b5"/>
        <s v="a65e1da8-d4c4-4925-b15a-eefb65f84daa"/>
        <s v="95d058cf-b6bc-4829-8814-0306aba9f164"/>
        <s v="67cc5c65-25a9-43f0-a481-eb602e83758e"/>
        <s v="89938fb6-bb60-475d-8eb2-dfedd5f150fe"/>
        <s v="5c34f35e-07c8-42f7-9b9a-3bcaed3fe12c"/>
        <s v="f8f7bac5-22e3-4fcd-8c93-90375d23c11b"/>
        <s v="3e1cb7d4-91f8-411b-bc26-a8e0b4391db9"/>
        <s v="32cbf6b2-5cd5-4174-8a02-005124de47a9"/>
        <s v="96edea28-2897-4637-85bd-60acc395c4c4"/>
        <s v="e293657e-9d00-4bb4-a00b-b178850a3ccc"/>
        <s v="c4d429ce-cdcb-4f2a-b91c-26eac3db495e"/>
        <s v="06092c99-a04c-49aa-b1e2-81711e255109"/>
        <s v="b4335591-8cf2-4447-be7b-0390e7645fec"/>
        <s v="cd9cf7e0-6da4-41df-8be9-2d02844b1c31"/>
        <s v="6ad9efba-ddc4-4d96-8495-584d4bb26f20"/>
        <s v="2a063e75-ca9c-4adb-b9b6-54a80b4e0078"/>
        <s v="4314e54c-5647-4bc0-9804-307229669994"/>
        <s v="66a70af2-e06b-4866-8aaa-a2912c261d68"/>
        <s v="9bcb4a05-0683-4847-aadc-b955ee3775a4"/>
        <s v="d955fcfb-9a73-4a28-9931-b2f8a50846b1"/>
        <s v="428f89ef-5eb4-469e-b29a-14fcef36e9d3"/>
        <s v="ec0799d5-b19c-407d-9997-ef035cb093a4"/>
        <s v="7cfc5646-ee03-43c0-9218-196b1d77162a"/>
        <s v="5e633cdc-c67a-440a-87f3-4972f2d004ac"/>
        <s v="a135de6f-9fab-4ce0-843f-2cfd1eebc422"/>
        <s v="2c03bec6-97ff-4eed-9ab3-48894b938d1c"/>
        <s v="30697ee3-c6f1-4277-b269-c3c951095f84"/>
        <s v="ece1df7a-ba2b-48cc-9d1f-e8d8a307a1c6"/>
        <s v="922204f6-79f1-49ba-ab4c-25b2f7427397"/>
        <s v="d0dda286-bcb5-4649-a635-e4247f6a35d8"/>
        <s v="8018872a-4ec4-4b51-8563-8d9d85f09396"/>
        <s v="f0651ccf-cec5-4eb0-881b-198e786e21cc"/>
        <s v="b5b62540-d5f3-4cd3-bdd3-48312389c2db"/>
        <s v="55c662be-f3d2-40c4-ba87-75f3a5b76faf"/>
        <s v="acec8856-d263-466f-b05c-84bd5b847fc1"/>
        <s v="fbdb0e9b-584d-4085-8bf9-8d372b99ebfb"/>
        <s v="b138908b-b0cd-458c-9da0-707f94b0ffcd"/>
        <s v="8cbd3d88-e898-4121-92bf-4315def5c26b"/>
        <s v="4d35d453-5b30-4e58-a33c-a870dde7a68f"/>
        <s v="26d71239-8773-4f98-a147-880cc7ae84cb"/>
        <s v="3ce15a6c-2825-434c-ad46-cd79f4bc2381"/>
        <s v="5548f892-9c81-4567-87e7-399e543e91d9"/>
        <s v="15c161e7-84e8-482a-963e-a7e6326abc14"/>
        <s v="5c493940-b957-429c-b2c2-6378fa0e9e7b"/>
        <s v="b132b519-abc7-45bf-afcb-a51cf812697a"/>
        <s v="9a041544-4b70-4ae4-9dee-985076c979eb"/>
        <s v="08148c4c-9768-48b2-a627-96eb9c4ecb15"/>
        <s v="5b24d4c8-65a7-4ec1-8ca1-f46584e4d7f7"/>
        <s v="df4cc62b-b7d8-4963-99ea-48fe79203fbe"/>
        <s v="85c98452-482f-4a08-b9eb-a1cf145ad831"/>
        <s v="92e1c1ff-b495-49b7-a5b5-d0aeb1d04194"/>
        <s v="1ee6182c-86b4-4ebe-b5e3-4e371ac515a7"/>
        <s v="6a272f91-94e7-4624-af64-2a57ea5ea246"/>
        <s v="75ce132e-b6d1-4542-be19-8b8ae4cfee4c"/>
        <s v="862a25a8-b572-4c67-85cb-bdd2f7503da7"/>
        <s v="77c7a554-42e9-435e-b1af-df86b0f8167f"/>
        <s v="df469a69-84f1-42dd-80d3-89ef0d15476d"/>
        <s v="bda4c76c-8205-4def-8d46-9d2d6a40365e"/>
        <s v="09c37b10-c227-4f88-9c6a-eb146d381382"/>
        <s v="56e3bed1-3ae7-459a-95b0-7637859d3f76"/>
        <s v="884ce8a6-a2df-426e-b152-a3a8cca48ac2"/>
        <s v="5ea8d6a3-3c14-4c58-91c5-b2ce7b7b435a"/>
        <s v="03e4dd2e-3e51-4d0d-a880-eb30ad369498"/>
        <s v="5d45490d-e212-40da-9db3-7fe81d466e5d"/>
        <s v="47707a3f-9323-4d55-944e-bc1bd0981b5d"/>
        <s v="44eb6606-bfe9-426e-8e4f-c7683d27a64a"/>
        <s v="18b6e7f0-7f1c-4914-ab72-945d8d766ba6"/>
        <s v="f0d38b06-2059-47d6-9f56-aefc70f2727d"/>
        <s v="2d413f59-b03c-479d-84d2-e6d17034f1ce"/>
        <s v="de92a9b2-739f-4ffe-aeb7-97d14d474602"/>
        <s v="92b45d23-a69f-49fa-84fe-45e1c5d428e3"/>
        <s v="e7e6c336-1e49-4295-a6a2-d4acf044ce4d"/>
        <s v="b89c9db5-89fd-4f46-92e3-9846d55a78cf"/>
        <s v="7e9821f4-95d8-433f-958b-d88fd9985891"/>
        <s v="bb32f0ba-b764-401c-a691-3d59b0136679"/>
        <s v="fa3bf710-eb5a-4873-893c-d6a73dc7c4f9"/>
        <s v="51261e24-fd4f-491f-82aa-f60c2d85e228"/>
        <s v="99993024-cdc4-433a-bc86-99d1960cf2a9"/>
        <s v="147138ab-2800-4faa-9770-b5aac577f7f3"/>
        <s v="7ce37500-a380-4f67-8cbb-04f3cb8e5cc8"/>
        <s v="86e384a9-c2a7-45ca-a673-368c949b7a96"/>
        <s v="93eed3fe-4660-4b73-ac92-7b7bf72ad00f"/>
        <s v="0e8a03cd-16fb-4487-accf-bc309a83a97e"/>
        <s v="8b0b8f3a-d8c5-47fe-9e94-09d8d82d6464"/>
        <s v="c95e92f7-8dde-45fb-8837-d183a4786431"/>
        <s v="c3a1ef5f-f105-4822-9c72-844ed7b0298f"/>
        <s v="f76306ca-536d-4c20-8a36-77c9fc49afc0"/>
        <s v="4f8944d0-df82-4668-beab-3dcdc6f3cf2f"/>
        <s v="1fd8b779-9173-420c-b04e-89c7391c69a8"/>
        <s v="0863774e-d706-46c8-a6ec-13da6cff2aed"/>
        <s v="d9f6800f-10da-460e-b27e-bdbb10820a14"/>
        <s v="39880590-7dce-48d2-a8b2-dcef91f42511"/>
        <s v="d9c1410d-a481-442e-a55e-c877ab1e7b3f"/>
        <s v="e4d04092-1822-4155-841a-4386e1c16529"/>
        <s v="e5ed9d85-b980-4269-aaf2-f370cb138032"/>
        <s v="0e9b8d25-5a04-4737-8386-12ae6d3bfcb0"/>
        <s v="d49cecb5-d5f1-4242-84fa-895e2d538ed5"/>
        <s v="e2e5df9e-ce8b-40e6-9eed-af6f6afbf580"/>
        <s v="41673c52-8873-43f3-b016-36a8c4e22ead"/>
        <s v="ac35ebfc-2fef-4aca-8a06-c9547d41dd8a"/>
        <s v="ff3bf349-be3d-4ed5-a05d-026306680047"/>
        <s v="8a075c13-f70b-4b5b-909b-e961bf332236"/>
        <s v="969772b7-82a9-4281-b808-f08dbacfaa54"/>
        <s v="30208b2a-0356-49da-b9b5-5dadc87e2157"/>
        <s v="2c896ee7-2283-43d2-9ff9-44e43322ed6f"/>
        <s v="8961a6a3-8576-4db8-bcfd-98eaefa53976"/>
        <s v="36cbc08f-0000-4ac1-a306-2119638696af"/>
        <s v="8a1ce3fb-e2c2-4c33-8f15-c428f8a97642"/>
        <s v="43c7bc6c-6c1b-481e-b0de-1a182eecc87e"/>
        <s v="67e78427-8d9f-40c5-b32d-df9777d2029d"/>
        <s v="a4da2665-dfb9-46f3-b658-cc5d0505dd86"/>
        <s v="731cae55-5431-4c89-89e4-ae12557b88e2"/>
        <s v="92461461-c9c6-41f5-ba8b-7e68bb7088ec"/>
        <s v="1bb7ccf0-5ad1-49e5-831c-01f403e1e8ae"/>
        <s v="d8b5d3e5-0632-4dbf-9b3c-2094a15de8e8"/>
        <s v="8d23f99e-11a9-4194-979d-e2f334eec6fa"/>
        <s v="853315fd-3f57-4c4d-b1c0-63876571d6be"/>
        <s v="0063b295-8de8-42db-a280-53ce8abd64d5"/>
        <s v="ee1c498f-9419-41b5-aad7-950f328bcf29"/>
        <s v="6c36c1bb-60d5-43fc-9b1f-840f4136899c"/>
        <s v="1721608b-9124-49ea-8ec0-ea350388ca09"/>
        <s v="ffe80953-b756-448f-ad50-9fbbf034b1a3"/>
        <s v="03d30ca8-82a1-4711-a969-6585129ef1c6"/>
        <s v="008ee7b3-7786-4b09-b979-9ae857581c91"/>
        <s v="d513a436-d4fe-4ff3-8ec9-e92a32ed8cc7"/>
        <s v="1de0d9e2-fea5-4f41-858a-b4d39e7e4657"/>
        <s v="07ad1313-5817-452d-ae83-9deb77f566ff"/>
        <s v="041c1c21-48c4-49bf-8301-a26b4b366c97"/>
        <s v="bd82514d-6aed-4ca8-885d-60312b6b736b"/>
        <s v="b033c422-b86e-4729-a448-c047ea02bb69"/>
        <s v="758acf48-c5d8-4ad9-8a21-e3e1440e091e"/>
        <s v="be204235-85bb-4fe8-9216-a9791c716831"/>
        <s v="53b6bfd4-05a9-41c3-adeb-dfaa20821700"/>
        <s v="2b9e4412-7cfc-4c93-b65b-fdd1b959ea0f"/>
        <s v="dd4ae052-c48d-46dc-a438-fad5a215831b"/>
        <s v="6e634080-3cde-4f41-b8b8-f7a29d0086fa"/>
        <s v="715a22e4-0dbf-4ab3-9d6d-bc8cfaed54f3"/>
        <s v="f3f6eded-9605-463d-befb-0ec09cb7398f"/>
        <s v="54483220-8340-4be3-b6c6-51347b1f367c"/>
        <s v="0b7c1304-c2c5-4050-9b73-fd7e7c4c1936"/>
        <s v="31d353ab-28f4-4ab9-8b40-a16ebfc9742a"/>
        <s v="2acb1d18-6de4-4e08-ab0f-a43239b072ab"/>
        <s v="239ba516-3ba4-4ab3-afd0-e7520e4284da"/>
        <s v="1d192c49-58cc-4355-8ae6-4fc5be821369"/>
        <s v="e469cff8-fcc0-4664-b06d-c801efd84779"/>
        <s v="a8f00c77-f3a2-4ae2-a236-7df93148023d"/>
        <s v="4185aaab-33a2-4e6e-bebe-5b6cf12100d2"/>
        <s v="8cbf9f9b-f7d4-44ca-9484-0940e88fe51a"/>
        <s v="b1c04b5c-3ca0-4299-a95b-4cc9fd47e5c3"/>
        <s v="55a12788-e321-4656-adc6-1c4b1c4fb82d"/>
        <s v="d06b5f3f-acab-4f8e-bf1a-8c1dfe18228e"/>
        <s v="c069967b-0651-485e-806a-1c2453c8e423"/>
        <s v="d1786d96-57f5-4220-90b3-218a529c8cc6"/>
        <s v="3db9364c-36cf-4bf0-94b1-afc28a4e7da5"/>
        <s v="6321df0f-9103-4ad4-8571-120df4dd675b"/>
        <s v="a2820ce9-6172-4e14-acb4-dbc156430397"/>
        <s v="d6516497-6c06-4709-8da9-2fbc709d5c67"/>
        <s v="c08f9ba9-0e32-4277-937a-eae40b912ab0"/>
        <s v="ab493d65-9af2-465e-9886-dbff53ffd8a3"/>
        <s v="51322ec3-e52c-417f-9f2c-20ffb25bf684"/>
        <s v="4fd78018-da91-4f39-9975-a34231cffcba"/>
        <s v="4c7d52b9-0e48-4e31-bcf4-e5fd45e48176"/>
        <s v="0d39987c-fdfb-4ae0-a487-86b097bcd57d"/>
        <s v="4b439440-bf95-4e0b-865c-32dff4dfe00b"/>
        <s v="d8d9e077-3fb8-4ad4-b860-e6a47239634d"/>
        <s v="426433ea-0410-4d24-b435-247c7b633415"/>
        <s v="0b7f03ef-aac2-4547-b835-a7f3a3348e06"/>
        <s v="dbe8b52b-292f-4415-82d6-3dad0ebf96c7"/>
        <s v="5e0eecec-2dab-48b7-a609-0fd963d1d90a"/>
        <s v="89fcd453-c6b3-469a-96fa-b54ec64f874f"/>
        <s v="8d3b7c03-8540-49a4-a954-d8b7b6b2fa06"/>
        <s v="42eeb64c-1110-40be-a856-c0a364fb8c30"/>
        <s v="4c0c62c7-01f1-4c1a-be44-12a93c7d2e39"/>
        <s v="31af08be-2649-4947-9338-28fb518be843"/>
        <s v="50ca8d12-6f3b-4d72-852c-ddb04e41ecb0"/>
        <s v="e6cdf437-19fd-4174-9933-e60c7eb6eab2"/>
        <s v="8d5984e4-42c5-40ea-a6b1-0829494656fe"/>
        <s v="d337811c-59ff-494c-9e71-77b6282c296c"/>
        <s v="f055f3a8-2041-4c8b-a2df-fc620ea22103"/>
        <s v="b2d5a4a0-38d6-4f4e-beee-12c24b103604"/>
        <s v="838f9377-c59f-4f9a-a769-8126696776e4"/>
        <s v="6658ba19-5ccb-4206-84b8-fcfc241901bd"/>
        <s v="0cf77e4b-7fd3-4462-8680-6cbd693e9c0f"/>
        <s v="c744e13d-7463-4060-ba2d-cdabdb1c3b2d"/>
        <s v="db925419-778f-4d29-963a-7f15f6e37629"/>
        <s v="a7ec5218-20b5-4ecf-b899-d9c26fa6614c"/>
        <s v="bedb2d59-276e-4a43-a057-2331a8689f9f"/>
        <s v="f4ecf59b-ae01-485b-a05f-b80aa788d151"/>
        <s v="e8070b1a-de24-4296-b9ca-c4d62784eb47"/>
        <s v="0a48305d-5c9c-4afa-9ee6-8e31efd58718"/>
        <s v="4181125d-2bd6-43ef-b4f7-d88b503ebcc9"/>
        <s v="6563276b-f905-470d-b64b-37b07114a824"/>
        <s v="3ee7965a-242b-453a-bf95-82e9c7bb26d1"/>
        <s v="4d127c49-b5bc-4cbb-a0a0-ccd12275f405"/>
        <s v="19a6e9f7-0a45-4879-ab17-df6979e1e612"/>
        <s v="6f429ee1-fdee-4a46-88b6-217e010bf7ca"/>
        <s v="b6a7e9ca-6e44-4a2d-b6ba-e7c65710b065"/>
        <s v="eeed2640-7588-4324-ae74-fb40227005b9"/>
        <s v="af87cfff-afb0-4f85-888d-e5db29ae4766"/>
        <s v="7bfb5106-b10b-44e9-8093-4df0ba80e372"/>
        <s v="3f395849-b4c1-4e2b-9b2f-e88f10b94e05"/>
        <s v="117eebda-32b4-42cc-95e1-dc2c259fffa6"/>
        <s v="8ad2a9d2-c3c0-4b9e-8d31-bc798c2a566c"/>
        <s v="c039c16a-b7e7-4616-8b5d-dbc120a30d24"/>
        <s v="294b26f6-bf81-4c20-9d69-4b0d99e6fdc0"/>
        <s v="bea55d48-ca8e-4a5e-81da-22d3ae44e9a0"/>
        <s v="dc08f2b8-94f2-4889-8156-0e3c3724d0ff"/>
        <s v="93708c46-9f11-459e-baaa-d1222d691d65"/>
        <s v="99b0e8dd-7174-4559-a628-143ef6d46608"/>
        <s v="5b96a097-c481-4d3e-86e5-63c57b646a68"/>
        <s v="1c9a7d40-c4aa-47ee-b862-881e78aebdcd"/>
        <s v="b87357bf-0adf-494c-9fb2-d5fb5810088e"/>
        <s v="89989cae-b728-4235-9a32-5fbf288f2094"/>
        <s v="165472a7-d6ca-4fd8-9f05-0a98ddac11f5"/>
        <s v="6a4f1549-65b1-4c76-9fc9-eb216605d11b"/>
        <s v="41cf07f1-c8b8-4719-8e87-4c6a66e4a90e"/>
        <s v="5118c46e-3697-423d-b0f6-bcb15c09e38d"/>
        <s v="c2384374-01f4-4848-97cd-a1327649abfe"/>
        <s v="fa85138f-7fb2-499a-acc2-02957ef92673"/>
        <s v="dca19bf4-3f5f-484c-bfdb-75c9ded28858"/>
        <s v="c52c3f64-0bf6-4119-ab4d-0c0c46049424"/>
        <s v="ac1d0457-8737-4d32-adc3-08dc6711b75b"/>
        <s v="d6c6c3cb-6cf5-40a9-b8d5-65640f8dab1c"/>
        <s v="46378c72-4067-4729-b1e5-3d39203ab930"/>
        <s v="4f50dcb6-7cbd-478c-baf6-9689eb8eab31"/>
        <s v="c757a287-6f17-4368-b595-ae2d6879f392"/>
        <s v="8a373805-0041-447e-8540-70bded3c26c5"/>
        <s v="efd76242-e0b5-4aca-8c44-84ce7f553f97"/>
        <s v="f0548b33-86eb-4b3f-a1f4-cef9f9f11955"/>
        <s v="5150f58c-f863-4f35-bdd4-d6cfc1a1ef10"/>
        <s v="13dacdaa-eb35-4a33-acaf-5c98625d9304"/>
        <s v="892ddf8c-3dff-4e70-bc34-fe5c8d39a78f"/>
        <s v="cb4fece9-bf8f-4e7d-8218-b9d826729e46"/>
        <s v="7a847fe9-f974-4d38-9d3a-114f4c95ca6c"/>
        <s v="26797519-98dd-42f4-8c83-b6e7fadde63a"/>
        <s v="d035d687-44b0-4ce5-a8c5-2c6ad05a14b6"/>
        <s v="61f84332-1ec2-4e0d-a005-9d6532dfe8b6"/>
        <s v="74aa1913-0ff5-4bb1-b6ab-0793b04293d5"/>
        <s v="aeae3ab8-cc1b-48bb-8dc8-c1ece4d21277"/>
        <s v="261825fa-a4ad-4a21-a7ab-e2b644eaa67a"/>
        <s v="3cad7de1-68ae-4cc7-b586-20c1f7e16a6f"/>
        <s v="9376962f-fb7b-4390-9eee-6e8d5c685697"/>
        <s v="a73cd6f4-c471-4e0a-9570-af0860e0c5d1"/>
        <s v="ec823a46-e1bb-48d2-a563-9abba872b426"/>
        <s v="6b36097a-158e-4b1e-8cb1-944c9ce34b4a"/>
        <s v="fd8576ca-69cb-45d0-93ae-3ce2a9dce766"/>
        <s v="5deb41b9-32d8-431b-91ea-ba2fc94ad0f0"/>
        <s v="dcdc9582-af1b-48f9-9862-62eff619038d"/>
        <s v="20632308-0231-4070-97bf-4fc82c188f74"/>
        <s v="3820b6cc-8345-41e5-85aa-bd7f843a64c7"/>
        <s v="32258448-6b2d-4224-a41c-d14a47992b1d"/>
        <s v="0db62a2e-44b2-4c21-8063-f5b1546b6955"/>
        <s v="9183f20d-2692-4cfd-9433-54c64739a537"/>
        <s v="5d97fe11-f95b-42c8-8f10-ab98a05aedf1"/>
        <s v="63bf917d-0951-46b0-8ecc-bca9b657690f"/>
        <s v="627df819-fafe-490b-ae7e-587db323ca23"/>
        <s v="8d289647-c833-4bdd-9d10-71a2f5a73822"/>
        <s v="63edf886-6d4d-489d-a1a2-e321304707b2"/>
        <s v="afb698db-e120-4b30-95a6-9232db712b80"/>
        <s v="503faa4c-b2dd-4a4c-83f9-fae7ecfc966c"/>
        <s v="f6d11075-7912-4e6a-b081-b8502c35c2e8"/>
        <s v="9c256de2-6001-4873-beef-336a82436867"/>
        <s v="a684008b-46bc-446c-9f1d-5210c524215e"/>
        <s v="9e5f6867-749d-4b5b-97ef-2330c2558d3d"/>
        <s v="200bbda1-4911-48eb-b2f0-a013eecdf376"/>
        <s v="4f7b91d2-aac8-4620-9241-12ffa5035fae"/>
        <s v="1f9cafc0-71e6-4941-89cd-cd0654b8509f"/>
        <s v="e2aaad5e-d941-478c-b128-021e21417ee5"/>
        <s v="972dd545-20a8-49a2-be8a-93f570eba58b"/>
        <s v="748ca89e-cc7c-4b74-9211-5c7153943bea"/>
        <s v="86e77ae0-7bda-40b1-a21d-bd010a7db5de"/>
        <s v="619f05ab-6826-42c6-a241-6073b5679aad"/>
        <s v="6b47665a-5972-4a11-a9e7-d42e56cf42a4"/>
        <s v="0209ebb3-9a7f-4e7c-8172-ecbf898f89e8"/>
        <s v="db9595ea-f739-4781-a02a-e17561575f0a"/>
        <s v="60fe9134-df81-46f3-ad0a-16da706fecac"/>
        <s v="9fa9acba-1ca0-43da-be32-3ee4f9804f9e"/>
        <s v="9569ccbc-bd8e-4611-8386-71eeb9e0963f"/>
        <s v="b17b1651-8264-42dd-ac16-7674416db2f4"/>
        <s v="e1d56019-1e10-4a1a-9dff-bff7048987d6"/>
        <s v="499a27b8-9b8a-42df-848c-279a1fb88d7a"/>
        <s v="208bb22e-749f-4a4a-a2fd-3ec3a0703858"/>
        <s v="d0cc2a3f-64b1-4463-bad8-280dbaa0e01e"/>
        <s v="d8cce44d-2d8e-494b-b543-022a5aa32bef"/>
        <s v="a9080111-fd89-4e06-96e1-327168122bd3"/>
        <s v="700aef49-fe52-4fd6-8401-bbfa8ba48024"/>
        <s v="7594ffab-c88c-40b4-b851-6897e6230fb0"/>
        <s v="5a8a2ee8-3161-4250-96ee-39982c89933d"/>
        <s v="2ec74e7f-5da0-49a5-b478-4adfba45fdd6"/>
        <s v="bb041e3e-efa8-46cc-b7a3-9b103ff31b8a"/>
        <s v="9fd5d30c-2b67-444a-b0bd-e6ce0c2a3c03"/>
        <s v="017b54f8-9568-458c-be6a-2127e15e3349"/>
        <s v="8ce73f48-2cc5-4586-974b-db612bc9d6ae"/>
        <s v="69e33745-af53-42a9-8a08-ab9b741268f8"/>
        <s v="1a445c40-669c-4d48-9f7e-e41b2c6006d6"/>
        <s v="b5d71709-4790-49a2-b5ad-435f7ed9b979"/>
        <s v="165c0023-40a6-48a9-847c-8e2378c194fd"/>
        <s v="4b28f4e5-d521-4d6e-94a1-2e2d06559b71"/>
        <s v="2fe40e73-e64d-4041-8cab-8d5839371f3e"/>
        <s v="ea9a5757-0b3d-4e68-a589-fa1e990cd6ce"/>
        <s v="35f1d04b-c1d9-4983-9fa7-6f9262ea97cc"/>
        <s v="8d755bac-229c-4065-93f5-cba971acb014"/>
        <s v="59db14ef-c72f-4719-807c-e681756eb5ee"/>
        <s v="03e2d336-f9ca-4b38-a731-4fc42de09dfd"/>
        <s v="4473f6a9-94d1-4880-bb1c-9090765954e5"/>
        <s v="306238f0-70d8-49c3-bc3f-5c9df03698bf"/>
        <s v="1e6eeb8f-b60f-44ee-ba31-3a83169211cc"/>
        <s v="3e03b8c9-f4af-4cc6-9900-836221bba3da"/>
        <s v="0fcf615c-8bf9-42ad-9b7b-8c8dfce43c46"/>
        <s v="15e836b2-b0d6-4cf5-8d89-60e52bb5cf43"/>
        <s v="591e6a00-aa0b-4b7e-b547-bcc9b6807a94"/>
        <s v="04587e83-9d1b-4d06-bd12-0b5cc9b5f549"/>
        <s v="afbe8b22-f099-435c-a4a9-2882252b6103"/>
        <s v="24f20540-a81a-4ad1-acf0-df3af36dae7d"/>
        <s v="a279348c-c747-4e18-b056-f066a8c54d22"/>
        <s v="68461278-65b9-41b1-b4b7-f73c4451f4cf"/>
        <s v="45af360d-59f3-48b1-859a-152f251ca886"/>
        <s v="fb731060-72a0-4e77-a717-4072694bb2db"/>
        <s v="7a1fbf36-eb1f-47d5-9a36-263dd8af1257"/>
        <s v="a9af6b62-1d3a-42df-99e5-230a527f9cf6"/>
        <s v="6e7f24e8-43fd-4576-b4e4-b3cf8affd7ae"/>
        <s v="52debf9b-2206-4dc5-b40f-22d8df8bf7f0"/>
        <s v="582a5e26-8066-4160-aeff-a40ad4fe52e2"/>
        <s v="2a51a5bd-6af1-4306-8be1-f8bb0f7106d3"/>
        <s v="e4cf76ae-abd2-47d4-a0b7-6238612481ae"/>
        <s v="8ade79e6-11e9-4fba-b189-eb3b62f4cbd6"/>
        <s v="33abf96f-5053-40a9-926d-c62cf710d5d7"/>
        <s v="bdb0c3e4-d084-49a5-a6b4-ba900b20e2ae"/>
        <s v="dffbee9b-2a20-4916-9f32-44754d3fae5d"/>
        <s v="8d1f42be-4310-48c3-951b-e030b1423297"/>
        <s v="1d820555-0e65-4a21-b58e-10930e326e7b"/>
        <s v="bc87e88e-b56e-4324-aa42-315d92301cfa"/>
        <s v="ec311ea5-7cca-4497-a38f-d5ca91fc4a16"/>
        <s v="2cd50550-d603-41b2-a403-b06bf90f402c"/>
        <s v="b34e56ee-bab9-42ce-a5f4-4476f3368f27"/>
        <s v="0fd63ae6-044a-43d2-a798-092f0a9ca3ab"/>
        <s v="1abba075-8634-44a4-b6c5-0ea6c8708df0"/>
        <s v="214a4b85-cfb9-4315-8151-787c0f67ac19"/>
        <s v="d28fd44c-05cd-4575-a1d4-081b8663b676"/>
        <s v="76bda0d9-e9f9-4356-9c98-ac7e6cc773af"/>
        <s v="1af3b08f-465e-4aef-884a-7fb512a724c1"/>
        <s v="5e889b8b-72a8-43b0-adf0-70b8e27e0baf"/>
        <s v="e87c0e21-81f4-41b3-bbc0-ecc860e4a4f1"/>
        <s v="5c67b9e8-ef45-4f3e-a2ed-49d3f39d1149"/>
        <s v="57dd5a1f-543e-405f-a66c-d3440caa7883"/>
        <s v="971ada99-0410-407e-9f75-9c8d5be19858"/>
        <s v="fb386644-251f-41d5-9aa5-0effa6575ab7"/>
        <s v="698397cd-f3c5-42b9-8ee7-675e5ac6dcaa"/>
        <s v="98d1bc59-ba9c-4923-b9cd-06d3c57ffe57"/>
        <s v="c800eb85-be04-43c5-950c-4be1b628b942"/>
        <s v="fdba0744-ad19-42dc-a09e-8fc306cf7732"/>
        <s v="f6a4c26a-3865-4f58-99c7-07d8e2ca6da0"/>
        <s v="df30a4f3-dbd9-408b-aef6-130263821f4b"/>
        <s v="d3e4b4f5-0e5d-46c7-a6d9-b15a09e90033"/>
        <s v="b07b2920-9fbe-4a2c-ab22-d232c3ad228c"/>
        <s v="68c5e3c1-7b1b-43a7-acde-3a8ad2cd8bac"/>
        <s v="60d79197-fd4c-4a31-a577-d7d861b32c67"/>
        <s v="be31e53e-d5d8-4a44-a252-aa621bcd0ceb"/>
        <s v="b122bc72-7239-44b5-a84c-5afb4963ef9d"/>
        <s v="bf0d8fdb-9d95-48a0-8ea7-0981d07129f1"/>
        <s v="469f8a63-5545-411e-bc81-bc156cf61fd4"/>
        <s v="7b2e59df-2c66-40f3-a7c7-a4cc494f7f5e"/>
        <s v="54181b0d-ea89-4121-a212-605c632d4222"/>
        <s v="38689b3f-5f78-4f2d-8f10-c3c9cd750a01"/>
        <s v="5e092005-bbaf-4295-9ccc-3c9493b48d04"/>
        <s v="7fcd384b-a0e3-4e0f-a707-c4a8a1b4c112"/>
        <s v="b402f6a3-5340-4177-a05b-5f6189a1ccf6"/>
        <s v="c1fae86b-bd50-4387-a36c-f6dd0feee517"/>
        <s v="590172c6-7ce0-48b6-82b2-7436a3631331"/>
        <s v="28276074-9e08-4dbc-9f92-a0e62c97932d"/>
        <s v="b159a2a3-ef00-43a9-86db-5aa4f2337f02"/>
        <s v="b510688e-fa24-4654-b955-0b6adeee039e"/>
        <s v="a05c93ff-9a7b-4d33-9591-f2fbfbc01017"/>
        <s v="45b0ad4b-932c-441b-b413-53565decfa94"/>
        <s v="445ea43e-bacc-4f11-b46f-c0f73b30a387"/>
        <s v="6962b6a9-7e9b-4fc9-80fb-8d56c5243ad2"/>
        <s v="8e55023b-2774-4015-86a2-780e882c0d87"/>
        <s v="92474c1b-8e9f-4328-9dba-0478c7b8eff7"/>
        <s v="972e7cf2-8e0a-43e6-a952-bbda3382870a"/>
        <s v="43dd123c-830b-4e71-8f96-a6643feac4d9"/>
        <s v="c04d55c7-13f0-4d59-820e-72c4f05b3e9a"/>
        <s v="770c656a-1e48-4e6d-8a82-6d225a04964e"/>
        <s v="99bc21fb-dcd1-48e4-be06-9bd0b762b73e"/>
        <s v="5c8c2dfc-51fd-4224-a71e-92d06b2b0fa1"/>
        <s v="ef211983-e418-498f-bd94-b407618f19f2"/>
        <s v="32d07aeb-5e62-4984-b015-b54c974f9568"/>
        <s v="57a6f553-cfd0-401a-ab8d-e08db3b7b54c"/>
        <s v="342d4b10-ea36-4f9d-a345-cbb571e1445f"/>
        <s v="6b289530-390b-4fbc-a2f2-7adff1dc65eb"/>
        <s v="1b8b26e6-8632-4b38-8f73-c6f0e70ccf60"/>
        <s v="46208692-578c-41c7-a7ca-6da2fc87ff43"/>
        <s v="d67ed293-5149-4284-baa6-032c288347c3"/>
        <s v="a12e4ea3-c46c-4bfd-9028-7458aa0b25d1"/>
        <s v="3bd772bc-8bbc-41a0-b2df-bdeee19f3595"/>
        <s v="6150fdc0-97c3-4c8a-9865-22d23587632f"/>
        <s v="5532c3c2-1fd2-4b63-a93a-fe0891b55345"/>
        <s v="346d7c42-eb45-461e-a667-5669781129fb"/>
        <s v="c18afb66-4e4c-4a10-8418-cc817467cd65"/>
        <s v="3f4e6744-9808-4bca-91b6-ef2b005468ab"/>
        <s v="96733b38-2406-4c1b-a994-b0ac17d42098"/>
        <s v="f31c900d-f7f8-4aa9-8044-9fceda063770"/>
        <s v="0aaaf135-b356-4f2c-bdf2-f1df1f461081"/>
        <s v="27424277-2200-4cc7-a0af-4c423a089f4b"/>
        <s v="7262df37-0083-41ed-b686-43f93dc8ea21"/>
        <s v="54ac59d8-1eda-4373-bd55-691a4a1a13f9"/>
        <s v="b5bf5404-1040-4584-9e23-bd9aa4a748c4"/>
        <s v="7570252f-383e-4b44-92de-ec6fa27e5c27"/>
        <s v="d99b4d05-4df3-4c9f-a3a3-39f8b9dd5f4b"/>
        <s v="21534354-fc0b-48d9-9d78-62a4badc1a43"/>
        <s v="1fc16a62-28d6-40bf-bd79-70a515ccaa32"/>
        <s v="123ae22b-bc9d-4228-96dc-fc15dfb19590"/>
        <s v="e6a2b4de-97d2-4faf-82a6-28b39ab6b1b4"/>
        <s v="6fbf18c0-1d19-4cf9-b5cc-83d5970b7678"/>
        <s v="08b75205-ce56-4b95-a64f-9819304e40e0"/>
        <s v="54e1665d-4b89-4a00-ac21-c0dbd0a9f8e2"/>
        <s v="8f822140-8a36-4160-bf5d-68a254229e14"/>
        <s v="76479ec1-d623-4c0b-afe8-94ed5d2b1841"/>
        <s v="70a2c437-9cb0-4e0b-9cd5-ec6294260bb1"/>
        <s v="dac9f21c-448d-4f16-bcea-f8eb66b827c1"/>
        <s v="ed9aad8e-d0c1-4dda-a2ae-ab5809b7fd52"/>
        <s v="fa9e790b-934a-4153-b8d1-cb8319d59c61"/>
        <s v="2fcfe31d-bbe3-4d02-997b-2a688e44aa4a"/>
        <s v="24b8ae05-3a27-4a1d-b704-94fbf52b7e78"/>
        <s v="0e47c0df-dd8b-487b-8097-21c972837f36"/>
        <s v="f021cbf0-6ce0-45dd-82d0-c26df5f5cc72"/>
        <s v="0a194163-91a5-4990-a439-13d2a04cdd0d"/>
        <s v="26650ad1-0a4e-4c43-b8b0-99095f0adc66"/>
        <s v="0c2c5144-f911-42db-bd29-5f8d9540954e"/>
        <s v="8e4ddf27-be01-4cd2-bc4a-4045e7298017"/>
        <s v="e17b8e31-1444-4e73-8d2e-98e479a23fab"/>
        <s v="89a9fe2d-5336-4fdd-98cc-119f72686d97"/>
        <s v="b6857111-61b8-43f5-8981-c8ec006f2fb9"/>
        <s v="2ee16a28-cb66-41ad-9e11-480593b992f3"/>
        <s v="1801df3c-96b3-4e4a-be9c-19777e295ccd"/>
        <s v="2928f18a-0aa5-4ac6-90e5-f816a534a90a"/>
        <s v="278f1d63-6044-406a-b286-8ed51ce0b45a"/>
        <s v="673092af-8716-453b-88f4-efdc6f33c1e5"/>
        <s v="69ab5c31-c863-41d0-94a7-8aa6b0126003"/>
        <s v="572359f3-27ef-41f5-90d5-4388fd663182"/>
        <s v="111af87c-5fa3-4502-94ae-5ee5b28a52c9"/>
        <s v="a1278508-c2d2-4e1a-9ab3-cd5dcc25c9cf"/>
        <s v="4c951415-a35b-4aaa-9767-bb49b70a1cd4"/>
        <s v="d00a9636-3e8a-4e5a-be93-4b7605de2c32"/>
        <s v="74e8a449-803e-4d73-82f1-7db487e8dff0"/>
        <s v="64e8cb7b-f59e-470c-b704-3f79a8f2cc9e"/>
        <s v="b73ffa14-dae4-45da-b61f-6c3f7f80a89e"/>
        <s v="a49f90f7-8839-4571-8758-445882bf113d"/>
        <s v="63646080-8a8e-4da1-9008-d9bbefce4fdd"/>
        <s v="f3721b83-8d8d-4d6f-8765-534b41a15805"/>
        <s v="b4ec93f1-1142-488b-8b2b-61eeafdd8adf"/>
        <s v="3cef5bc2-1b15-4ce6-a4a3-3a3e5951e220"/>
        <s v="d7d84721-5bb1-4a4d-b1af-1660508cc586"/>
        <s v="231bf5a4-802c-4e67-87f9-145a7ddc42e3"/>
        <s v="39df2d77-4667-462c-a9a5-a4502b01e2af"/>
        <s v="d2791f68-c024-4553-af35-174d74e629f4"/>
        <s v="9a710806-780e-4656-b1d2-a4266eab7458"/>
        <s v="cf2331f6-6c22-469f-92b8-831ddcc71327"/>
        <s v="a07f9aa3-2d4a-44b5-983f-9e8c4f941136"/>
        <s v="348f55a1-ec49-4749-b0f2-d28f1d6587c1"/>
        <s v="5960a10e-3314-40d0-846b-6eb21cf652c1"/>
        <s v="3d38346c-86e1-40f6-996c-c0eaaf43480d"/>
        <s v="f0291dc4-c15b-4bcc-97f0-04c50c8926f6"/>
        <s v="0147e75f-4472-491b-8912-4bd7d08758ad"/>
        <s v="af657191-85e9-4afd-94e6-b34adf3aa8e2"/>
        <s v="594ee58d-dd9f-43f8-bbcc-5f4716f3b8bf"/>
        <s v="7a491145-3991-4010-a1e5-3b0f7d86b7e3"/>
        <s v="d433dfae-3ab4-4d09-9f43-eecdb06eb894"/>
        <s v="d079bbf1-e637-4020-8ca5-6bb2c45c34f9"/>
        <s v="abd79166-5325-4e3f-92fd-bea6b2eaa389"/>
        <s v="67cf0ad8-c53a-447e-84ac-fa1c61feafcc"/>
        <s v="a7c8d4b5-9c71-48ec-b135-330a9ff45957"/>
        <s v="32755cad-98f9-4eda-8888-7def2a0dd965"/>
        <s v="3773bcf2-e766-445f-90a8-279d0bd1b1ae"/>
        <s v="757f4440-b8cd-45b5-9b13-c97ac0e0b03c"/>
        <s v="29b35046-a922-4222-bb43-d4f2e673f05e"/>
        <s v="1f4ac01b-7a1a-4d64-ae6d-a13b0dd45606"/>
        <s v="a2ab5f05-64d9-4b5f-a606-40a5bd1bb17c"/>
        <s v="5cfc2d19-d3e9-408a-82b3-9e72a480e588"/>
        <s v="36cc47e7-ea9e-410e-ab8c-53adeed2d905"/>
        <s v="13857721-e31a-444e-a2c2-774566eb5f26"/>
        <s v="37a9f5be-b24a-4f6c-97bd-9b822a31fa1d"/>
        <s v="a9224dd3-b260-4439-9c91-63c444209873"/>
        <s v="d7a87238-7091-401f-a18e-21c1309e9064"/>
        <s v="cb8f4dea-863b-4651-a226-6e0dec00b253"/>
        <s v="538c9408-8b8b-4785-b9f9-cd2657097173"/>
        <s v="100275b6-8299-499c-9ddf-e472309c9cf0"/>
        <s v="1e54c09b-4c64-4a56-be8d-61e1318d7de9"/>
        <s v="be84e0fe-9e4b-46e0-be04-6f0f71667755"/>
        <s v="ee97ba16-5d7f-4349-b9a0-cc9069b8707b"/>
        <s v="4166e455-ac94-49a0-9bd8-7a5c8a17ac45"/>
        <s v="2613eb8c-73dd-4b40-8ff0-7cf4fa29b165"/>
        <s v="22325f75-012a-4872-929d-f3dcad77dde8"/>
        <s v="4404f1db-09be-4f2c-92f0-2d65ee6b0394"/>
        <s v="daf5edee-c366-417d-9cd7-be77ad5d329a"/>
        <s v="66f10c57-ee31-4fe2-b3a9-4e88f49e1e71"/>
        <s v="c3bb3562-c65e-4e05-bfb3-9df465d18c89"/>
        <s v="a84bc74c-2d98-4331-a5a9-c762bb61fb2e"/>
        <s v="6c3fead4-1fe5-4288-be37-3b39d5d98304"/>
        <s v="2f42e9be-b4f9-41cd-9925-02253d8b26bb"/>
        <s v="d7e693a3-06a8-4900-a649-17ebdc044442"/>
        <s v="47c5d8d5-18ad-4bf9-80ad-542822b25aca"/>
        <s v="e13367f1-7d08-4bb3-a252-f1741f4928d8"/>
        <s v="0c6b7809-83fa-4fe8-ae0d-766b000834e5"/>
        <s v="a87e348f-adbc-474d-84ab-934239890915"/>
        <s v="0b90db1b-0e53-4695-b650-7bf4633ec0f6"/>
        <s v="ec133e61-2767-4fb0-ab9c-665b9e47a3d2"/>
        <s v="caf893af-e7d0-485a-b903-5b6bb7b717d6"/>
        <s v="fcfe31f4-1827-4f08-8c09-fac8682e5bbc"/>
        <s v="5b8c2387-f4d6-4823-8d42-a41707a832ef"/>
        <s v="053c462d-890c-45f0-8bb4-0f12c91d58e7"/>
        <s v="4f0f1770-3af6-4b65-a5e9-61a996e12a76"/>
        <s v="b02eb611-668d-4716-946e-2f69918d05a7"/>
        <s v="cc794401-1ded-4891-a6ef-5cdc5b5384d5"/>
        <s v="62f7a1a9-7e11-442a-9de5-499e9da93e2f"/>
        <s v="75a62e15-6018-4f88-b473-5dd4eb79e63b"/>
        <s v="ed2a25dc-7b7a-4810-9252-9fa56521ff40"/>
        <s v="10c739f0-f7fb-4c8e-a239-ed1f5c295465"/>
        <s v="a2d32009-f750-4260-8311-8300bd425ff8"/>
        <s v="15d306a8-d422-44fb-9ae9-88cc0402b65d"/>
        <s v="4d3c7cfd-d33e-47a8-a31b-f2a694c31429"/>
        <s v="a4b8a935-59ba-43d2-9d68-660ee91a5acd"/>
        <s v="8f691093-3270-4ace-ae7f-f6404f3e9c97"/>
        <s v="c6f0a1e2-99c5-4a17-b0d8-ad6d416c81cc"/>
        <s v="b8d7d438-42a6-490e-878a-eabf47bc2626"/>
        <s v="325642ee-2d8b-4a13-a954-d573be58d386"/>
        <s v="b97d18e7-1657-470e-bc41-0860e9f0889b"/>
        <s v="eec053a4-5ae1-415f-b30f-845523ab472b"/>
        <s v="8ea7037d-ea94-41a9-96b7-83c29d8264c3"/>
        <s v="a7a8f827-451d-439f-95ca-6682c5127351"/>
        <s v="8dac1bb0-62a5-4b93-9f18-74bb64e1f8a8"/>
        <s v="01033810-39b1-401b-94e8-71a15ff61d49"/>
        <s v="6486d7e7-8b63-4036-a105-6f846c2be7ab"/>
        <s v="570e94ce-b053-46a5-8a1e-1a663553c880"/>
        <s v="2c43e82b-a86a-44f0-a9c7-359db0ff3d83"/>
        <s v="c959873c-5ee3-4647-bd0b-df86bd37e523"/>
        <s v="6df2b0ce-9ac0-4cf2-946a-557bf24c972f"/>
        <s v="2f004d71-2bd5-4fdb-a629-c4409dbaf7b8"/>
        <s v="c6836bfa-f154-46e7-81fa-88577b4553a6"/>
        <s v="f2f8a751-e6da-4e2b-b90b-7189fd4833ad"/>
        <s v="2119f43d-1200-4439-ad32-eab189cb6475"/>
        <s v="4d39c9a6-3193-454d-9981-2f01cdfb6409"/>
        <s v="33b5cb0d-ba44-4160-8e1f-1175cb33b310"/>
        <s v="b21c5672-3d61-481e-bd82-6e363e042060"/>
        <s v="41fe435e-4e1c-498f-8112-8a52ebd37db7"/>
        <s v="df7beeeb-1466-45c0-b687-7861cff4c459"/>
        <s v="7896d226-252e-4fbf-902d-719da7aaaf24"/>
        <s v="732de4a4-0325-4391-a400-19ffb39fdec9"/>
        <s v="3a57b856-992a-4aa3-a497-f62acef32235"/>
        <s v="1dada63c-2f5a-48d7-8e04-d26aacd30687"/>
        <s v="11a0323a-7513-4fd6-84cf-79c923b2e72e"/>
        <s v="c7da08b2-c581-41ed-8398-757d407a24ef"/>
        <s v="d9c044d0-2d9f-4974-b4ef-0cbae299e695"/>
        <s v="c048f440-4471-4f5b-8f49-4805f745f284"/>
        <s v="983f661d-1d5c-478c-aef5-611a679c13a6"/>
        <s v="fad038ce-1b32-4c25-85bc-38c2262677ee"/>
        <s v="257f5799-af41-462b-b2f9-acae82ba412c"/>
        <s v="586df37b-bacf-4952-94e8-20049c50d537"/>
        <s v="9e9a947c-796d-4653-bc4d-b777a5aa5e38"/>
        <s v="afc92f17-61fe-4e4e-84c2-09515ccc8e07"/>
        <s v="0d9c3f44-a748-478b-8652-36bac0fde7f7"/>
        <s v="32a2277a-2bbc-47d0-9874-fcd6195b5e16"/>
        <s v="98bc06e4-82c3-4589-93d7-e941e1ae7c85"/>
        <s v="2d00fa46-ed9d-4a83-8d4f-00268740aa20"/>
        <s v="dac843fc-5bc0-475f-a01e-8c48a965a9c2"/>
        <s v="8faa345b-0095-4a30-b89a-79a7b53e217a"/>
        <s v="38daf333-0f89-435f-9b2d-a6d639ff33df"/>
        <s v="71b6157e-f3ed-4bd0-83ed-fc382c96bff0"/>
        <s v="1e7c8a1d-abaf-4fac-be1b-22c8312a6026"/>
        <s v="b343399a-8398-43c0-a157-92dd7a44f5c7"/>
        <s v="0df64a43-b0b9-4928-8b22-58438782855d"/>
        <s v="3d80365e-3ca4-4c40-b7b5-8655955878bf"/>
        <s v="8f0f8ae1-20a3-4c9d-b76d-f1ebaf765b63"/>
        <s v="60961cdf-09a7-4a32-8c6c-2d05f517439d"/>
        <s v="ba9d11bd-abcf-425b-a84b-aa0bb71654e0"/>
        <s v="a8b647c7-bcba-44a0-8e1a-6b49fad5f46a"/>
        <s v="df1772a5-47bc-4e80-a07f-cca86b2ebcdc"/>
        <s v="fc8a05ee-e84e-44f7-96be-898033a352b4"/>
        <s v="27c73c7b-510b-4161-81d3-83559a1ad5b1"/>
        <s v="344db87d-a5d1-4172-aec9-fa915cf7c5b7"/>
      </sharedItems>
    </cacheField>
    <cacheField name="Producto unido" numFmtId="0">
      <sharedItems>
        <s v="Auriculares Con cable 32GB"/>
        <s v="Auriculares Bluetooth 8GB"/>
        <s v="Laptop Gaming 32GB"/>
        <s v="Tablet Pro 8GB"/>
        <s v="Teléfono Gama alta 4GB"/>
        <s v="Teléfono Gama alta 8GB"/>
        <s v="Tablet Mini 4GB"/>
        <s v="Laptop Ultraliviana 16GB"/>
        <s v="Auriculares Bluetooth 16GB"/>
        <s v="Auriculares Con cable 16GB"/>
        <s v="Tablet Pro 4GB"/>
        <s v="Teléfono Gama baja 16GB"/>
        <s v="Tablet Pro 32GB"/>
        <s v="Tablet Mini 32GB"/>
        <s v="Auriculares Cancelación de ruido 4GB"/>
        <s v="Teléfono Gama alta 16GB"/>
        <s v="Tablet Estándar 16GB"/>
        <s v="Teléfono Gama media 4GB"/>
        <s v="Teléfono Gama baja 8GB"/>
        <s v="Laptop Ultraliviana 32GB"/>
        <s v="Laptop Oficina 16GB"/>
        <s v="Teléfono Gama baja 4GB"/>
        <s v="Laptop Gaming 8GB"/>
        <s v="Laptop Oficina 8GB"/>
        <s v="Auriculares Con cable 8GB"/>
        <s v="Laptop Ultraliviana 4GB"/>
        <s v="Tablet Mini 8GB"/>
        <s v="Auriculares Cancelación de ruido 32GB"/>
        <s v="Auriculares Cancelación de ruido 8GB"/>
        <s v="Laptop Gaming 4GB"/>
        <s v="Auriculares Bluetooth 4GB"/>
        <s v="Tablet Mini 16GB"/>
        <s v="Tablet Estándar 4GB"/>
        <s v="Teléfono Gama baja 32GB"/>
        <s v="Laptop Oficina 32GB"/>
        <s v="Teléfono Gama alta 32GB"/>
        <s v="Laptop Oficina 4GB"/>
        <s v="Teléfono Gama media 8GB"/>
        <s v="Tablet Estándar 8GB"/>
        <s v="Tablet Pro 16GB"/>
        <s v="Tablet Estándar 32GB"/>
        <s v="Teléfono Gama media 32GB"/>
        <s v="Teléfono Gama media 16GB"/>
        <s v="Auriculares Cancelación de ruido 16GB"/>
        <s v="Laptop Gaming 16GB"/>
        <s v="Laptop Ultraliviana 8GB"/>
        <s v="Auriculares Con cable 4GB"/>
        <s v="Auriculares Bluetooth 32GB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isualizaciones" cacheId="0" dataCaption="" createdVersion="6" compact="0" compactData="0">
  <location ref="A3:I5" firstHeaderRow="0" firstDataRow="0" firstDataCol="1" rowPageCount="1" colPageCount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colFields>
    <field x="2"/>
  </colFields>
  <pageFields>
    <pageField fld="1"/>
  </pageFields>
  <dataFields>
    <dataField name="SUM of Monto total" fld="8" baseField="0"/>
  </dataFields>
  <filters>
    <filter fld="1" type="captionBetween" evalOrder="-1" id="1" stringValue1="01/10/2024" stringValue2="31/12/2024">
      <autoFilter ref="A1">
        <filterColumn colId="0">
          <customFilters and="1">
            <customFilter operator="greaterThanOrEqual" val="01/10/2024"/>
            <customFilter operator="lessThanOrEqual" val="31/12/2024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Tablas dinámicas" cacheId="0" dataCaption="" createdVersion="6" compact="0" compactData="0">
  <location ref="B4:B5" firstHeaderRow="0" firstDataRow="0" firstDataCol="0" rowPageCount="1" colPageCount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pageFields>
    <pageField fld="1"/>
  </pageFields>
  <dataFields>
    <dataField name="SUM of Monto total" fld="8" baseField="0"/>
  </dataFields>
  <filters>
    <filter fld="1" type="captionBetween" evalOrder="-1" id="1" stringValue1="01/10/2024" stringValue2="31/12/2024">
      <autoFilter ref="A1">
        <filterColumn colId="0">
          <customFilters and="1">
            <customFilter operator="greaterThanOrEqual" val="01/10/2024"/>
            <customFilter operator="lessThanOrEqual" val="31/12/2024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Tablas dinámicas 2" cacheId="0" dataCaption="" createdVersion="6" compact="0" compactData="0">
  <location ref="H4:P6" firstHeaderRow="0" firstDataRow="0" firstDataCol="1" rowPageCount="1" colPageCount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colFields>
    <field x="2"/>
  </colFields>
  <pageFields>
    <pageField fld="1"/>
  </pageFields>
  <dataFields>
    <dataField name="SUM of Monto total" fld="8" baseField="0"/>
  </dataFields>
  <filters>
    <filter fld="1" type="captionBetween" evalOrder="-1" id="1" stringValue1="01/10/2024" stringValue2="31/12/2024">
      <autoFilter ref="A1">
        <filterColumn colId="0">
          <customFilters and="1">
            <customFilter operator="greaterThanOrEqual" val="01/10/2024"/>
            <customFilter operator="lessThanOrEqual" val="31/12/2024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Tablas dinámicas 3" cacheId="0" dataCaption="" createdVersion="6" compact="0" compactData="0">
  <location ref="B6:B7" firstHeaderRow="0" firstDataRow="0" firstDataCol="0" rowPageCount="1" colPageCount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pageFields>
    <pageField fld="1"/>
  </pageFields>
  <dataFields>
    <dataField name="AVERAGE of Monto total" fld="8" subtotal="average" baseField="0"/>
  </dataFields>
  <filters>
    <filter fld="1" type="captionBetween" evalOrder="-1" id="1" stringValue1="01/10/2024" stringValue2="31/12/2024">
      <autoFilter ref="A1">
        <filterColumn colId="0">
          <customFilters and="1">
            <customFilter operator="greaterThanOrEqual" val="01/10/2024"/>
            <customFilter operator="lessThanOrEqual" val="31/12/2024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Tablas dinámicas 4" cacheId="1" dataCaption="" compact="0" compactData="0">
  <location ref="E7:F21" firstHeaderRow="0" firstDataRow="1" firstDataCol="0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"/>
  </rowFields>
  <dataFields>
    <dataField name="SUM of Monto total" fld="8" baseField="0"/>
  </dataFields>
</pivotTableDefinition>
</file>

<file path=xl/pivotTables/pivotTable6.xml><?xml version="1.0" encoding="utf-8"?>
<pivotTableDefinition xmlns="http://schemas.openxmlformats.org/spreadsheetml/2006/main" name="Tablas dinámicas 5" cacheId="0" dataCaption="" createdVersion="6" compact="0" compactData="0">
  <location ref="B10:B11" firstHeaderRow="0" firstDataRow="0" firstDataCol="0" rowPageCount="1" colPageCount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pageFields>
    <pageField fld="1"/>
  </pageFields>
  <dataFields>
    <dataField name="COUNT of Monto total" fld="8" subtotal="countNums" baseField="0"/>
  </dataFields>
  <filters>
    <filter fld="1" type="captionBetween" evalOrder="-1" id="1" stringValue1="01/10/2024" stringValue2="31/12/2024">
      <autoFilter ref="A1">
        <filterColumn colId="0">
          <customFilters and="1">
            <customFilter operator="greaterThanOrEqual" val="01/10/2024"/>
            <customFilter operator="lessThanOrEqual" val="31/12/2024"/>
          </customFilters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Tablas dinámicas 6" cacheId="0" dataCaption="" compact="0" compactData="0">
  <location ref="B14:C63" firstHeaderRow="0" firstDataRow="1" firstDataCol="0" rowPageCount="1" colPageCount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compact="0" outline="0" multipleItemSelectionAllowed="1" showAll="0">
      <items>
        <item x="0"/>
        <item x="1"/>
        <item x="2"/>
        <item x="3"/>
        <item t="default"/>
      </items>
    </pivotField>
    <pivotField name="Precio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axis="axisPag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1"/>
  </rowFields>
  <pageFields>
    <pageField fld="7"/>
  </pageFields>
  <dataFields>
    <dataField name="SUM of Cantidad" fld="7" baseField="0"/>
  </dataFields>
</pivotTableDefinition>
</file>

<file path=xl/pivotTables/pivotTable8.xml><?xml version="1.0" encoding="utf-8"?>
<pivotTableDefinition xmlns="http://schemas.openxmlformats.org/spreadsheetml/2006/main" name="Tablas dinámicas 7" cacheId="0" dataCaption="" compact="0" compactData="0">
  <location ref="D35:I37" firstHeaderRow="0" firstDataRow="0" firstDataCol="1"/>
  <pivotFields>
    <pivotField name="Colum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specificaciones" axis="axisCol" compact="0" outline="0" multipleItemSelectionAllowed="1" showAll="0" sortType="ascending">
      <items>
        <item x="3"/>
        <item x="0"/>
        <item x="2"/>
        <item x="1"/>
        <item t="default"/>
      </items>
    </pivotField>
    <pivotField name="Precio unitar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o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ID de ord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o un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colFields>
    <field x="5"/>
  </colFields>
  <dataFields>
    <dataField name="SUM of Precio unitario" fld="6" baseField="0"/>
  </dataFields>
</pivotTableDefinition>
</file>

<file path=xl/tables/table1.xml><?xml version="1.0" encoding="utf-8"?>
<table xmlns="http://schemas.openxmlformats.org/spreadsheetml/2006/main" totalsRowCount="1" ref="K1:V1002" displayName="Nueva" name="Nueva" id="1">
  <tableColumns count="12">
    <tableColumn name="Columna 1" id="1"/>
    <tableColumn name="Fecha" id="2"/>
    <tableColumn name="Ciudad" id="3"/>
    <tableColumn name="Producto" id="4"/>
    <tableColumn name="Tipo" id="5"/>
    <tableColumn name="Especificaciones" id="6"/>
    <tableColumn name="Precio unitario" id="7"/>
    <tableColumn name="Cantidad" id="8"/>
    <tableColumn totalsRowFunction="custom" name="Monto total" id="9"/>
    <tableColumn name="Cliente" id="10"/>
    <tableColumn name="ID de orden" id="11"/>
    <tableColumn name="Producto unido" id="12"/>
  </tableColumns>
  <tableStyleInfo name="Datos_Limp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vmlDrawing" Target="../drawings/vmlDrawing3.vml"/><Relationship Id="rId9" Type="http://schemas.openxmlformats.org/officeDocument/2006/relationships/drawing" Target="../drawings/drawing6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78"/>
    <col customWidth="1" min="2" max="2" width="18.22"/>
    <col customWidth="1" min="3" max="3" width="32.67"/>
    <col customWidth="1" min="4" max="4" width="12.33"/>
    <col customWidth="1" min="5" max="5" width="8.0"/>
    <col customWidth="1" min="6" max="6" width="10.0"/>
    <col customWidth="1" min="7" max="7" width="35.89"/>
    <col customWidth="1" min="8" max="8" width="36.44"/>
    <col customWidth="1" min="9" max="9" width="34.67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 t="s">
        <v>9</v>
      </c>
      <c r="B2" s="2" t="s">
        <v>10</v>
      </c>
      <c r="C2" s="2" t="s">
        <v>11</v>
      </c>
      <c r="D2" s="2">
        <v>439.01</v>
      </c>
      <c r="E2" s="2">
        <v>5.0</v>
      </c>
      <c r="F2" s="2">
        <v>2195.05</v>
      </c>
      <c r="G2" s="2" t="s">
        <v>12</v>
      </c>
      <c r="H2" s="2" t="s">
        <v>13</v>
      </c>
      <c r="I2" s="2" t="s">
        <v>14</v>
      </c>
    </row>
    <row r="3" ht="15.75" customHeight="1">
      <c r="A3" s="1" t="s">
        <v>15</v>
      </c>
      <c r="B3" s="2" t="s">
        <v>16</v>
      </c>
      <c r="C3" s="2" t="s">
        <v>17</v>
      </c>
      <c r="D3" s="2">
        <v>1090.69</v>
      </c>
      <c r="E3" s="2">
        <v>1.0</v>
      </c>
      <c r="F3" s="2">
        <v>1090.69</v>
      </c>
      <c r="G3" s="2" t="s">
        <v>18</v>
      </c>
      <c r="H3" s="2" t="s">
        <v>19</v>
      </c>
      <c r="I3" s="2" t="s">
        <v>20</v>
      </c>
    </row>
    <row r="4" ht="15.75" customHeight="1">
      <c r="A4" s="1" t="s">
        <v>21</v>
      </c>
      <c r="B4" s="2" t="s">
        <v>16</v>
      </c>
      <c r="C4" s="2" t="s">
        <v>22</v>
      </c>
      <c r="D4" s="2">
        <v>1174.54</v>
      </c>
      <c r="E4" s="2">
        <v>2.0</v>
      </c>
      <c r="F4" s="2">
        <v>2349.08</v>
      </c>
      <c r="G4" s="2" t="s">
        <v>23</v>
      </c>
      <c r="H4" s="2" t="s">
        <v>24</v>
      </c>
      <c r="I4" s="2" t="s">
        <v>25</v>
      </c>
    </row>
    <row r="5" ht="15.75" customHeight="1">
      <c r="A5" s="1" t="s">
        <v>26</v>
      </c>
      <c r="B5" s="2" t="s">
        <v>27</v>
      </c>
      <c r="C5" s="2" t="s">
        <v>28</v>
      </c>
      <c r="D5" s="2">
        <v>1291.38</v>
      </c>
      <c r="E5" s="2">
        <v>4.0</v>
      </c>
      <c r="F5" s="2">
        <v>5165.52</v>
      </c>
      <c r="G5" s="2" t="s">
        <v>29</v>
      </c>
      <c r="H5" s="2" t="s">
        <v>30</v>
      </c>
      <c r="I5" s="2" t="s">
        <v>31</v>
      </c>
    </row>
    <row r="6" ht="15.75" customHeight="1">
      <c r="A6" s="1" t="s">
        <v>32</v>
      </c>
      <c r="B6" s="2" t="s">
        <v>27</v>
      </c>
      <c r="C6" s="2" t="s">
        <v>33</v>
      </c>
      <c r="D6" s="2">
        <v>1450.89</v>
      </c>
      <c r="E6" s="2">
        <v>1.0</v>
      </c>
      <c r="F6" s="2">
        <v>1450.89</v>
      </c>
      <c r="G6" s="2" t="s">
        <v>34</v>
      </c>
      <c r="H6" s="2" t="s">
        <v>35</v>
      </c>
      <c r="I6" s="2" t="s">
        <v>36</v>
      </c>
    </row>
    <row r="7" ht="15.75" customHeight="1">
      <c r="A7" s="1" t="s">
        <v>37</v>
      </c>
      <c r="B7" s="2" t="s">
        <v>38</v>
      </c>
      <c r="C7" s="2" t="s">
        <v>39</v>
      </c>
      <c r="D7" s="2">
        <v>670.67</v>
      </c>
      <c r="E7" s="2">
        <v>4.0</v>
      </c>
      <c r="F7" s="2">
        <v>2682.68</v>
      </c>
      <c r="G7" s="2" t="s">
        <v>40</v>
      </c>
      <c r="H7" s="2" t="s">
        <v>41</v>
      </c>
      <c r="I7" s="2" t="s">
        <v>42</v>
      </c>
    </row>
    <row r="8" ht="15.75" customHeight="1">
      <c r="A8" s="1" t="s">
        <v>43</v>
      </c>
      <c r="B8" s="2" t="s">
        <v>44</v>
      </c>
      <c r="C8" s="2" t="s">
        <v>45</v>
      </c>
      <c r="D8" s="2">
        <v>1114.1</v>
      </c>
      <c r="E8" s="2">
        <v>3.0</v>
      </c>
      <c r="F8" s="2">
        <v>3342.3</v>
      </c>
      <c r="G8" s="2" t="s">
        <v>46</v>
      </c>
      <c r="H8" s="2" t="s">
        <v>47</v>
      </c>
      <c r="I8" s="2" t="s">
        <v>48</v>
      </c>
    </row>
    <row r="9" ht="15.75" customHeight="1">
      <c r="A9" s="1" t="s">
        <v>49</v>
      </c>
      <c r="B9" s="2" t="s">
        <v>50</v>
      </c>
      <c r="C9" s="2" t="s">
        <v>28</v>
      </c>
      <c r="D9" s="2">
        <v>1001.63</v>
      </c>
      <c r="E9" s="2">
        <v>3.0</v>
      </c>
      <c r="F9" s="2">
        <v>3004.89</v>
      </c>
      <c r="G9" s="2" t="s">
        <v>51</v>
      </c>
      <c r="H9" s="2" t="s">
        <v>52</v>
      </c>
      <c r="I9" s="2" t="s">
        <v>53</v>
      </c>
    </row>
    <row r="10" ht="15.75" customHeight="1">
      <c r="A10" s="1" t="s">
        <v>54</v>
      </c>
      <c r="B10" s="2" t="s">
        <v>38</v>
      </c>
      <c r="C10" s="2" t="s">
        <v>55</v>
      </c>
      <c r="D10" s="2">
        <v>181.56</v>
      </c>
      <c r="E10" s="2">
        <v>4.0</v>
      </c>
      <c r="F10" s="2">
        <v>726.24</v>
      </c>
      <c r="G10" s="2" t="s">
        <v>56</v>
      </c>
      <c r="H10" s="2" t="s">
        <v>57</v>
      </c>
      <c r="I10" s="2" t="s">
        <v>58</v>
      </c>
    </row>
    <row r="11" ht="15.75" customHeight="1">
      <c r="A11" s="1" t="s">
        <v>59</v>
      </c>
      <c r="B11" s="2" t="s">
        <v>60</v>
      </c>
      <c r="C11" s="2" t="s">
        <v>45</v>
      </c>
      <c r="D11" s="2">
        <v>964.35</v>
      </c>
      <c r="E11" s="2">
        <v>5.0</v>
      </c>
      <c r="F11" s="2">
        <v>4821.75</v>
      </c>
      <c r="G11" s="2" t="s">
        <v>61</v>
      </c>
      <c r="H11" s="2" t="s">
        <v>62</v>
      </c>
      <c r="I11" s="3" t="s">
        <v>63</v>
      </c>
    </row>
    <row r="12" ht="15.75" customHeight="1">
      <c r="A12" s="1" t="s">
        <v>64</v>
      </c>
      <c r="B12" s="2" t="s">
        <v>16</v>
      </c>
      <c r="C12" s="2" t="s">
        <v>65</v>
      </c>
      <c r="D12" s="2">
        <v>120.46</v>
      </c>
      <c r="E12" s="2">
        <v>1.0</v>
      </c>
      <c r="F12" s="2">
        <v>120.46</v>
      </c>
      <c r="G12" s="2" t="s">
        <v>66</v>
      </c>
      <c r="H12" s="2" t="s">
        <v>67</v>
      </c>
      <c r="I12" s="2" t="s">
        <v>68</v>
      </c>
    </row>
    <row r="13" ht="15.75" customHeight="1">
      <c r="A13" s="1" t="s">
        <v>69</v>
      </c>
      <c r="B13" s="2" t="s">
        <v>27</v>
      </c>
      <c r="C13" s="2" t="s">
        <v>70</v>
      </c>
      <c r="D13" s="2">
        <v>1061.61</v>
      </c>
      <c r="E13" s="2">
        <v>1.0</v>
      </c>
      <c r="F13" s="2">
        <v>1061.61</v>
      </c>
      <c r="G13" s="2" t="s">
        <v>71</v>
      </c>
      <c r="H13" s="2" t="s">
        <v>72</v>
      </c>
      <c r="I13" s="2" t="s">
        <v>73</v>
      </c>
    </row>
    <row r="14" ht="15.75" customHeight="1">
      <c r="A14" s="1" t="s">
        <v>74</v>
      </c>
      <c r="B14" s="2" t="s">
        <v>38</v>
      </c>
      <c r="C14" s="2" t="s">
        <v>75</v>
      </c>
      <c r="D14" s="2">
        <v>2440.84</v>
      </c>
      <c r="E14" s="2">
        <v>5.0</v>
      </c>
      <c r="F14" s="2">
        <v>12204.2</v>
      </c>
      <c r="G14" s="2" t="s">
        <v>76</v>
      </c>
      <c r="H14" s="2" t="s">
        <v>77</v>
      </c>
      <c r="I14" s="2" t="s">
        <v>78</v>
      </c>
    </row>
    <row r="15" ht="15.75" customHeight="1">
      <c r="A15" s="1" t="s">
        <v>79</v>
      </c>
      <c r="B15" s="2" t="s">
        <v>10</v>
      </c>
      <c r="C15" s="2" t="s">
        <v>80</v>
      </c>
      <c r="D15" s="2">
        <v>121.68</v>
      </c>
      <c r="E15" s="2">
        <v>2.0</v>
      </c>
      <c r="F15" s="2">
        <v>243.36</v>
      </c>
      <c r="G15" s="2" t="s">
        <v>81</v>
      </c>
      <c r="H15" s="2" t="s">
        <v>82</v>
      </c>
      <c r="I15" s="2" t="s">
        <v>83</v>
      </c>
    </row>
    <row r="16" ht="15.75" customHeight="1">
      <c r="A16" s="1" t="s">
        <v>84</v>
      </c>
      <c r="B16" s="2" t="s">
        <v>85</v>
      </c>
      <c r="C16" s="2" t="s">
        <v>86</v>
      </c>
      <c r="D16" s="2">
        <v>1109.64</v>
      </c>
      <c r="E16" s="2">
        <v>3.0</v>
      </c>
      <c r="G16" s="2" t="s">
        <v>87</v>
      </c>
      <c r="H16" s="2" t="s">
        <v>88</v>
      </c>
      <c r="I16" s="2" t="s">
        <v>89</v>
      </c>
    </row>
    <row r="17" ht="15.75" customHeight="1">
      <c r="A17" s="1" t="s">
        <v>90</v>
      </c>
      <c r="B17" s="2" t="s">
        <v>85</v>
      </c>
      <c r="C17" s="2" t="s">
        <v>91</v>
      </c>
      <c r="D17" s="2">
        <v>2246.48</v>
      </c>
      <c r="E17" s="2">
        <v>1.0</v>
      </c>
      <c r="F17" s="2">
        <v>2246.48</v>
      </c>
      <c r="G17" s="2" t="s">
        <v>92</v>
      </c>
      <c r="H17" s="2" t="s">
        <v>93</v>
      </c>
      <c r="I17" s="2" t="s">
        <v>94</v>
      </c>
    </row>
    <row r="18" ht="15.75" customHeight="1">
      <c r="A18" s="1" t="s">
        <v>95</v>
      </c>
      <c r="B18" s="2" t="s">
        <v>16</v>
      </c>
      <c r="C18" s="2" t="s">
        <v>96</v>
      </c>
      <c r="D18" s="2">
        <v>129.07</v>
      </c>
      <c r="E18" s="2">
        <v>4.0</v>
      </c>
      <c r="F18" s="2">
        <v>516.28</v>
      </c>
      <c r="G18" s="2" t="s">
        <v>97</v>
      </c>
      <c r="H18" s="2" t="s">
        <v>98</v>
      </c>
      <c r="I18" s="2" t="s">
        <v>99</v>
      </c>
    </row>
    <row r="19" ht="15.75" customHeight="1">
      <c r="A19" s="1" t="s">
        <v>100</v>
      </c>
      <c r="B19" s="2" t="s">
        <v>101</v>
      </c>
      <c r="C19" s="2" t="s">
        <v>65</v>
      </c>
      <c r="D19" s="2">
        <v>1724.31</v>
      </c>
      <c r="E19" s="2">
        <v>2.0</v>
      </c>
      <c r="F19" s="2">
        <v>3448.62</v>
      </c>
      <c r="G19" s="2" t="s">
        <v>102</v>
      </c>
      <c r="H19" s="2" t="s">
        <v>103</v>
      </c>
      <c r="I19" s="2" t="s">
        <v>104</v>
      </c>
    </row>
    <row r="20" ht="15.75" customHeight="1">
      <c r="A20" s="1" t="s">
        <v>105</v>
      </c>
      <c r="B20" s="2" t="s">
        <v>16</v>
      </c>
      <c r="C20" s="2" t="s">
        <v>106</v>
      </c>
      <c r="D20" s="2">
        <v>1445.1</v>
      </c>
      <c r="E20" s="2">
        <v>4.0</v>
      </c>
      <c r="F20" s="2">
        <v>5780.4</v>
      </c>
      <c r="G20" s="2" t="s">
        <v>107</v>
      </c>
      <c r="H20" s="2" t="s">
        <v>108</v>
      </c>
      <c r="I20" s="2" t="s">
        <v>109</v>
      </c>
    </row>
    <row r="21" ht="15.75" customHeight="1">
      <c r="A21" s="1" t="s">
        <v>110</v>
      </c>
      <c r="B21" s="2" t="s">
        <v>38</v>
      </c>
      <c r="C21" s="2" t="s">
        <v>111</v>
      </c>
      <c r="D21" s="2">
        <v>1618.43</v>
      </c>
      <c r="E21" s="2">
        <v>3.0</v>
      </c>
      <c r="F21" s="2">
        <v>4855.29</v>
      </c>
      <c r="G21" s="2" t="s">
        <v>112</v>
      </c>
      <c r="H21" s="2" t="s">
        <v>113</v>
      </c>
      <c r="I21" s="2" t="s">
        <v>114</v>
      </c>
    </row>
    <row r="22" ht="15.75" customHeight="1">
      <c r="A22" s="1" t="s">
        <v>115</v>
      </c>
      <c r="B22" s="2" t="s">
        <v>50</v>
      </c>
      <c r="C22" s="2" t="s">
        <v>116</v>
      </c>
      <c r="D22" s="2">
        <v>2070.23</v>
      </c>
      <c r="E22" s="2">
        <v>5.0</v>
      </c>
      <c r="F22" s="2">
        <v>10351.15</v>
      </c>
      <c r="G22" s="2" t="s">
        <v>117</v>
      </c>
      <c r="H22" s="2" t="s">
        <v>118</v>
      </c>
      <c r="I22" s="2" t="s">
        <v>119</v>
      </c>
    </row>
    <row r="23" ht="15.75" customHeight="1">
      <c r="A23" s="1" t="s">
        <v>120</v>
      </c>
      <c r="B23" s="2" t="s">
        <v>27</v>
      </c>
      <c r="C23" s="2" t="s">
        <v>121</v>
      </c>
      <c r="D23" s="2">
        <v>763.62</v>
      </c>
      <c r="E23" s="2">
        <v>1.0</v>
      </c>
      <c r="F23" s="2">
        <v>763.62</v>
      </c>
      <c r="G23" s="2" t="s">
        <v>122</v>
      </c>
      <c r="H23" s="2" t="s">
        <v>123</v>
      </c>
      <c r="I23" s="2" t="s">
        <v>124</v>
      </c>
    </row>
    <row r="24" ht="15.75" customHeight="1">
      <c r="A24" s="1" t="s">
        <v>125</v>
      </c>
      <c r="B24" s="2" t="s">
        <v>101</v>
      </c>
      <c r="C24" s="2" t="s">
        <v>116</v>
      </c>
      <c r="D24" s="2">
        <v>658.01</v>
      </c>
      <c r="E24" s="2">
        <v>5.0</v>
      </c>
      <c r="F24" s="2">
        <v>3290.05</v>
      </c>
      <c r="G24" s="2" t="s">
        <v>126</v>
      </c>
      <c r="H24" s="2" t="s">
        <v>127</v>
      </c>
      <c r="I24" s="2" t="s">
        <v>128</v>
      </c>
    </row>
    <row r="25" ht="15.75" customHeight="1">
      <c r="A25" s="1" t="s">
        <v>129</v>
      </c>
      <c r="B25" s="2" t="s">
        <v>130</v>
      </c>
      <c r="C25" s="2" t="s">
        <v>75</v>
      </c>
      <c r="D25" s="2">
        <v>162.56</v>
      </c>
      <c r="E25" s="2">
        <v>4.0</v>
      </c>
      <c r="F25" s="2">
        <v>650.24</v>
      </c>
      <c r="G25" s="2" t="s">
        <v>131</v>
      </c>
      <c r="H25" s="2" t="s">
        <v>132</v>
      </c>
      <c r="I25" s="2" t="s">
        <v>133</v>
      </c>
    </row>
    <row r="26" ht="15.75" customHeight="1">
      <c r="A26" s="1" t="s">
        <v>134</v>
      </c>
      <c r="B26" s="2" t="s">
        <v>38</v>
      </c>
      <c r="C26" s="2" t="s">
        <v>135</v>
      </c>
      <c r="D26" s="2">
        <v>1721.22</v>
      </c>
      <c r="E26" s="2">
        <v>4.0</v>
      </c>
      <c r="F26" s="2">
        <v>6884.88</v>
      </c>
      <c r="G26" s="2" t="s">
        <v>136</v>
      </c>
      <c r="H26" s="2" t="s">
        <v>137</v>
      </c>
      <c r="I26" s="2" t="s">
        <v>138</v>
      </c>
    </row>
    <row r="27" ht="15.75" customHeight="1">
      <c r="A27" s="1" t="s">
        <v>9</v>
      </c>
      <c r="B27" s="2" t="s">
        <v>16</v>
      </c>
      <c r="C27" s="2" t="s">
        <v>111</v>
      </c>
      <c r="D27" s="2">
        <v>741.79</v>
      </c>
      <c r="E27" s="2">
        <v>2.0</v>
      </c>
      <c r="F27" s="2">
        <v>1483.58</v>
      </c>
      <c r="G27" s="2" t="s">
        <v>139</v>
      </c>
      <c r="H27" s="2" t="s">
        <v>140</v>
      </c>
      <c r="I27" s="2" t="s">
        <v>141</v>
      </c>
    </row>
    <row r="28" ht="15.75" customHeight="1">
      <c r="A28" s="1" t="s">
        <v>120</v>
      </c>
      <c r="B28" s="2" t="s">
        <v>142</v>
      </c>
      <c r="C28" s="2" t="s">
        <v>96</v>
      </c>
      <c r="D28" s="2">
        <v>489.42</v>
      </c>
      <c r="E28" s="2">
        <v>3.0</v>
      </c>
      <c r="F28" s="2">
        <v>1468.26</v>
      </c>
      <c r="G28" s="2" t="s">
        <v>143</v>
      </c>
      <c r="H28" s="2" t="s">
        <v>144</v>
      </c>
      <c r="I28" s="3" t="s">
        <v>145</v>
      </c>
    </row>
    <row r="29" ht="15.75" customHeight="1">
      <c r="A29" s="1" t="s">
        <v>146</v>
      </c>
      <c r="B29" s="2" t="s">
        <v>50</v>
      </c>
      <c r="C29" s="2" t="s">
        <v>147</v>
      </c>
      <c r="D29" s="2">
        <v>1247.53</v>
      </c>
      <c r="E29" s="2">
        <v>4.0</v>
      </c>
      <c r="F29" s="2">
        <v>4990.12</v>
      </c>
      <c r="G29" s="2" t="s">
        <v>148</v>
      </c>
      <c r="H29" s="2" t="s">
        <v>149</v>
      </c>
      <c r="I29" s="2" t="s">
        <v>150</v>
      </c>
    </row>
    <row r="30" ht="15.75" customHeight="1">
      <c r="A30" s="1" t="s">
        <v>151</v>
      </c>
      <c r="B30" s="2" t="s">
        <v>38</v>
      </c>
      <c r="C30" s="2" t="s">
        <v>152</v>
      </c>
      <c r="D30" s="2">
        <v>273.42</v>
      </c>
      <c r="E30" s="2">
        <v>4.0</v>
      </c>
      <c r="F30" s="2">
        <v>1093.68</v>
      </c>
      <c r="G30" s="2" t="s">
        <v>153</v>
      </c>
      <c r="H30" s="2" t="s">
        <v>154</v>
      </c>
      <c r="I30" s="2" t="s">
        <v>155</v>
      </c>
    </row>
    <row r="31" ht="15.75" customHeight="1">
      <c r="A31" s="1" t="s">
        <v>156</v>
      </c>
      <c r="B31" s="2" t="s">
        <v>16</v>
      </c>
      <c r="C31" s="2" t="s">
        <v>116</v>
      </c>
      <c r="D31" s="2">
        <v>160.68</v>
      </c>
      <c r="E31" s="2">
        <v>1.0</v>
      </c>
      <c r="F31" s="2">
        <v>160.68</v>
      </c>
      <c r="G31" s="2" t="s">
        <v>157</v>
      </c>
      <c r="H31" s="2" t="s">
        <v>158</v>
      </c>
      <c r="I31" s="2" t="s">
        <v>159</v>
      </c>
    </row>
    <row r="32" ht="15.75" customHeight="1">
      <c r="A32" s="1" t="s">
        <v>160</v>
      </c>
      <c r="B32" s="2" t="s">
        <v>161</v>
      </c>
      <c r="C32" s="2" t="s">
        <v>162</v>
      </c>
      <c r="D32" s="2">
        <v>2297.62</v>
      </c>
      <c r="E32" s="2">
        <v>4.0</v>
      </c>
      <c r="F32" s="2">
        <v>9190.48</v>
      </c>
      <c r="G32" s="2" t="s">
        <v>163</v>
      </c>
      <c r="H32" s="2" t="s">
        <v>164</v>
      </c>
      <c r="I32" s="2" t="s">
        <v>165</v>
      </c>
    </row>
    <row r="33" ht="15.75" customHeight="1">
      <c r="A33" s="1" t="s">
        <v>166</v>
      </c>
      <c r="B33" s="2" t="s">
        <v>50</v>
      </c>
      <c r="C33" s="2" t="s">
        <v>167</v>
      </c>
      <c r="D33" s="2">
        <v>1040.78</v>
      </c>
      <c r="E33" s="2">
        <v>2.0</v>
      </c>
      <c r="F33" s="2">
        <v>2081.56</v>
      </c>
      <c r="G33" s="2" t="s">
        <v>168</v>
      </c>
      <c r="H33" s="2" t="s">
        <v>169</v>
      </c>
      <c r="I33" s="2" t="s">
        <v>170</v>
      </c>
    </row>
    <row r="34" ht="15.75" customHeight="1">
      <c r="A34" s="1" t="s">
        <v>171</v>
      </c>
      <c r="B34" s="2" t="s">
        <v>38</v>
      </c>
      <c r="C34" s="2" t="s">
        <v>172</v>
      </c>
      <c r="D34" s="2">
        <v>1850.94</v>
      </c>
      <c r="E34" s="2">
        <v>1.0</v>
      </c>
      <c r="F34" s="2">
        <v>1850.94</v>
      </c>
      <c r="G34" s="2" t="s">
        <v>173</v>
      </c>
      <c r="H34" s="2" t="s">
        <v>174</v>
      </c>
      <c r="I34" s="2" t="s">
        <v>175</v>
      </c>
    </row>
    <row r="35" ht="15.75" customHeight="1">
      <c r="A35" s="1" t="s">
        <v>134</v>
      </c>
      <c r="B35" s="2" t="s">
        <v>85</v>
      </c>
      <c r="C35" s="2" t="s">
        <v>176</v>
      </c>
      <c r="D35" s="2">
        <v>134.89</v>
      </c>
      <c r="E35" s="2">
        <v>5.0</v>
      </c>
      <c r="F35" s="2">
        <v>674.45</v>
      </c>
      <c r="G35" s="2" t="s">
        <v>177</v>
      </c>
      <c r="H35" s="2" t="s">
        <v>178</v>
      </c>
      <c r="I35" s="2" t="s">
        <v>179</v>
      </c>
    </row>
    <row r="36" ht="15.75" customHeight="1">
      <c r="A36" s="1" t="s">
        <v>180</v>
      </c>
      <c r="B36" s="2" t="s">
        <v>27</v>
      </c>
      <c r="C36" s="2" t="s">
        <v>181</v>
      </c>
      <c r="D36" s="2">
        <v>2314.37</v>
      </c>
      <c r="E36" s="2">
        <v>5.0</v>
      </c>
      <c r="F36" s="2">
        <v>11571.85</v>
      </c>
      <c r="G36" s="2" t="s">
        <v>182</v>
      </c>
      <c r="H36" s="2" t="s">
        <v>183</v>
      </c>
      <c r="I36" s="2" t="s">
        <v>184</v>
      </c>
    </row>
    <row r="37" ht="15.75" customHeight="1">
      <c r="A37" s="1" t="s">
        <v>185</v>
      </c>
      <c r="B37" s="2" t="s">
        <v>101</v>
      </c>
      <c r="C37" s="2" t="s">
        <v>186</v>
      </c>
      <c r="D37" s="2">
        <v>787.6</v>
      </c>
      <c r="E37" s="2">
        <v>1.0</v>
      </c>
      <c r="F37" s="2">
        <v>787.6</v>
      </c>
      <c r="G37" s="2" t="s">
        <v>187</v>
      </c>
      <c r="H37" s="2" t="s">
        <v>188</v>
      </c>
      <c r="I37" s="2" t="s">
        <v>189</v>
      </c>
    </row>
    <row r="38" ht="15.75" customHeight="1">
      <c r="A38" s="1" t="s">
        <v>190</v>
      </c>
      <c r="B38" s="2" t="s">
        <v>85</v>
      </c>
      <c r="C38" s="2" t="s">
        <v>191</v>
      </c>
      <c r="D38" s="2">
        <v>1532.2</v>
      </c>
      <c r="E38" s="2">
        <v>1.0</v>
      </c>
      <c r="F38" s="2">
        <v>1532.2</v>
      </c>
      <c r="G38" s="2" t="s">
        <v>192</v>
      </c>
      <c r="H38" s="2" t="s">
        <v>193</v>
      </c>
      <c r="I38" s="2" t="s">
        <v>194</v>
      </c>
    </row>
    <row r="39" ht="15.75" customHeight="1">
      <c r="A39" s="1" t="s">
        <v>195</v>
      </c>
      <c r="B39" s="2" t="s">
        <v>85</v>
      </c>
      <c r="C39" s="2" t="s">
        <v>196</v>
      </c>
      <c r="D39" s="2">
        <v>1741.09</v>
      </c>
      <c r="E39" s="2">
        <v>4.0</v>
      </c>
      <c r="F39" s="2">
        <v>6964.36</v>
      </c>
      <c r="G39" s="2" t="s">
        <v>197</v>
      </c>
      <c r="H39" s="2" t="s">
        <v>198</v>
      </c>
      <c r="I39" s="2" t="s">
        <v>199</v>
      </c>
    </row>
    <row r="40" ht="15.75" customHeight="1">
      <c r="A40" s="1" t="s">
        <v>200</v>
      </c>
      <c r="B40" s="2" t="s">
        <v>38</v>
      </c>
      <c r="C40" s="2" t="s">
        <v>201</v>
      </c>
      <c r="D40" s="2">
        <v>2116.69</v>
      </c>
      <c r="E40" s="2">
        <v>2.0</v>
      </c>
      <c r="F40" s="2">
        <v>4233.38</v>
      </c>
      <c r="G40" s="2" t="s">
        <v>202</v>
      </c>
      <c r="H40" s="2" t="s">
        <v>203</v>
      </c>
      <c r="I40" s="2" t="s">
        <v>204</v>
      </c>
    </row>
    <row r="41" ht="15.75" customHeight="1">
      <c r="A41" s="1" t="s">
        <v>205</v>
      </c>
      <c r="B41" s="2" t="s">
        <v>85</v>
      </c>
      <c r="C41" s="2" t="s">
        <v>206</v>
      </c>
      <c r="D41" s="2">
        <v>1065.52</v>
      </c>
      <c r="E41" s="2">
        <v>2.0</v>
      </c>
      <c r="F41" s="2">
        <v>2131.04</v>
      </c>
      <c r="G41" s="2" t="s">
        <v>207</v>
      </c>
      <c r="H41" s="2" t="s">
        <v>208</v>
      </c>
      <c r="I41" s="2" t="s">
        <v>209</v>
      </c>
    </row>
    <row r="42" ht="15.75" customHeight="1">
      <c r="A42" s="1" t="s">
        <v>210</v>
      </c>
      <c r="B42" s="2" t="s">
        <v>16</v>
      </c>
      <c r="C42" s="2" t="s">
        <v>70</v>
      </c>
      <c r="D42" s="2">
        <v>1919.71</v>
      </c>
      <c r="E42" s="2">
        <v>4.0</v>
      </c>
      <c r="F42" s="2">
        <v>7678.84</v>
      </c>
      <c r="G42" s="2" t="s">
        <v>211</v>
      </c>
      <c r="H42" s="2" t="s">
        <v>212</v>
      </c>
      <c r="I42" s="2" t="s">
        <v>213</v>
      </c>
    </row>
    <row r="43" ht="15.75" customHeight="1">
      <c r="A43" s="1" t="s">
        <v>214</v>
      </c>
      <c r="B43" s="2" t="s">
        <v>27</v>
      </c>
      <c r="C43" s="2" t="s">
        <v>28</v>
      </c>
      <c r="D43" s="2">
        <v>450.01</v>
      </c>
      <c r="E43" s="2">
        <v>4.0</v>
      </c>
      <c r="F43" s="2">
        <v>1800.04</v>
      </c>
      <c r="G43" s="2" t="s">
        <v>215</v>
      </c>
      <c r="H43" s="2" t="s">
        <v>216</v>
      </c>
      <c r="I43" s="2" t="s">
        <v>217</v>
      </c>
    </row>
    <row r="44" ht="15.75" customHeight="1">
      <c r="A44" s="1" t="s">
        <v>218</v>
      </c>
      <c r="B44" s="2" t="s">
        <v>27</v>
      </c>
      <c r="C44" s="2" t="s">
        <v>22</v>
      </c>
      <c r="D44" s="2">
        <v>2294.28</v>
      </c>
      <c r="E44" s="2">
        <v>1.0</v>
      </c>
      <c r="F44" s="2">
        <v>2294.28</v>
      </c>
      <c r="G44" s="2" t="s">
        <v>219</v>
      </c>
      <c r="H44" s="2" t="s">
        <v>220</v>
      </c>
      <c r="I44" s="2" t="s">
        <v>221</v>
      </c>
    </row>
    <row r="45" ht="15.75" customHeight="1">
      <c r="A45" s="1" t="s">
        <v>90</v>
      </c>
      <c r="B45" s="2" t="s">
        <v>50</v>
      </c>
      <c r="C45" s="2" t="s">
        <v>45</v>
      </c>
      <c r="D45" s="2">
        <v>496.1</v>
      </c>
      <c r="E45" s="2">
        <v>3.0</v>
      </c>
      <c r="F45" s="2">
        <v>1488.3</v>
      </c>
      <c r="G45" s="2" t="s">
        <v>222</v>
      </c>
      <c r="H45" s="2" t="s">
        <v>223</v>
      </c>
      <c r="I45" s="2" t="s">
        <v>224</v>
      </c>
    </row>
    <row r="46" ht="15.75" customHeight="1">
      <c r="A46" s="1" t="s">
        <v>225</v>
      </c>
      <c r="B46" s="2" t="s">
        <v>50</v>
      </c>
      <c r="C46" s="2" t="s">
        <v>226</v>
      </c>
      <c r="D46" s="2">
        <v>1529.1</v>
      </c>
      <c r="E46" s="2">
        <v>1.0</v>
      </c>
      <c r="F46" s="2">
        <v>1529.1</v>
      </c>
      <c r="G46" s="2" t="s">
        <v>227</v>
      </c>
      <c r="H46" s="2" t="s">
        <v>228</v>
      </c>
      <c r="I46" s="2" t="s">
        <v>229</v>
      </c>
    </row>
    <row r="47" ht="15.75" customHeight="1">
      <c r="A47" s="1" t="s">
        <v>230</v>
      </c>
      <c r="B47" s="2" t="s">
        <v>27</v>
      </c>
      <c r="C47" s="2" t="s">
        <v>147</v>
      </c>
      <c r="D47" s="2">
        <v>2256.04</v>
      </c>
      <c r="E47" s="2">
        <v>5.0</v>
      </c>
      <c r="F47" s="2">
        <v>11280.2</v>
      </c>
      <c r="G47" s="2" t="s">
        <v>231</v>
      </c>
      <c r="H47" s="2" t="s">
        <v>232</v>
      </c>
      <c r="I47" s="2" t="s">
        <v>233</v>
      </c>
    </row>
    <row r="48" ht="15.75" customHeight="1">
      <c r="A48" s="1" t="s">
        <v>234</v>
      </c>
      <c r="B48" s="2" t="s">
        <v>85</v>
      </c>
      <c r="C48" s="2" t="s">
        <v>235</v>
      </c>
      <c r="D48" s="2">
        <v>625.26</v>
      </c>
      <c r="E48" s="2">
        <v>5.0</v>
      </c>
      <c r="F48" s="2">
        <v>3126.3</v>
      </c>
      <c r="G48" s="2" t="s">
        <v>236</v>
      </c>
      <c r="H48" s="2" t="s">
        <v>237</v>
      </c>
      <c r="I48" s="2" t="s">
        <v>238</v>
      </c>
    </row>
    <row r="49" ht="15.75" customHeight="1">
      <c r="A49" s="1" t="s">
        <v>239</v>
      </c>
      <c r="B49" s="2" t="s">
        <v>38</v>
      </c>
      <c r="C49" s="2" t="s">
        <v>55</v>
      </c>
      <c r="D49" s="2">
        <v>1933.07</v>
      </c>
      <c r="E49" s="2">
        <v>3.0</v>
      </c>
      <c r="F49" s="2">
        <v>5799.21</v>
      </c>
      <c r="G49" s="2" t="s">
        <v>240</v>
      </c>
      <c r="H49" s="2" t="s">
        <v>241</v>
      </c>
      <c r="I49" s="2" t="s">
        <v>242</v>
      </c>
    </row>
    <row r="50" ht="15.75" customHeight="1">
      <c r="A50" s="1" t="s">
        <v>243</v>
      </c>
      <c r="B50" s="2" t="s">
        <v>244</v>
      </c>
      <c r="C50" s="2" t="s">
        <v>245</v>
      </c>
      <c r="D50" s="2">
        <v>434.9</v>
      </c>
      <c r="E50" s="2">
        <v>1.0</v>
      </c>
      <c r="F50" s="2">
        <v>434.9</v>
      </c>
      <c r="G50" s="2" t="s">
        <v>246</v>
      </c>
      <c r="H50" s="2" t="s">
        <v>247</v>
      </c>
      <c r="I50" s="2" t="s">
        <v>248</v>
      </c>
    </row>
    <row r="51" ht="15.75" customHeight="1">
      <c r="A51" s="1" t="s">
        <v>249</v>
      </c>
      <c r="B51" s="2" t="s">
        <v>161</v>
      </c>
      <c r="C51" s="2" t="s">
        <v>250</v>
      </c>
      <c r="D51" s="2">
        <v>1889.28</v>
      </c>
      <c r="E51" s="2">
        <v>4.0</v>
      </c>
      <c r="F51" s="2">
        <v>7557.12</v>
      </c>
      <c r="G51" s="2" t="s">
        <v>251</v>
      </c>
      <c r="H51" s="2" t="s">
        <v>252</v>
      </c>
      <c r="I51" s="2" t="s">
        <v>253</v>
      </c>
    </row>
    <row r="52" ht="15.75" customHeight="1">
      <c r="A52" s="1" t="s">
        <v>49</v>
      </c>
      <c r="B52" s="2" t="s">
        <v>101</v>
      </c>
      <c r="C52" s="2" t="s">
        <v>250</v>
      </c>
      <c r="D52" s="2">
        <v>1708.81</v>
      </c>
      <c r="E52" s="2">
        <v>1.0</v>
      </c>
      <c r="F52" s="2">
        <v>1708.81</v>
      </c>
      <c r="G52" s="2" t="s">
        <v>254</v>
      </c>
      <c r="H52" s="2" t="s">
        <v>255</v>
      </c>
      <c r="I52" s="2" t="s">
        <v>256</v>
      </c>
    </row>
    <row r="53" ht="15.75" customHeight="1">
      <c r="A53" s="1" t="s">
        <v>257</v>
      </c>
      <c r="B53" s="2" t="s">
        <v>50</v>
      </c>
      <c r="C53" s="2" t="s">
        <v>258</v>
      </c>
      <c r="D53" s="2">
        <v>1524.07</v>
      </c>
      <c r="E53" s="2">
        <v>1.0</v>
      </c>
      <c r="F53" s="2">
        <v>1524.07</v>
      </c>
      <c r="G53" s="2" t="s">
        <v>259</v>
      </c>
      <c r="H53" s="2" t="s">
        <v>260</v>
      </c>
      <c r="I53" s="2" t="s">
        <v>261</v>
      </c>
    </row>
    <row r="54" ht="15.75" customHeight="1">
      <c r="A54" s="1" t="s">
        <v>100</v>
      </c>
      <c r="B54" s="2" t="s">
        <v>101</v>
      </c>
      <c r="C54" s="2" t="s">
        <v>181</v>
      </c>
      <c r="D54" s="2">
        <v>372.92</v>
      </c>
      <c r="E54" s="2">
        <v>3.0</v>
      </c>
      <c r="F54" s="2">
        <v>1118.76</v>
      </c>
      <c r="G54" s="2" t="s">
        <v>262</v>
      </c>
      <c r="H54" s="2" t="s">
        <v>263</v>
      </c>
      <c r="I54" s="2" t="s">
        <v>264</v>
      </c>
    </row>
    <row r="55" ht="15.75" customHeight="1">
      <c r="A55" s="1" t="s">
        <v>265</v>
      </c>
      <c r="B55" s="2" t="s">
        <v>27</v>
      </c>
      <c r="C55" s="2" t="s">
        <v>235</v>
      </c>
      <c r="D55" s="2">
        <v>2168.25</v>
      </c>
      <c r="E55" s="2">
        <v>3.0</v>
      </c>
      <c r="F55" s="2">
        <v>6504.75</v>
      </c>
      <c r="G55" s="2" t="s">
        <v>266</v>
      </c>
      <c r="H55" s="2" t="s">
        <v>267</v>
      </c>
      <c r="I55" s="2" t="s">
        <v>268</v>
      </c>
    </row>
    <row r="56" ht="15.75" customHeight="1">
      <c r="A56" s="1" t="s">
        <v>15</v>
      </c>
      <c r="B56" s="2" t="s">
        <v>101</v>
      </c>
      <c r="C56" s="2" t="s">
        <v>196</v>
      </c>
      <c r="D56" s="2">
        <v>882.55</v>
      </c>
      <c r="E56" s="2">
        <v>5.0</v>
      </c>
      <c r="F56" s="2">
        <v>4412.75</v>
      </c>
      <c r="G56" s="2" t="s">
        <v>269</v>
      </c>
      <c r="H56" s="2" t="s">
        <v>270</v>
      </c>
      <c r="I56" s="2" t="s">
        <v>271</v>
      </c>
    </row>
    <row r="57" ht="15.75" customHeight="1">
      <c r="A57" s="1" t="s">
        <v>272</v>
      </c>
      <c r="B57" s="2" t="s">
        <v>16</v>
      </c>
      <c r="C57" s="2" t="s">
        <v>55</v>
      </c>
      <c r="D57" s="2">
        <v>602.68</v>
      </c>
      <c r="E57" s="2">
        <v>3.0</v>
      </c>
      <c r="F57" s="2">
        <v>1808.04</v>
      </c>
      <c r="G57" s="2" t="s">
        <v>273</v>
      </c>
      <c r="H57" s="2" t="s">
        <v>274</v>
      </c>
      <c r="I57" s="2" t="s">
        <v>275</v>
      </c>
    </row>
    <row r="58" ht="15.75" customHeight="1">
      <c r="A58" s="1" t="s">
        <v>276</v>
      </c>
      <c r="B58" s="2" t="s">
        <v>27</v>
      </c>
      <c r="C58" s="2" t="s">
        <v>277</v>
      </c>
      <c r="D58" s="2">
        <v>2405.31</v>
      </c>
      <c r="E58" s="2">
        <v>5.0</v>
      </c>
      <c r="G58" s="2" t="s">
        <v>278</v>
      </c>
      <c r="H58" s="2" t="s">
        <v>279</v>
      </c>
      <c r="I58" s="2" t="s">
        <v>280</v>
      </c>
    </row>
    <row r="59" ht="15.75" customHeight="1">
      <c r="A59" s="1" t="s">
        <v>281</v>
      </c>
      <c r="B59" s="2" t="s">
        <v>85</v>
      </c>
      <c r="C59" s="2" t="s">
        <v>65</v>
      </c>
      <c r="D59" s="2">
        <v>564.69</v>
      </c>
      <c r="E59" s="2">
        <v>2.0</v>
      </c>
      <c r="F59" s="2">
        <v>1129.38</v>
      </c>
      <c r="G59" s="2" t="s">
        <v>282</v>
      </c>
      <c r="H59" s="2" t="s">
        <v>283</v>
      </c>
      <c r="I59" s="2" t="s">
        <v>284</v>
      </c>
    </row>
    <row r="60" ht="15.75" customHeight="1">
      <c r="A60" s="1" t="s">
        <v>285</v>
      </c>
      <c r="B60" s="2" t="s">
        <v>38</v>
      </c>
      <c r="C60" s="2" t="s">
        <v>116</v>
      </c>
      <c r="D60" s="2">
        <v>2373.12</v>
      </c>
      <c r="E60" s="2">
        <v>2.0</v>
      </c>
      <c r="F60" s="2">
        <v>4746.24</v>
      </c>
      <c r="G60" s="2" t="s">
        <v>286</v>
      </c>
      <c r="H60" s="2" t="s">
        <v>287</v>
      </c>
      <c r="I60" s="2" t="s">
        <v>288</v>
      </c>
    </row>
    <row r="61" ht="15.75" customHeight="1">
      <c r="A61" s="1" t="s">
        <v>289</v>
      </c>
      <c r="B61" s="2" t="s">
        <v>290</v>
      </c>
      <c r="C61" s="2" t="s">
        <v>147</v>
      </c>
      <c r="D61" s="2">
        <v>278.37</v>
      </c>
      <c r="E61" s="2">
        <v>3.0</v>
      </c>
      <c r="F61" s="2">
        <v>835.11</v>
      </c>
      <c r="G61" s="2" t="s">
        <v>291</v>
      </c>
      <c r="H61" s="2" t="s">
        <v>292</v>
      </c>
      <c r="I61" s="2" t="s">
        <v>293</v>
      </c>
    </row>
    <row r="62" ht="15.75" customHeight="1">
      <c r="A62" s="1" t="s">
        <v>294</v>
      </c>
      <c r="B62" s="2" t="s">
        <v>101</v>
      </c>
      <c r="C62" s="2" t="s">
        <v>201</v>
      </c>
      <c r="D62" s="2">
        <v>1636.89</v>
      </c>
      <c r="E62" s="2">
        <v>2.0</v>
      </c>
      <c r="F62" s="2">
        <v>3273.78</v>
      </c>
      <c r="G62" s="2" t="s">
        <v>295</v>
      </c>
      <c r="H62" s="2" t="s">
        <v>296</v>
      </c>
      <c r="I62" s="2" t="s">
        <v>297</v>
      </c>
    </row>
    <row r="63" ht="15.75" customHeight="1">
      <c r="A63" s="1" t="s">
        <v>298</v>
      </c>
      <c r="B63" s="2" t="s">
        <v>16</v>
      </c>
      <c r="C63" s="2" t="s">
        <v>206</v>
      </c>
      <c r="E63" s="2">
        <v>1.0</v>
      </c>
      <c r="F63" s="2">
        <v>1787.41</v>
      </c>
      <c r="G63" s="2" t="s">
        <v>299</v>
      </c>
      <c r="H63" s="2" t="s">
        <v>300</v>
      </c>
      <c r="I63" s="2" t="s">
        <v>301</v>
      </c>
    </row>
    <row r="64" ht="15.75" customHeight="1">
      <c r="A64" s="1" t="s">
        <v>302</v>
      </c>
      <c r="B64" s="2" t="s">
        <v>60</v>
      </c>
      <c r="C64" s="2" t="s">
        <v>226</v>
      </c>
      <c r="D64" s="2">
        <v>218.94</v>
      </c>
      <c r="E64" s="2">
        <v>3.0</v>
      </c>
      <c r="F64" s="2">
        <v>656.82</v>
      </c>
      <c r="G64" s="2" t="s">
        <v>303</v>
      </c>
      <c r="H64" s="2" t="s">
        <v>304</v>
      </c>
      <c r="I64" s="2" t="s">
        <v>305</v>
      </c>
    </row>
    <row r="65" ht="15.75" customHeight="1">
      <c r="A65" s="1" t="s">
        <v>306</v>
      </c>
      <c r="B65" s="2" t="s">
        <v>101</v>
      </c>
      <c r="C65" s="2" t="s">
        <v>181</v>
      </c>
      <c r="D65" s="2">
        <v>1077.1</v>
      </c>
      <c r="E65" s="2">
        <v>5.0</v>
      </c>
      <c r="F65" s="2">
        <v>5385.5</v>
      </c>
      <c r="G65" s="2" t="s">
        <v>307</v>
      </c>
      <c r="H65" s="2" t="s">
        <v>308</v>
      </c>
      <c r="I65" s="2" t="s">
        <v>309</v>
      </c>
    </row>
    <row r="66" ht="15.75" customHeight="1">
      <c r="A66" s="1" t="s">
        <v>310</v>
      </c>
      <c r="B66" s="2" t="s">
        <v>50</v>
      </c>
      <c r="C66" s="2" t="s">
        <v>311</v>
      </c>
      <c r="D66" s="2">
        <v>2297.78</v>
      </c>
      <c r="E66" s="2">
        <v>4.0</v>
      </c>
      <c r="F66" s="2">
        <v>9191.12</v>
      </c>
      <c r="G66" s="2" t="s">
        <v>312</v>
      </c>
      <c r="H66" s="2" t="s">
        <v>313</v>
      </c>
      <c r="I66" s="2" t="s">
        <v>314</v>
      </c>
    </row>
    <row r="67" ht="15.75" customHeight="1">
      <c r="A67" s="1" t="s">
        <v>315</v>
      </c>
      <c r="B67" s="2" t="s">
        <v>50</v>
      </c>
      <c r="C67" s="2" t="s">
        <v>235</v>
      </c>
      <c r="D67" s="2">
        <v>127.95</v>
      </c>
      <c r="E67" s="2">
        <v>4.0</v>
      </c>
      <c r="F67" s="2">
        <v>511.8</v>
      </c>
      <c r="G67" s="2" t="s">
        <v>316</v>
      </c>
      <c r="H67" s="2" t="s">
        <v>317</v>
      </c>
      <c r="I67" s="2" t="s">
        <v>318</v>
      </c>
    </row>
    <row r="68" ht="15.75" customHeight="1">
      <c r="A68" s="1" t="s">
        <v>319</v>
      </c>
      <c r="B68" s="2" t="s">
        <v>38</v>
      </c>
      <c r="C68" s="2" t="s">
        <v>33</v>
      </c>
      <c r="D68" s="2">
        <v>1545.28</v>
      </c>
      <c r="E68" s="2">
        <v>2.0</v>
      </c>
      <c r="F68" s="2">
        <v>3090.56</v>
      </c>
      <c r="G68" s="2" t="s">
        <v>320</v>
      </c>
      <c r="H68" s="2" t="s">
        <v>321</v>
      </c>
      <c r="I68" s="2" t="s">
        <v>322</v>
      </c>
    </row>
    <row r="69" ht="15.75" customHeight="1">
      <c r="A69" s="1" t="s">
        <v>323</v>
      </c>
      <c r="B69" s="2" t="s">
        <v>27</v>
      </c>
      <c r="C69" s="2" t="s">
        <v>111</v>
      </c>
      <c r="D69" s="2">
        <v>97.52</v>
      </c>
      <c r="E69" s="2">
        <v>1.0</v>
      </c>
      <c r="F69" s="2">
        <v>97.52</v>
      </c>
      <c r="G69" s="2" t="s">
        <v>324</v>
      </c>
      <c r="H69" s="2" t="s">
        <v>325</v>
      </c>
      <c r="I69" s="2" t="s">
        <v>326</v>
      </c>
    </row>
    <row r="70" ht="15.75" customHeight="1">
      <c r="A70" s="1" t="s">
        <v>327</v>
      </c>
      <c r="B70" s="2" t="s">
        <v>16</v>
      </c>
      <c r="C70" s="2" t="s">
        <v>75</v>
      </c>
      <c r="D70" s="2">
        <v>817.03</v>
      </c>
      <c r="E70" s="2">
        <v>2.0</v>
      </c>
      <c r="F70" s="2">
        <v>1634.06</v>
      </c>
      <c r="G70" s="2" t="s">
        <v>328</v>
      </c>
      <c r="H70" s="2" t="s">
        <v>329</v>
      </c>
      <c r="I70" s="2" t="s">
        <v>330</v>
      </c>
    </row>
    <row r="71" ht="15.75" customHeight="1">
      <c r="A71" s="1" t="s">
        <v>331</v>
      </c>
      <c r="B71" s="2" t="s">
        <v>101</v>
      </c>
      <c r="C71" s="2" t="s">
        <v>206</v>
      </c>
      <c r="D71" s="2">
        <v>721.04</v>
      </c>
      <c r="E71" s="2">
        <v>4.0</v>
      </c>
      <c r="F71" s="2">
        <v>2884.16</v>
      </c>
      <c r="G71" s="2" t="s">
        <v>332</v>
      </c>
      <c r="H71" s="2" t="s">
        <v>333</v>
      </c>
      <c r="I71" s="2" t="s">
        <v>334</v>
      </c>
    </row>
    <row r="72" ht="15.75" customHeight="1">
      <c r="A72" s="1" t="s">
        <v>335</v>
      </c>
      <c r="B72" s="2" t="s">
        <v>85</v>
      </c>
      <c r="C72" s="2" t="s">
        <v>186</v>
      </c>
      <c r="D72" s="2">
        <v>1636.65</v>
      </c>
      <c r="E72" s="2">
        <v>2.0</v>
      </c>
      <c r="F72" s="2">
        <v>3273.3</v>
      </c>
      <c r="G72" s="2" t="s">
        <v>336</v>
      </c>
      <c r="H72" s="2" t="s">
        <v>337</v>
      </c>
      <c r="I72" s="2" t="s">
        <v>338</v>
      </c>
    </row>
    <row r="73" ht="15.75" customHeight="1">
      <c r="A73" s="1" t="s">
        <v>339</v>
      </c>
      <c r="B73" s="2" t="s">
        <v>27</v>
      </c>
      <c r="C73" s="2" t="s">
        <v>162</v>
      </c>
      <c r="D73" s="2">
        <v>2114.2</v>
      </c>
      <c r="E73" s="2">
        <v>5.0</v>
      </c>
      <c r="F73" s="2">
        <v>10571.0</v>
      </c>
      <c r="G73" s="2" t="s">
        <v>340</v>
      </c>
      <c r="H73" s="2" t="s">
        <v>341</v>
      </c>
      <c r="I73" s="2" t="s">
        <v>342</v>
      </c>
    </row>
    <row r="74" ht="15.75" customHeight="1">
      <c r="A74" s="1" t="s">
        <v>343</v>
      </c>
      <c r="B74" s="2" t="s">
        <v>101</v>
      </c>
      <c r="C74" s="2" t="s">
        <v>147</v>
      </c>
      <c r="D74" s="2">
        <v>934.1</v>
      </c>
      <c r="E74" s="2">
        <v>2.0</v>
      </c>
      <c r="F74" s="2">
        <v>1868.2</v>
      </c>
      <c r="G74" s="2" t="s">
        <v>344</v>
      </c>
      <c r="H74" s="2" t="s">
        <v>345</v>
      </c>
      <c r="I74" s="2" t="s">
        <v>346</v>
      </c>
    </row>
    <row r="75" ht="15.75" customHeight="1">
      <c r="A75" s="1" t="s">
        <v>347</v>
      </c>
      <c r="B75" s="2" t="s">
        <v>50</v>
      </c>
      <c r="C75" s="2" t="s">
        <v>348</v>
      </c>
      <c r="D75" s="2">
        <v>2095.64</v>
      </c>
      <c r="E75" s="2">
        <v>5.0</v>
      </c>
      <c r="F75" s="2">
        <v>10478.2</v>
      </c>
      <c r="G75" s="2" t="s">
        <v>349</v>
      </c>
      <c r="H75" s="2" t="s">
        <v>350</v>
      </c>
      <c r="I75" s="2" t="s">
        <v>351</v>
      </c>
    </row>
    <row r="76" ht="15.75" customHeight="1">
      <c r="A76" s="1" t="s">
        <v>352</v>
      </c>
      <c r="B76" s="2" t="s">
        <v>85</v>
      </c>
      <c r="C76" s="2" t="s">
        <v>235</v>
      </c>
      <c r="D76" s="2">
        <v>337.5</v>
      </c>
      <c r="E76" s="2">
        <v>5.0</v>
      </c>
      <c r="F76" s="2">
        <v>1687.5</v>
      </c>
      <c r="G76" s="2" t="s">
        <v>353</v>
      </c>
      <c r="H76" s="2" t="s">
        <v>354</v>
      </c>
      <c r="I76" s="2" t="s">
        <v>355</v>
      </c>
    </row>
    <row r="77" ht="15.75" customHeight="1">
      <c r="A77" s="1" t="s">
        <v>356</v>
      </c>
      <c r="B77" s="2" t="s">
        <v>38</v>
      </c>
      <c r="C77" s="2" t="s">
        <v>176</v>
      </c>
      <c r="D77" s="2">
        <v>1962.79</v>
      </c>
      <c r="E77" s="2">
        <v>3.0</v>
      </c>
      <c r="F77" s="2">
        <v>5888.37</v>
      </c>
      <c r="G77" s="2" t="s">
        <v>357</v>
      </c>
      <c r="H77" s="2" t="s">
        <v>358</v>
      </c>
      <c r="I77" s="2" t="s">
        <v>359</v>
      </c>
    </row>
    <row r="78" ht="15.75" customHeight="1">
      <c r="A78" s="1" t="s">
        <v>43</v>
      </c>
      <c r="B78" s="2" t="s">
        <v>50</v>
      </c>
      <c r="C78" s="2" t="s">
        <v>360</v>
      </c>
      <c r="D78" s="2">
        <v>2261.15</v>
      </c>
      <c r="E78" s="2">
        <v>1.0</v>
      </c>
      <c r="F78" s="2">
        <v>2261.15</v>
      </c>
      <c r="G78" s="2" t="s">
        <v>361</v>
      </c>
      <c r="H78" s="2" t="s">
        <v>362</v>
      </c>
      <c r="I78" s="2" t="s">
        <v>363</v>
      </c>
    </row>
    <row r="79" ht="15.75" customHeight="1">
      <c r="A79" s="1" t="s">
        <v>339</v>
      </c>
      <c r="B79" s="2" t="s">
        <v>16</v>
      </c>
      <c r="C79" s="2" t="s">
        <v>22</v>
      </c>
      <c r="D79" s="2">
        <v>1491.19</v>
      </c>
      <c r="E79" s="2">
        <v>5.0</v>
      </c>
      <c r="F79" s="2">
        <v>7455.95</v>
      </c>
      <c r="G79" s="2" t="s">
        <v>364</v>
      </c>
      <c r="H79" s="2" t="s">
        <v>365</v>
      </c>
      <c r="I79" s="2" t="s">
        <v>366</v>
      </c>
    </row>
    <row r="80" ht="15.75" customHeight="1">
      <c r="A80" s="1" t="s">
        <v>367</v>
      </c>
      <c r="B80" s="2" t="s">
        <v>368</v>
      </c>
      <c r="C80" s="2" t="s">
        <v>369</v>
      </c>
      <c r="D80" s="2">
        <v>405.62</v>
      </c>
      <c r="E80" s="2">
        <v>4.0</v>
      </c>
      <c r="F80" s="2">
        <v>1622.48</v>
      </c>
      <c r="G80" s="2" t="s">
        <v>370</v>
      </c>
      <c r="H80" s="2" t="s">
        <v>371</v>
      </c>
      <c r="I80" s="2" t="s">
        <v>372</v>
      </c>
    </row>
    <row r="81" ht="15.75" customHeight="1">
      <c r="A81" s="1" t="s">
        <v>373</v>
      </c>
      <c r="B81" s="2" t="s">
        <v>101</v>
      </c>
      <c r="C81" s="2" t="s">
        <v>250</v>
      </c>
      <c r="D81" s="2">
        <v>2157.37</v>
      </c>
      <c r="E81" s="2">
        <v>5.0</v>
      </c>
      <c r="F81" s="2">
        <v>10786.85</v>
      </c>
      <c r="G81" s="2" t="s">
        <v>374</v>
      </c>
      <c r="H81" s="2" t="s">
        <v>375</v>
      </c>
      <c r="I81" s="2" t="s">
        <v>376</v>
      </c>
    </row>
    <row r="82" ht="15.75" customHeight="1">
      <c r="A82" s="1" t="s">
        <v>298</v>
      </c>
      <c r="B82" s="2" t="s">
        <v>101</v>
      </c>
      <c r="C82" s="2" t="s">
        <v>186</v>
      </c>
      <c r="D82" s="2">
        <v>625.41</v>
      </c>
      <c r="E82" s="2">
        <v>2.0</v>
      </c>
      <c r="F82" s="2">
        <v>1250.82</v>
      </c>
      <c r="G82" s="2" t="s">
        <v>377</v>
      </c>
      <c r="H82" s="2" t="s">
        <v>378</v>
      </c>
      <c r="I82" s="2" t="s">
        <v>379</v>
      </c>
    </row>
    <row r="83" ht="15.75" customHeight="1">
      <c r="A83" s="1" t="s">
        <v>380</v>
      </c>
      <c r="B83" s="2" t="s">
        <v>101</v>
      </c>
      <c r="C83" s="2" t="s">
        <v>186</v>
      </c>
      <c r="D83" s="2">
        <v>1664.18</v>
      </c>
      <c r="E83" s="2">
        <v>3.0</v>
      </c>
      <c r="F83" s="2">
        <v>4992.54</v>
      </c>
      <c r="G83" s="2" t="s">
        <v>381</v>
      </c>
      <c r="H83" s="2" t="s">
        <v>382</v>
      </c>
      <c r="I83" s="2" t="s">
        <v>383</v>
      </c>
    </row>
    <row r="84" ht="15.75" customHeight="1">
      <c r="A84" s="1" t="s">
        <v>384</v>
      </c>
      <c r="B84" s="2" t="s">
        <v>101</v>
      </c>
      <c r="C84" s="2" t="s">
        <v>385</v>
      </c>
      <c r="D84" s="2">
        <v>2229.46</v>
      </c>
      <c r="E84" s="2">
        <v>3.0</v>
      </c>
      <c r="F84" s="2">
        <v>6688.38</v>
      </c>
      <c r="G84" s="2" t="s">
        <v>386</v>
      </c>
      <c r="H84" s="2" t="s">
        <v>387</v>
      </c>
      <c r="I84" s="2" t="s">
        <v>388</v>
      </c>
    </row>
    <row r="85" ht="15.75" customHeight="1">
      <c r="A85" s="1" t="s">
        <v>315</v>
      </c>
      <c r="B85" s="2" t="s">
        <v>38</v>
      </c>
      <c r="C85" s="2" t="s">
        <v>191</v>
      </c>
      <c r="D85" s="2">
        <v>371.34</v>
      </c>
      <c r="E85" s="2">
        <v>3.0</v>
      </c>
      <c r="F85" s="2">
        <v>1114.02</v>
      </c>
      <c r="G85" s="2" t="s">
        <v>389</v>
      </c>
      <c r="H85" s="2" t="s">
        <v>390</v>
      </c>
      <c r="I85" s="2" t="s">
        <v>391</v>
      </c>
    </row>
    <row r="86" ht="15.75" customHeight="1">
      <c r="A86" s="1" t="s">
        <v>392</v>
      </c>
      <c r="B86" s="2" t="s">
        <v>38</v>
      </c>
      <c r="C86" s="2" t="s">
        <v>147</v>
      </c>
      <c r="E86" s="2">
        <v>4.0</v>
      </c>
      <c r="F86" s="2">
        <v>9938.64</v>
      </c>
      <c r="G86" s="2" t="s">
        <v>393</v>
      </c>
      <c r="H86" s="2" t="s">
        <v>394</v>
      </c>
      <c r="I86" s="2" t="s">
        <v>395</v>
      </c>
    </row>
    <row r="87" ht="15.75" customHeight="1">
      <c r="A87" s="1" t="s">
        <v>396</v>
      </c>
      <c r="B87" s="2" t="s">
        <v>38</v>
      </c>
      <c r="C87" s="2" t="s">
        <v>397</v>
      </c>
      <c r="D87" s="2">
        <v>271.58</v>
      </c>
      <c r="E87" s="2">
        <v>5.0</v>
      </c>
      <c r="F87" s="2">
        <v>1357.9</v>
      </c>
      <c r="G87" s="2" t="s">
        <v>398</v>
      </c>
      <c r="H87" s="2" t="s">
        <v>399</v>
      </c>
      <c r="I87" s="2" t="s">
        <v>400</v>
      </c>
    </row>
    <row r="88" ht="15.75" customHeight="1">
      <c r="A88" s="1" t="s">
        <v>401</v>
      </c>
      <c r="B88" s="2" t="s">
        <v>27</v>
      </c>
      <c r="C88" s="2" t="s">
        <v>181</v>
      </c>
      <c r="D88" s="2">
        <v>2371.6</v>
      </c>
      <c r="E88" s="2">
        <v>2.0</v>
      </c>
      <c r="F88" s="2">
        <v>4743.2</v>
      </c>
      <c r="G88" s="2" t="s">
        <v>402</v>
      </c>
      <c r="H88" s="2" t="s">
        <v>403</v>
      </c>
      <c r="I88" s="2" t="s">
        <v>404</v>
      </c>
    </row>
    <row r="89" ht="15.75" customHeight="1">
      <c r="A89" s="1" t="s">
        <v>405</v>
      </c>
      <c r="B89" s="2" t="s">
        <v>38</v>
      </c>
      <c r="C89" s="2" t="s">
        <v>147</v>
      </c>
      <c r="D89" s="2">
        <v>2392.65</v>
      </c>
      <c r="E89" s="2">
        <v>4.0</v>
      </c>
      <c r="F89" s="2">
        <v>9570.6</v>
      </c>
      <c r="G89" s="2" t="s">
        <v>406</v>
      </c>
      <c r="H89" s="2" t="s">
        <v>407</v>
      </c>
      <c r="I89" s="2" t="s">
        <v>408</v>
      </c>
    </row>
    <row r="90" ht="15.75" customHeight="1">
      <c r="A90" s="1" t="s">
        <v>409</v>
      </c>
      <c r="B90" s="2" t="s">
        <v>101</v>
      </c>
      <c r="C90" s="2" t="s">
        <v>22</v>
      </c>
      <c r="D90" s="2">
        <v>1738.96</v>
      </c>
      <c r="E90" s="2">
        <v>4.0</v>
      </c>
      <c r="F90" s="2">
        <v>6955.84</v>
      </c>
      <c r="G90" s="2" t="s">
        <v>410</v>
      </c>
      <c r="H90" s="2" t="s">
        <v>411</v>
      </c>
      <c r="I90" s="2" t="s">
        <v>412</v>
      </c>
    </row>
    <row r="91" ht="15.75" customHeight="1">
      <c r="A91" s="1" t="s">
        <v>413</v>
      </c>
      <c r="B91" s="2" t="s">
        <v>38</v>
      </c>
      <c r="C91" s="2" t="s">
        <v>39</v>
      </c>
      <c r="D91" s="2">
        <v>1877.63</v>
      </c>
      <c r="E91" s="2">
        <v>2.0</v>
      </c>
      <c r="F91" s="2">
        <v>3755.26</v>
      </c>
      <c r="G91" s="2" t="s">
        <v>414</v>
      </c>
      <c r="H91" s="2" t="s">
        <v>415</v>
      </c>
      <c r="I91" s="2" t="s">
        <v>416</v>
      </c>
    </row>
    <row r="92" ht="15.75" customHeight="1">
      <c r="A92" s="1" t="s">
        <v>417</v>
      </c>
      <c r="B92" s="2" t="s">
        <v>27</v>
      </c>
      <c r="C92" s="2" t="s">
        <v>191</v>
      </c>
      <c r="D92" s="2">
        <v>1547.71</v>
      </c>
      <c r="E92" s="2">
        <v>5.0</v>
      </c>
      <c r="F92" s="2">
        <v>7738.55</v>
      </c>
      <c r="G92" s="2" t="s">
        <v>418</v>
      </c>
      <c r="H92" s="2" t="s">
        <v>419</v>
      </c>
      <c r="I92" s="2" t="s">
        <v>420</v>
      </c>
    </row>
    <row r="93" ht="15.75" customHeight="1">
      <c r="A93" s="1" t="s">
        <v>421</v>
      </c>
      <c r="B93" s="2" t="s">
        <v>85</v>
      </c>
      <c r="C93" s="2" t="s">
        <v>116</v>
      </c>
      <c r="D93" s="2">
        <v>1254.72</v>
      </c>
      <c r="E93" s="2">
        <v>2.0</v>
      </c>
      <c r="F93" s="2">
        <v>2509.44</v>
      </c>
      <c r="G93" s="2" t="s">
        <v>422</v>
      </c>
      <c r="H93" s="2" t="s">
        <v>423</v>
      </c>
      <c r="I93" s="2" t="s">
        <v>424</v>
      </c>
    </row>
    <row r="94" ht="15.75" customHeight="1">
      <c r="A94" s="1" t="s">
        <v>425</v>
      </c>
      <c r="B94" s="2" t="s">
        <v>101</v>
      </c>
      <c r="C94" s="2" t="s">
        <v>235</v>
      </c>
      <c r="D94" s="2">
        <v>2087.84</v>
      </c>
      <c r="E94" s="2">
        <v>1.0</v>
      </c>
      <c r="F94" s="2">
        <v>2087.84</v>
      </c>
      <c r="G94" s="2" t="s">
        <v>426</v>
      </c>
      <c r="H94" s="2" t="s">
        <v>427</v>
      </c>
      <c r="I94" s="2" t="s">
        <v>428</v>
      </c>
    </row>
    <row r="95" ht="15.75" customHeight="1">
      <c r="A95" s="1" t="s">
        <v>429</v>
      </c>
      <c r="B95" s="2" t="s">
        <v>85</v>
      </c>
      <c r="C95" s="2" t="s">
        <v>39</v>
      </c>
      <c r="E95" s="2">
        <v>3.0</v>
      </c>
      <c r="F95" s="2">
        <v>4978.62</v>
      </c>
      <c r="G95" s="2" t="s">
        <v>430</v>
      </c>
      <c r="H95" s="2" t="s">
        <v>431</v>
      </c>
      <c r="I95" s="2" t="s">
        <v>432</v>
      </c>
    </row>
    <row r="96" ht="15.75" customHeight="1">
      <c r="A96" s="1" t="s">
        <v>433</v>
      </c>
      <c r="B96" s="2" t="s">
        <v>85</v>
      </c>
      <c r="C96" s="2" t="s">
        <v>28</v>
      </c>
      <c r="D96" s="2">
        <v>1849.07</v>
      </c>
      <c r="E96" s="2">
        <v>5.0</v>
      </c>
      <c r="F96" s="2">
        <v>9245.35</v>
      </c>
      <c r="G96" s="2" t="s">
        <v>434</v>
      </c>
      <c r="H96" s="2" t="s">
        <v>435</v>
      </c>
      <c r="I96" s="2" t="s">
        <v>436</v>
      </c>
    </row>
    <row r="97" ht="15.75" customHeight="1">
      <c r="A97" s="1" t="s">
        <v>437</v>
      </c>
      <c r="B97" s="2" t="s">
        <v>50</v>
      </c>
      <c r="C97" s="2" t="s">
        <v>80</v>
      </c>
      <c r="D97" s="2">
        <v>1290.52</v>
      </c>
      <c r="E97" s="2">
        <v>3.0</v>
      </c>
      <c r="F97" s="2">
        <v>3871.56</v>
      </c>
      <c r="G97" s="2" t="s">
        <v>438</v>
      </c>
      <c r="H97" s="2" t="s">
        <v>439</v>
      </c>
      <c r="I97" s="2" t="s">
        <v>440</v>
      </c>
    </row>
    <row r="98" ht="15.75" customHeight="1">
      <c r="A98" s="1" t="s">
        <v>79</v>
      </c>
      <c r="B98" s="2" t="s">
        <v>38</v>
      </c>
      <c r="C98" s="2" t="s">
        <v>186</v>
      </c>
      <c r="D98" s="2">
        <v>392.86</v>
      </c>
      <c r="E98" s="2">
        <v>2.0</v>
      </c>
      <c r="F98" s="2">
        <v>785.72</v>
      </c>
      <c r="G98" s="2" t="s">
        <v>441</v>
      </c>
      <c r="H98" s="2" t="s">
        <v>442</v>
      </c>
      <c r="I98" s="2" t="s">
        <v>443</v>
      </c>
    </row>
    <row r="99" ht="15.75" customHeight="1">
      <c r="A99" s="1" t="s">
        <v>444</v>
      </c>
      <c r="B99" s="2" t="s">
        <v>85</v>
      </c>
      <c r="C99" s="2" t="s">
        <v>235</v>
      </c>
      <c r="D99" s="2">
        <v>1864.02</v>
      </c>
      <c r="E99" s="2">
        <v>5.0</v>
      </c>
      <c r="F99" s="2">
        <v>9320.1</v>
      </c>
      <c r="G99" s="2" t="s">
        <v>445</v>
      </c>
      <c r="H99" s="2" t="s">
        <v>446</v>
      </c>
      <c r="I99" s="2" t="s">
        <v>447</v>
      </c>
    </row>
    <row r="100" ht="15.75" customHeight="1">
      <c r="A100" s="1" t="s">
        <v>100</v>
      </c>
      <c r="B100" s="2" t="s">
        <v>101</v>
      </c>
      <c r="C100" s="2" t="s">
        <v>70</v>
      </c>
      <c r="D100" s="2">
        <v>589.92</v>
      </c>
      <c r="E100" s="2">
        <v>3.0</v>
      </c>
      <c r="F100" s="2">
        <v>1769.76</v>
      </c>
      <c r="G100" s="2" t="s">
        <v>448</v>
      </c>
      <c r="H100" s="2" t="s">
        <v>449</v>
      </c>
      <c r="I100" s="2" t="s">
        <v>450</v>
      </c>
    </row>
    <row r="101" ht="15.75" customHeight="1">
      <c r="A101" s="1" t="s">
        <v>451</v>
      </c>
      <c r="B101" s="2" t="s">
        <v>27</v>
      </c>
      <c r="C101" s="2" t="s">
        <v>452</v>
      </c>
      <c r="D101" s="2">
        <v>758.87</v>
      </c>
      <c r="E101" s="2">
        <v>3.0</v>
      </c>
      <c r="F101" s="2">
        <v>2276.61</v>
      </c>
      <c r="G101" s="2" t="s">
        <v>453</v>
      </c>
      <c r="H101" s="2" t="s">
        <v>454</v>
      </c>
      <c r="I101" s="3" t="s">
        <v>455</v>
      </c>
    </row>
    <row r="102" ht="15.75" customHeight="1">
      <c r="A102" s="1" t="s">
        <v>396</v>
      </c>
      <c r="B102" s="2" t="s">
        <v>27</v>
      </c>
      <c r="C102" s="2" t="s">
        <v>250</v>
      </c>
      <c r="D102" s="2">
        <v>489.9</v>
      </c>
      <c r="E102" s="2">
        <v>2.0</v>
      </c>
      <c r="F102" s="2">
        <v>979.8</v>
      </c>
      <c r="G102" s="2" t="s">
        <v>456</v>
      </c>
      <c r="H102" s="2" t="s">
        <v>457</v>
      </c>
      <c r="I102" s="2" t="s">
        <v>458</v>
      </c>
    </row>
    <row r="103" ht="15.75" customHeight="1">
      <c r="A103" s="1" t="s">
        <v>459</v>
      </c>
      <c r="B103" s="2" t="s">
        <v>85</v>
      </c>
      <c r="C103" s="2" t="s">
        <v>121</v>
      </c>
      <c r="D103" s="2">
        <v>1614.05</v>
      </c>
      <c r="E103" s="2">
        <v>1.0</v>
      </c>
      <c r="F103" s="2">
        <v>1614.05</v>
      </c>
      <c r="G103" s="2" t="s">
        <v>460</v>
      </c>
      <c r="H103" s="2" t="s">
        <v>461</v>
      </c>
      <c r="I103" s="2" t="s">
        <v>462</v>
      </c>
    </row>
    <row r="104" ht="15.75" customHeight="1">
      <c r="A104" s="1" t="s">
        <v>463</v>
      </c>
      <c r="B104" s="2" t="s">
        <v>38</v>
      </c>
      <c r="C104" s="2" t="s">
        <v>348</v>
      </c>
      <c r="D104" s="2">
        <v>179.58</v>
      </c>
      <c r="E104" s="2">
        <v>3.0</v>
      </c>
      <c r="F104" s="2">
        <v>538.74</v>
      </c>
      <c r="G104" s="2" t="s">
        <v>464</v>
      </c>
      <c r="H104" s="2" t="s">
        <v>465</v>
      </c>
      <c r="I104" s="2" t="s">
        <v>466</v>
      </c>
    </row>
    <row r="105" ht="15.75" customHeight="1">
      <c r="A105" s="1" t="s">
        <v>9</v>
      </c>
      <c r="B105" s="2" t="s">
        <v>16</v>
      </c>
      <c r="C105" s="2" t="s">
        <v>360</v>
      </c>
      <c r="D105" s="2">
        <v>984.34</v>
      </c>
      <c r="E105" s="2">
        <v>3.0</v>
      </c>
      <c r="F105" s="2">
        <v>2953.02</v>
      </c>
      <c r="G105" s="2" t="s">
        <v>467</v>
      </c>
      <c r="H105" s="2" t="s">
        <v>468</v>
      </c>
      <c r="I105" s="2" t="s">
        <v>469</v>
      </c>
    </row>
    <row r="106" ht="15.75" customHeight="1">
      <c r="A106" s="1" t="s">
        <v>470</v>
      </c>
      <c r="B106" s="2" t="s">
        <v>101</v>
      </c>
      <c r="C106" s="2" t="s">
        <v>235</v>
      </c>
      <c r="D106" s="2">
        <v>1456.46</v>
      </c>
      <c r="E106" s="2">
        <v>4.0</v>
      </c>
      <c r="F106" s="2">
        <v>5825.84</v>
      </c>
      <c r="G106" s="2" t="s">
        <v>471</v>
      </c>
      <c r="H106" s="2" t="s">
        <v>472</v>
      </c>
      <c r="I106" s="2" t="s">
        <v>473</v>
      </c>
    </row>
    <row r="107" ht="15.75" customHeight="1">
      <c r="A107" s="1" t="s">
        <v>474</v>
      </c>
      <c r="B107" s="2" t="s">
        <v>27</v>
      </c>
      <c r="C107" s="2" t="s">
        <v>167</v>
      </c>
      <c r="D107" s="2">
        <v>421.27</v>
      </c>
      <c r="E107" s="2">
        <v>4.0</v>
      </c>
      <c r="F107" s="2">
        <v>1685.08</v>
      </c>
      <c r="G107" s="2" t="s">
        <v>475</v>
      </c>
      <c r="H107" s="2" t="s">
        <v>476</v>
      </c>
      <c r="I107" s="2" t="s">
        <v>477</v>
      </c>
    </row>
    <row r="108" ht="15.75" customHeight="1">
      <c r="A108" s="1" t="s">
        <v>302</v>
      </c>
      <c r="B108" s="2" t="s">
        <v>16</v>
      </c>
      <c r="C108" s="2" t="s">
        <v>152</v>
      </c>
      <c r="D108" s="2">
        <v>78.53</v>
      </c>
      <c r="E108" s="2">
        <v>2.0</v>
      </c>
      <c r="F108" s="2">
        <v>157.06</v>
      </c>
      <c r="G108" s="2" t="s">
        <v>478</v>
      </c>
      <c r="H108" s="2" t="s">
        <v>479</v>
      </c>
      <c r="I108" s="2" t="s">
        <v>480</v>
      </c>
    </row>
    <row r="109" ht="15.75" customHeight="1">
      <c r="A109" s="1" t="s">
        <v>481</v>
      </c>
      <c r="B109" s="2" t="s">
        <v>101</v>
      </c>
      <c r="C109" s="2" t="s">
        <v>96</v>
      </c>
      <c r="D109" s="2">
        <v>576.8</v>
      </c>
      <c r="E109" s="2">
        <v>3.0</v>
      </c>
      <c r="F109" s="2">
        <v>1730.4</v>
      </c>
      <c r="G109" s="2" t="s">
        <v>482</v>
      </c>
      <c r="H109" s="2" t="s">
        <v>483</v>
      </c>
      <c r="I109" s="2" t="s">
        <v>484</v>
      </c>
    </row>
    <row r="110" ht="15.75" customHeight="1">
      <c r="A110" s="1" t="s">
        <v>243</v>
      </c>
      <c r="B110" s="2" t="s">
        <v>101</v>
      </c>
      <c r="C110" s="2" t="s">
        <v>250</v>
      </c>
      <c r="D110" s="2">
        <v>719.59</v>
      </c>
      <c r="E110" s="2">
        <v>3.0</v>
      </c>
      <c r="F110" s="2">
        <v>2158.77</v>
      </c>
      <c r="G110" s="2" t="s">
        <v>485</v>
      </c>
      <c r="H110" s="2" t="s">
        <v>486</v>
      </c>
      <c r="I110" s="2" t="s">
        <v>487</v>
      </c>
    </row>
    <row r="111" ht="15.75" customHeight="1">
      <c r="A111" s="1" t="s">
        <v>37</v>
      </c>
      <c r="B111" s="2" t="s">
        <v>50</v>
      </c>
      <c r="C111" s="2" t="s">
        <v>196</v>
      </c>
      <c r="D111" s="2">
        <v>1050.44</v>
      </c>
      <c r="E111" s="2">
        <v>5.0</v>
      </c>
      <c r="F111" s="2">
        <v>5252.2</v>
      </c>
      <c r="G111" s="2" t="s">
        <v>488</v>
      </c>
      <c r="H111" s="2" t="s">
        <v>489</v>
      </c>
      <c r="I111" s="2" t="s">
        <v>490</v>
      </c>
    </row>
    <row r="112" ht="15.75" customHeight="1">
      <c r="A112" s="1" t="s">
        <v>491</v>
      </c>
      <c r="B112" s="2" t="s">
        <v>50</v>
      </c>
      <c r="C112" s="2" t="s">
        <v>452</v>
      </c>
      <c r="D112" s="2">
        <v>166.45</v>
      </c>
      <c r="E112" s="2">
        <v>5.0</v>
      </c>
      <c r="F112" s="2">
        <v>832.25</v>
      </c>
      <c r="G112" s="2" t="s">
        <v>492</v>
      </c>
      <c r="H112" s="2" t="s">
        <v>493</v>
      </c>
      <c r="I112" s="2" t="s">
        <v>494</v>
      </c>
    </row>
    <row r="113" ht="15.75" customHeight="1">
      <c r="A113" s="1" t="s">
        <v>495</v>
      </c>
      <c r="B113" s="2" t="s">
        <v>50</v>
      </c>
      <c r="C113" s="2" t="s">
        <v>235</v>
      </c>
      <c r="D113" s="2">
        <v>2299.22</v>
      </c>
      <c r="E113" s="2">
        <v>5.0</v>
      </c>
      <c r="F113" s="2">
        <v>11496.1</v>
      </c>
      <c r="G113" s="2" t="s">
        <v>496</v>
      </c>
      <c r="H113" s="2" t="s">
        <v>497</v>
      </c>
      <c r="I113" s="2" t="s">
        <v>498</v>
      </c>
    </row>
    <row r="114" ht="15.75" customHeight="1">
      <c r="A114" s="1" t="s">
        <v>499</v>
      </c>
      <c r="B114" s="2" t="s">
        <v>27</v>
      </c>
      <c r="C114" s="2" t="s">
        <v>500</v>
      </c>
      <c r="D114" s="2">
        <v>599.4</v>
      </c>
      <c r="E114" s="2">
        <v>1.0</v>
      </c>
      <c r="F114" s="2">
        <v>599.4</v>
      </c>
      <c r="G114" s="2" t="s">
        <v>501</v>
      </c>
      <c r="H114" s="2" t="s">
        <v>502</v>
      </c>
      <c r="I114" s="2" t="s">
        <v>503</v>
      </c>
    </row>
    <row r="115" ht="15.75" customHeight="1">
      <c r="A115" s="1" t="s">
        <v>504</v>
      </c>
      <c r="B115" s="2" t="s">
        <v>50</v>
      </c>
      <c r="C115" s="2" t="s">
        <v>172</v>
      </c>
      <c r="D115" s="2">
        <v>370.25</v>
      </c>
      <c r="E115" s="2">
        <v>4.0</v>
      </c>
      <c r="F115" s="2">
        <v>1481.0</v>
      </c>
      <c r="G115" s="2" t="s">
        <v>505</v>
      </c>
      <c r="H115" s="2" t="s">
        <v>506</v>
      </c>
      <c r="I115" s="2" t="s">
        <v>507</v>
      </c>
    </row>
    <row r="116" ht="15.75" customHeight="1">
      <c r="A116" s="1" t="s">
        <v>115</v>
      </c>
      <c r="B116" s="2" t="s">
        <v>50</v>
      </c>
      <c r="C116" s="2" t="s">
        <v>508</v>
      </c>
      <c r="D116" s="2">
        <v>1747.28</v>
      </c>
      <c r="E116" s="2">
        <v>1.0</v>
      </c>
      <c r="F116" s="2">
        <v>1747.28</v>
      </c>
      <c r="G116" s="2" t="s">
        <v>509</v>
      </c>
      <c r="H116" s="2" t="s">
        <v>510</v>
      </c>
      <c r="I116" s="2" t="s">
        <v>511</v>
      </c>
    </row>
    <row r="117" ht="15.75" customHeight="1">
      <c r="A117" s="1" t="s">
        <v>512</v>
      </c>
      <c r="B117" s="2" t="s">
        <v>85</v>
      </c>
      <c r="C117" s="2" t="s">
        <v>250</v>
      </c>
      <c r="D117" s="2">
        <v>1099.54</v>
      </c>
      <c r="E117" s="2">
        <v>2.0</v>
      </c>
      <c r="F117" s="2">
        <v>2199.08</v>
      </c>
      <c r="G117" s="2" t="s">
        <v>513</v>
      </c>
      <c r="H117" s="2" t="s">
        <v>514</v>
      </c>
      <c r="I117" s="2" t="s">
        <v>515</v>
      </c>
    </row>
    <row r="118" ht="15.75" customHeight="1">
      <c r="A118" s="1" t="s">
        <v>289</v>
      </c>
      <c r="B118" s="2" t="s">
        <v>27</v>
      </c>
      <c r="C118" s="2" t="s">
        <v>397</v>
      </c>
      <c r="D118" s="2">
        <v>157.57</v>
      </c>
      <c r="E118" s="2">
        <v>2.0</v>
      </c>
      <c r="F118" s="2">
        <v>315.14</v>
      </c>
      <c r="G118" s="2" t="s">
        <v>516</v>
      </c>
      <c r="H118" s="2" t="s">
        <v>517</v>
      </c>
      <c r="I118" s="2" t="s">
        <v>518</v>
      </c>
    </row>
    <row r="119" ht="15.75" customHeight="1">
      <c r="A119" s="1" t="s">
        <v>519</v>
      </c>
      <c r="B119" s="2" t="s">
        <v>50</v>
      </c>
      <c r="C119" s="2" t="s">
        <v>508</v>
      </c>
      <c r="D119" s="2">
        <v>2200.84</v>
      </c>
      <c r="E119" s="2">
        <v>3.0</v>
      </c>
      <c r="F119" s="2">
        <v>6602.52</v>
      </c>
      <c r="G119" s="2" t="s">
        <v>520</v>
      </c>
      <c r="H119" s="2" t="s">
        <v>521</v>
      </c>
      <c r="I119" s="2" t="s">
        <v>522</v>
      </c>
    </row>
    <row r="120" ht="15.75" customHeight="1">
      <c r="A120" s="1" t="s">
        <v>285</v>
      </c>
      <c r="B120" s="2" t="s">
        <v>27</v>
      </c>
      <c r="C120" s="2" t="s">
        <v>397</v>
      </c>
      <c r="D120" s="2">
        <v>290.07</v>
      </c>
      <c r="E120" s="2">
        <v>4.0</v>
      </c>
      <c r="F120" s="2">
        <v>1160.28</v>
      </c>
      <c r="G120" s="2" t="s">
        <v>523</v>
      </c>
      <c r="H120" s="2" t="s">
        <v>524</v>
      </c>
      <c r="I120" s="2" t="s">
        <v>525</v>
      </c>
    </row>
    <row r="121" ht="15.75" customHeight="1">
      <c r="A121" s="1" t="s">
        <v>526</v>
      </c>
      <c r="B121" s="2" t="s">
        <v>101</v>
      </c>
      <c r="C121" s="2" t="s">
        <v>508</v>
      </c>
      <c r="D121" s="2">
        <v>2312.52</v>
      </c>
      <c r="E121" s="2">
        <v>1.0</v>
      </c>
      <c r="F121" s="2">
        <v>2312.52</v>
      </c>
      <c r="G121" s="2" t="s">
        <v>527</v>
      </c>
      <c r="H121" s="2" t="s">
        <v>528</v>
      </c>
      <c r="I121" s="2" t="s">
        <v>529</v>
      </c>
    </row>
    <row r="122" ht="15.75" customHeight="1">
      <c r="A122" s="1" t="s">
        <v>392</v>
      </c>
      <c r="B122" s="2" t="s">
        <v>27</v>
      </c>
      <c r="C122" s="2" t="s">
        <v>508</v>
      </c>
      <c r="D122" s="2">
        <v>1401.28</v>
      </c>
      <c r="E122" s="2">
        <v>5.0</v>
      </c>
      <c r="F122" s="2">
        <v>7006.4</v>
      </c>
      <c r="G122" s="2" t="s">
        <v>530</v>
      </c>
      <c r="H122" s="2" t="s">
        <v>531</v>
      </c>
      <c r="I122" s="2" t="s">
        <v>532</v>
      </c>
    </row>
    <row r="123" ht="15.75" customHeight="1">
      <c r="A123" s="1" t="s">
        <v>59</v>
      </c>
      <c r="B123" s="2" t="s">
        <v>16</v>
      </c>
      <c r="C123" s="2" t="s">
        <v>91</v>
      </c>
      <c r="D123" s="2">
        <v>1407.68</v>
      </c>
      <c r="E123" s="2">
        <v>3.0</v>
      </c>
      <c r="F123" s="2">
        <v>4223.04</v>
      </c>
      <c r="G123" s="2" t="s">
        <v>533</v>
      </c>
      <c r="H123" s="2" t="s">
        <v>534</v>
      </c>
      <c r="I123" s="2" t="s">
        <v>535</v>
      </c>
    </row>
    <row r="124" ht="15.75" customHeight="1">
      <c r="A124" s="1" t="s">
        <v>536</v>
      </c>
      <c r="B124" s="2" t="s">
        <v>38</v>
      </c>
      <c r="C124" s="2" t="s">
        <v>147</v>
      </c>
      <c r="D124" s="2">
        <v>2044.86</v>
      </c>
      <c r="E124" s="2">
        <v>3.0</v>
      </c>
      <c r="F124" s="2">
        <v>6134.58</v>
      </c>
      <c r="G124" s="2" t="s">
        <v>537</v>
      </c>
      <c r="H124" s="2" t="s">
        <v>538</v>
      </c>
      <c r="I124" s="2" t="s">
        <v>539</v>
      </c>
    </row>
    <row r="125" ht="15.75" customHeight="1">
      <c r="A125" s="1" t="s">
        <v>519</v>
      </c>
      <c r="B125" s="2" t="s">
        <v>16</v>
      </c>
      <c r="C125" s="2" t="s">
        <v>196</v>
      </c>
      <c r="D125" s="2">
        <v>2425.49</v>
      </c>
      <c r="E125" s="2">
        <v>5.0</v>
      </c>
      <c r="F125" s="2">
        <v>12127.45</v>
      </c>
      <c r="G125" s="2" t="s">
        <v>540</v>
      </c>
      <c r="H125" s="2" t="s">
        <v>541</v>
      </c>
      <c r="I125" s="2" t="s">
        <v>542</v>
      </c>
    </row>
    <row r="126" ht="15.75" customHeight="1">
      <c r="A126" s="1" t="s">
        <v>543</v>
      </c>
      <c r="B126" s="2" t="s">
        <v>85</v>
      </c>
      <c r="C126" s="2" t="s">
        <v>186</v>
      </c>
      <c r="D126" s="2">
        <v>1752.92</v>
      </c>
      <c r="E126" s="2">
        <v>1.0</v>
      </c>
      <c r="F126" s="2">
        <v>1752.92</v>
      </c>
      <c r="G126" s="2" t="s">
        <v>544</v>
      </c>
      <c r="H126" s="2" t="s">
        <v>545</v>
      </c>
      <c r="I126" s="2" t="s">
        <v>546</v>
      </c>
    </row>
    <row r="127" ht="15.75" customHeight="1">
      <c r="A127" s="1" t="s">
        <v>547</v>
      </c>
      <c r="B127" s="2" t="s">
        <v>50</v>
      </c>
      <c r="C127" s="2" t="s">
        <v>360</v>
      </c>
      <c r="D127" s="2">
        <v>1935.15</v>
      </c>
      <c r="E127" s="2">
        <v>3.0</v>
      </c>
      <c r="F127" s="2">
        <v>5805.45</v>
      </c>
      <c r="G127" s="2" t="s">
        <v>548</v>
      </c>
      <c r="H127" s="2" t="s">
        <v>549</v>
      </c>
      <c r="I127" s="2" t="s">
        <v>550</v>
      </c>
    </row>
    <row r="128" ht="15.75" customHeight="1">
      <c r="A128" s="1" t="s">
        <v>339</v>
      </c>
      <c r="B128" s="2" t="s">
        <v>27</v>
      </c>
      <c r="C128" s="2" t="s">
        <v>277</v>
      </c>
      <c r="D128" s="2">
        <v>1612.87</v>
      </c>
      <c r="E128" s="2">
        <v>4.0</v>
      </c>
      <c r="F128" s="2">
        <v>6451.48</v>
      </c>
      <c r="G128" s="2" t="s">
        <v>551</v>
      </c>
      <c r="H128" s="2" t="s">
        <v>552</v>
      </c>
      <c r="I128" s="2" t="s">
        <v>553</v>
      </c>
    </row>
    <row r="129" ht="15.75" customHeight="1">
      <c r="A129" s="1" t="s">
        <v>554</v>
      </c>
      <c r="B129" s="2" t="s">
        <v>27</v>
      </c>
      <c r="C129" s="2" t="s">
        <v>147</v>
      </c>
      <c r="D129" s="2">
        <v>1105.02</v>
      </c>
      <c r="E129" s="2">
        <v>5.0</v>
      </c>
      <c r="F129" s="2">
        <v>5525.1</v>
      </c>
      <c r="G129" s="2" t="s">
        <v>555</v>
      </c>
      <c r="H129" s="2" t="s">
        <v>556</v>
      </c>
      <c r="I129" s="2" t="s">
        <v>557</v>
      </c>
    </row>
    <row r="130" ht="15.75" customHeight="1">
      <c r="A130" s="1" t="s">
        <v>558</v>
      </c>
      <c r="B130" s="2" t="s">
        <v>38</v>
      </c>
      <c r="C130" s="2" t="s">
        <v>96</v>
      </c>
      <c r="D130" s="2">
        <v>594.52</v>
      </c>
      <c r="E130" s="2">
        <v>2.0</v>
      </c>
      <c r="F130" s="2">
        <v>1189.04</v>
      </c>
      <c r="G130" s="2" t="s">
        <v>559</v>
      </c>
      <c r="H130" s="2" t="s">
        <v>560</v>
      </c>
      <c r="I130" s="2" t="s">
        <v>561</v>
      </c>
    </row>
    <row r="131" ht="15.75" customHeight="1">
      <c r="A131" s="1" t="s">
        <v>562</v>
      </c>
      <c r="B131" s="2" t="s">
        <v>50</v>
      </c>
      <c r="C131" s="2" t="s">
        <v>176</v>
      </c>
      <c r="D131" s="2">
        <v>1077.13</v>
      </c>
      <c r="E131" s="2">
        <v>5.0</v>
      </c>
      <c r="F131" s="2">
        <v>5385.65</v>
      </c>
      <c r="G131" s="2" t="s">
        <v>563</v>
      </c>
      <c r="H131" s="2" t="s">
        <v>564</v>
      </c>
      <c r="I131" s="2" t="s">
        <v>565</v>
      </c>
    </row>
    <row r="132" ht="15.75" customHeight="1">
      <c r="A132" s="1" t="s">
        <v>195</v>
      </c>
      <c r="B132" s="2" t="s">
        <v>85</v>
      </c>
      <c r="C132" s="2" t="s">
        <v>348</v>
      </c>
      <c r="D132" s="2">
        <v>1598.45</v>
      </c>
      <c r="E132" s="2">
        <v>3.0</v>
      </c>
      <c r="F132" s="2">
        <v>4795.35</v>
      </c>
      <c r="G132" s="2" t="s">
        <v>566</v>
      </c>
      <c r="H132" s="2" t="s">
        <v>567</v>
      </c>
      <c r="I132" s="2" t="s">
        <v>568</v>
      </c>
    </row>
    <row r="133" ht="15.75" customHeight="1">
      <c r="A133" s="1" t="s">
        <v>491</v>
      </c>
      <c r="B133" s="2" t="s">
        <v>27</v>
      </c>
      <c r="C133" s="2" t="s">
        <v>186</v>
      </c>
      <c r="D133" s="2">
        <v>1744.95</v>
      </c>
      <c r="E133" s="2">
        <v>2.0</v>
      </c>
      <c r="F133" s="2">
        <v>3489.9</v>
      </c>
      <c r="G133" s="2" t="s">
        <v>569</v>
      </c>
      <c r="H133" s="2" t="s">
        <v>570</v>
      </c>
      <c r="I133" s="2" t="s">
        <v>571</v>
      </c>
    </row>
    <row r="134" ht="15.75" customHeight="1">
      <c r="A134" s="1" t="s">
        <v>171</v>
      </c>
      <c r="B134" s="2" t="s">
        <v>50</v>
      </c>
      <c r="C134" s="2" t="s">
        <v>162</v>
      </c>
      <c r="D134" s="2">
        <v>2212.26</v>
      </c>
      <c r="E134" s="2">
        <v>5.0</v>
      </c>
      <c r="F134" s="2">
        <v>11061.3</v>
      </c>
      <c r="G134" s="2" t="s">
        <v>572</v>
      </c>
      <c r="H134" s="2" t="s">
        <v>573</v>
      </c>
      <c r="I134" s="2" t="s">
        <v>574</v>
      </c>
    </row>
    <row r="135" ht="15.75" customHeight="1">
      <c r="A135" s="1" t="s">
        <v>575</v>
      </c>
      <c r="B135" s="2" t="s">
        <v>16</v>
      </c>
      <c r="C135" s="2" t="s">
        <v>96</v>
      </c>
      <c r="D135" s="2">
        <v>443.81</v>
      </c>
      <c r="E135" s="2">
        <v>1.0</v>
      </c>
      <c r="F135" s="2">
        <v>443.81</v>
      </c>
      <c r="G135" s="2" t="s">
        <v>576</v>
      </c>
      <c r="H135" s="2" t="s">
        <v>577</v>
      </c>
      <c r="I135" s="3" t="s">
        <v>578</v>
      </c>
    </row>
    <row r="136" ht="15.75" customHeight="1">
      <c r="A136" s="1" t="s">
        <v>579</v>
      </c>
      <c r="B136" s="2" t="s">
        <v>50</v>
      </c>
      <c r="C136" s="2" t="s">
        <v>385</v>
      </c>
      <c r="D136" s="2">
        <v>416.62</v>
      </c>
      <c r="E136" s="2">
        <v>5.0</v>
      </c>
      <c r="F136" s="2">
        <v>2083.1</v>
      </c>
      <c r="G136" s="2" t="s">
        <v>580</v>
      </c>
      <c r="H136" s="2" t="s">
        <v>581</v>
      </c>
      <c r="I136" s="2" t="s">
        <v>582</v>
      </c>
    </row>
    <row r="137" ht="15.75" customHeight="1">
      <c r="A137" s="1" t="s">
        <v>583</v>
      </c>
      <c r="B137" s="2" t="s">
        <v>50</v>
      </c>
      <c r="C137" s="2" t="s">
        <v>369</v>
      </c>
      <c r="D137" s="2">
        <v>271.11</v>
      </c>
      <c r="E137" s="2">
        <v>2.0</v>
      </c>
      <c r="F137" s="2">
        <v>542.22</v>
      </c>
      <c r="G137" s="2" t="s">
        <v>584</v>
      </c>
      <c r="H137" s="2" t="s">
        <v>585</v>
      </c>
      <c r="I137" s="2" t="s">
        <v>586</v>
      </c>
    </row>
    <row r="138" ht="15.75" customHeight="1">
      <c r="A138" s="1" t="s">
        <v>59</v>
      </c>
      <c r="B138" s="2" t="s">
        <v>85</v>
      </c>
      <c r="C138" s="2" t="s">
        <v>201</v>
      </c>
      <c r="D138" s="2">
        <v>797.54</v>
      </c>
      <c r="E138" s="2">
        <v>4.0</v>
      </c>
      <c r="F138" s="2">
        <v>3190.16</v>
      </c>
      <c r="G138" s="2" t="s">
        <v>587</v>
      </c>
      <c r="H138" s="2" t="s">
        <v>164</v>
      </c>
      <c r="I138" s="2" t="s">
        <v>588</v>
      </c>
    </row>
    <row r="139" ht="15.75" customHeight="1">
      <c r="A139" s="1" t="s">
        <v>589</v>
      </c>
      <c r="B139" s="2" t="s">
        <v>38</v>
      </c>
      <c r="C139" s="2" t="s">
        <v>121</v>
      </c>
      <c r="D139" s="2">
        <v>157.83</v>
      </c>
      <c r="E139" s="2">
        <v>5.0</v>
      </c>
      <c r="F139" s="2">
        <v>789.15</v>
      </c>
      <c r="G139" s="2" t="s">
        <v>590</v>
      </c>
      <c r="H139" s="2" t="s">
        <v>591</v>
      </c>
      <c r="I139" s="3" t="s">
        <v>592</v>
      </c>
    </row>
    <row r="140" ht="15.75" customHeight="1">
      <c r="A140" s="1" t="s">
        <v>272</v>
      </c>
      <c r="B140" s="2" t="s">
        <v>27</v>
      </c>
      <c r="C140" s="2" t="s">
        <v>593</v>
      </c>
      <c r="D140" s="2">
        <v>1096.28</v>
      </c>
      <c r="E140" s="2">
        <v>3.0</v>
      </c>
      <c r="F140" s="2">
        <v>3288.84</v>
      </c>
      <c r="G140" s="2" t="s">
        <v>594</v>
      </c>
      <c r="H140" s="2" t="s">
        <v>595</v>
      </c>
      <c r="I140" s="2" t="s">
        <v>596</v>
      </c>
    </row>
    <row r="141" ht="15.75" customHeight="1">
      <c r="A141" s="1" t="s">
        <v>597</v>
      </c>
      <c r="B141" s="2" t="s">
        <v>50</v>
      </c>
      <c r="C141" s="2" t="s">
        <v>176</v>
      </c>
      <c r="D141" s="2">
        <v>1086.48</v>
      </c>
      <c r="E141" s="2">
        <v>1.0</v>
      </c>
      <c r="F141" s="2">
        <v>1086.48</v>
      </c>
      <c r="G141" s="2" t="s">
        <v>598</v>
      </c>
      <c r="H141" s="2" t="s">
        <v>599</v>
      </c>
      <c r="I141" s="2" t="s">
        <v>600</v>
      </c>
    </row>
    <row r="142" ht="15.75" customHeight="1">
      <c r="A142" s="1" t="s">
        <v>519</v>
      </c>
      <c r="B142" s="2" t="s">
        <v>101</v>
      </c>
      <c r="C142" s="2" t="s">
        <v>245</v>
      </c>
      <c r="D142" s="2">
        <v>2361.22</v>
      </c>
      <c r="E142" s="2">
        <v>2.0</v>
      </c>
      <c r="F142" s="2">
        <v>4722.44</v>
      </c>
      <c r="G142" s="2" t="s">
        <v>601</v>
      </c>
      <c r="H142" s="2" t="s">
        <v>602</v>
      </c>
      <c r="I142" s="2" t="s">
        <v>603</v>
      </c>
    </row>
    <row r="143" ht="15.75" customHeight="1">
      <c r="A143" s="1" t="s">
        <v>210</v>
      </c>
      <c r="B143" s="2" t="s">
        <v>50</v>
      </c>
      <c r="C143" s="2" t="s">
        <v>172</v>
      </c>
      <c r="D143" s="2">
        <v>2378.7</v>
      </c>
      <c r="E143" s="2">
        <v>1.0</v>
      </c>
      <c r="F143" s="2">
        <v>2378.7</v>
      </c>
      <c r="G143" s="2" t="s">
        <v>604</v>
      </c>
      <c r="H143" s="2" t="s">
        <v>605</v>
      </c>
      <c r="I143" s="2" t="s">
        <v>606</v>
      </c>
    </row>
    <row r="144" ht="15.75" customHeight="1">
      <c r="A144" s="1" t="s">
        <v>607</v>
      </c>
      <c r="B144" s="2" t="s">
        <v>38</v>
      </c>
      <c r="C144" s="2" t="s">
        <v>111</v>
      </c>
      <c r="D144" s="2">
        <v>2186.25</v>
      </c>
      <c r="E144" s="2">
        <v>5.0</v>
      </c>
      <c r="F144" s="2">
        <v>10931.25</v>
      </c>
      <c r="G144" s="2" t="s">
        <v>608</v>
      </c>
      <c r="H144" s="2" t="s">
        <v>609</v>
      </c>
      <c r="I144" s="2" t="s">
        <v>610</v>
      </c>
    </row>
    <row r="145" ht="15.75" customHeight="1">
      <c r="A145" s="1" t="s">
        <v>611</v>
      </c>
      <c r="B145" s="2" t="s">
        <v>50</v>
      </c>
      <c r="C145" s="2" t="s">
        <v>111</v>
      </c>
      <c r="D145" s="2">
        <v>156.04</v>
      </c>
      <c r="E145" s="2">
        <v>3.0</v>
      </c>
      <c r="F145" s="2">
        <v>468.12</v>
      </c>
      <c r="G145" s="2" t="s">
        <v>612</v>
      </c>
      <c r="H145" s="2" t="s">
        <v>613</v>
      </c>
      <c r="I145" s="2" t="s">
        <v>614</v>
      </c>
    </row>
    <row r="146" ht="15.75" customHeight="1">
      <c r="A146" s="1" t="s">
        <v>281</v>
      </c>
      <c r="B146" s="2" t="s">
        <v>16</v>
      </c>
      <c r="C146" s="2" t="s">
        <v>348</v>
      </c>
      <c r="D146" s="2">
        <v>1847.8</v>
      </c>
      <c r="E146" s="2">
        <v>3.0</v>
      </c>
      <c r="F146" s="2">
        <v>5543.4</v>
      </c>
      <c r="G146" s="2" t="s">
        <v>615</v>
      </c>
      <c r="H146" s="2" t="s">
        <v>616</v>
      </c>
      <c r="I146" s="2" t="s">
        <v>617</v>
      </c>
    </row>
    <row r="147" ht="15.75" customHeight="1">
      <c r="A147" s="1" t="s">
        <v>618</v>
      </c>
      <c r="B147" s="2" t="s">
        <v>85</v>
      </c>
      <c r="C147" s="2" t="s">
        <v>39</v>
      </c>
      <c r="D147" s="2">
        <v>1912.53</v>
      </c>
      <c r="E147" s="2">
        <v>1.0</v>
      </c>
      <c r="F147" s="2">
        <v>1912.53</v>
      </c>
      <c r="G147" s="2" t="s">
        <v>619</v>
      </c>
      <c r="H147" s="2" t="s">
        <v>620</v>
      </c>
      <c r="I147" s="2" t="s">
        <v>621</v>
      </c>
    </row>
    <row r="148" ht="15.75" customHeight="1">
      <c r="A148" s="1" t="s">
        <v>622</v>
      </c>
      <c r="B148" s="2" t="s">
        <v>16</v>
      </c>
      <c r="C148" s="2" t="s">
        <v>623</v>
      </c>
      <c r="D148" s="2">
        <v>919.0</v>
      </c>
      <c r="E148" s="2">
        <v>5.0</v>
      </c>
      <c r="F148" s="2">
        <v>4595.0</v>
      </c>
      <c r="G148" s="2" t="s">
        <v>624</v>
      </c>
      <c r="H148" s="2" t="s">
        <v>625</v>
      </c>
      <c r="I148" s="2" t="s">
        <v>626</v>
      </c>
    </row>
    <row r="149" ht="15.75" customHeight="1">
      <c r="A149" s="1" t="s">
        <v>627</v>
      </c>
      <c r="B149" s="2" t="s">
        <v>27</v>
      </c>
      <c r="C149" s="2" t="s">
        <v>65</v>
      </c>
      <c r="D149" s="2">
        <v>2208.12</v>
      </c>
      <c r="E149" s="2">
        <v>2.0</v>
      </c>
      <c r="F149" s="2">
        <v>4416.24</v>
      </c>
      <c r="G149" s="2" t="s">
        <v>628</v>
      </c>
      <c r="H149" s="2" t="s">
        <v>629</v>
      </c>
      <c r="I149" s="2" t="s">
        <v>630</v>
      </c>
    </row>
    <row r="150" ht="15.75" customHeight="1">
      <c r="A150" s="1" t="s">
        <v>631</v>
      </c>
      <c r="B150" s="2" t="s">
        <v>38</v>
      </c>
      <c r="C150" s="2" t="s">
        <v>385</v>
      </c>
      <c r="D150" s="2">
        <v>902.5</v>
      </c>
      <c r="E150" s="2">
        <v>3.0</v>
      </c>
      <c r="F150" s="2">
        <v>2707.5</v>
      </c>
      <c r="G150" s="2" t="s">
        <v>632</v>
      </c>
      <c r="H150" s="2" t="s">
        <v>633</v>
      </c>
      <c r="I150" s="2" t="s">
        <v>634</v>
      </c>
    </row>
    <row r="151" ht="15.75" customHeight="1">
      <c r="A151" s="1" t="s">
        <v>413</v>
      </c>
      <c r="B151" s="2" t="s">
        <v>38</v>
      </c>
      <c r="C151" s="2" t="s">
        <v>191</v>
      </c>
      <c r="D151" s="2">
        <v>1585.53</v>
      </c>
      <c r="E151" s="2">
        <v>3.0</v>
      </c>
      <c r="F151" s="2">
        <v>4756.59</v>
      </c>
      <c r="G151" s="2" t="s">
        <v>635</v>
      </c>
      <c r="H151" s="2" t="s">
        <v>636</v>
      </c>
      <c r="I151" s="2" t="s">
        <v>637</v>
      </c>
    </row>
    <row r="152" ht="15.75" customHeight="1">
      <c r="A152" s="1" t="s">
        <v>218</v>
      </c>
      <c r="B152" s="2" t="s">
        <v>60</v>
      </c>
      <c r="C152" s="2" t="s">
        <v>116</v>
      </c>
      <c r="D152" s="2">
        <v>90.89</v>
      </c>
      <c r="E152" s="2">
        <v>1.0</v>
      </c>
      <c r="F152" s="2">
        <v>90.89</v>
      </c>
      <c r="G152" s="2" t="s">
        <v>638</v>
      </c>
      <c r="H152" s="2" t="s">
        <v>639</v>
      </c>
      <c r="I152" s="2" t="s">
        <v>640</v>
      </c>
    </row>
    <row r="153" ht="15.75" customHeight="1">
      <c r="A153" s="1" t="s">
        <v>641</v>
      </c>
      <c r="B153" s="2" t="s">
        <v>38</v>
      </c>
      <c r="C153" s="2" t="s">
        <v>642</v>
      </c>
      <c r="D153" s="2">
        <v>88.54</v>
      </c>
      <c r="E153" s="2">
        <v>5.0</v>
      </c>
      <c r="F153" s="2">
        <v>442.7</v>
      </c>
      <c r="G153" s="2" t="s">
        <v>643</v>
      </c>
      <c r="H153" s="2" t="s">
        <v>644</v>
      </c>
      <c r="I153" s="2" t="s">
        <v>645</v>
      </c>
    </row>
    <row r="154" ht="15.75" customHeight="1">
      <c r="A154" s="1" t="s">
        <v>21</v>
      </c>
      <c r="B154" s="2" t="s">
        <v>38</v>
      </c>
      <c r="C154" s="2" t="s">
        <v>500</v>
      </c>
      <c r="D154" s="2">
        <v>230.59</v>
      </c>
      <c r="E154" s="2">
        <v>1.0</v>
      </c>
      <c r="F154" s="2">
        <v>230.59</v>
      </c>
      <c r="G154" s="2" t="s">
        <v>646</v>
      </c>
      <c r="H154" s="2" t="s">
        <v>647</v>
      </c>
      <c r="I154" s="2" t="s">
        <v>648</v>
      </c>
    </row>
    <row r="155" ht="15.75" customHeight="1">
      <c r="A155" s="1" t="s">
        <v>649</v>
      </c>
      <c r="B155" s="2" t="s">
        <v>85</v>
      </c>
      <c r="C155" s="2" t="s">
        <v>452</v>
      </c>
      <c r="D155" s="2">
        <v>2356.5</v>
      </c>
      <c r="E155" s="2">
        <v>5.0</v>
      </c>
      <c r="F155" s="2">
        <v>11782.5</v>
      </c>
      <c r="G155" s="2" t="s">
        <v>650</v>
      </c>
      <c r="H155" s="2" t="s">
        <v>651</v>
      </c>
      <c r="I155" s="2" t="s">
        <v>652</v>
      </c>
    </row>
    <row r="156" ht="15.75" customHeight="1">
      <c r="A156" s="1" t="s">
        <v>653</v>
      </c>
      <c r="B156" s="2" t="s">
        <v>101</v>
      </c>
      <c r="C156" s="2" t="s">
        <v>55</v>
      </c>
      <c r="D156" s="2">
        <v>2030.62</v>
      </c>
      <c r="E156" s="2">
        <v>2.0</v>
      </c>
      <c r="F156" s="2">
        <v>4061.24</v>
      </c>
      <c r="G156" s="2" t="s">
        <v>654</v>
      </c>
      <c r="H156" s="2" t="s">
        <v>655</v>
      </c>
      <c r="I156" s="2" t="s">
        <v>656</v>
      </c>
    </row>
    <row r="157" ht="15.75" customHeight="1">
      <c r="A157" s="1" t="s">
        <v>657</v>
      </c>
      <c r="B157" s="2" t="s">
        <v>16</v>
      </c>
      <c r="C157" s="2" t="s">
        <v>22</v>
      </c>
      <c r="D157" s="2">
        <v>539.2</v>
      </c>
      <c r="E157" s="2">
        <v>1.0</v>
      </c>
      <c r="F157" s="2">
        <v>539.2</v>
      </c>
      <c r="G157" s="2" t="s">
        <v>658</v>
      </c>
      <c r="H157" s="2" t="s">
        <v>659</v>
      </c>
      <c r="I157" s="2" t="s">
        <v>660</v>
      </c>
    </row>
    <row r="158" ht="15.75" customHeight="1">
      <c r="A158" s="1" t="s">
        <v>661</v>
      </c>
      <c r="B158" s="2" t="s">
        <v>16</v>
      </c>
      <c r="C158" s="2" t="s">
        <v>311</v>
      </c>
      <c r="D158" s="2">
        <v>1945.67</v>
      </c>
      <c r="E158" s="2">
        <v>4.0</v>
      </c>
      <c r="F158" s="2">
        <v>7782.68</v>
      </c>
      <c r="G158" s="2" t="s">
        <v>662</v>
      </c>
      <c r="H158" s="2" t="s">
        <v>663</v>
      </c>
      <c r="I158" s="2" t="s">
        <v>664</v>
      </c>
    </row>
    <row r="159" ht="15.75" customHeight="1">
      <c r="A159" s="1" t="s">
        <v>665</v>
      </c>
      <c r="B159" s="2" t="s">
        <v>27</v>
      </c>
      <c r="C159" s="2" t="s">
        <v>172</v>
      </c>
      <c r="D159" s="2">
        <v>1656.59</v>
      </c>
      <c r="E159" s="2">
        <v>1.0</v>
      </c>
      <c r="F159" s="2">
        <v>1656.59</v>
      </c>
      <c r="G159" s="2" t="s">
        <v>666</v>
      </c>
      <c r="H159" s="2" t="s">
        <v>667</v>
      </c>
      <c r="I159" s="2" t="s">
        <v>668</v>
      </c>
    </row>
    <row r="160" ht="15.75" customHeight="1">
      <c r="A160" s="1" t="s">
        <v>649</v>
      </c>
      <c r="B160" s="2" t="s">
        <v>101</v>
      </c>
      <c r="C160" s="2" t="s">
        <v>28</v>
      </c>
      <c r="D160" s="2">
        <v>56.71</v>
      </c>
      <c r="E160" s="2">
        <v>1.0</v>
      </c>
      <c r="F160" s="2">
        <v>56.71</v>
      </c>
      <c r="G160" s="2" t="s">
        <v>669</v>
      </c>
      <c r="H160" s="2" t="s">
        <v>670</v>
      </c>
      <c r="I160" s="2" t="s">
        <v>671</v>
      </c>
    </row>
    <row r="161" ht="15.75" customHeight="1">
      <c r="A161" s="1" t="s">
        <v>672</v>
      </c>
      <c r="B161" s="2" t="s">
        <v>101</v>
      </c>
      <c r="C161" s="2" t="s">
        <v>55</v>
      </c>
      <c r="D161" s="2">
        <v>841.77</v>
      </c>
      <c r="E161" s="2">
        <v>1.0</v>
      </c>
      <c r="F161" s="2">
        <v>841.77</v>
      </c>
      <c r="G161" s="2" t="s">
        <v>673</v>
      </c>
      <c r="H161" s="2" t="s">
        <v>674</v>
      </c>
      <c r="I161" s="2" t="s">
        <v>675</v>
      </c>
    </row>
    <row r="162" ht="15.75" customHeight="1">
      <c r="A162" s="1" t="s">
        <v>120</v>
      </c>
      <c r="B162" s="2" t="s">
        <v>16</v>
      </c>
      <c r="C162" s="2" t="s">
        <v>360</v>
      </c>
      <c r="D162" s="2">
        <v>853.52</v>
      </c>
      <c r="E162" s="2">
        <v>5.0</v>
      </c>
      <c r="F162" s="2">
        <v>4267.6</v>
      </c>
      <c r="G162" s="2" t="s">
        <v>676</v>
      </c>
      <c r="H162" s="2" t="s">
        <v>677</v>
      </c>
      <c r="I162" s="2" t="s">
        <v>678</v>
      </c>
    </row>
    <row r="163" ht="15.75" customHeight="1">
      <c r="A163" s="1" t="s">
        <v>679</v>
      </c>
      <c r="B163" s="2" t="s">
        <v>85</v>
      </c>
      <c r="C163" s="2" t="s">
        <v>11</v>
      </c>
      <c r="D163" s="2">
        <v>851.86</v>
      </c>
      <c r="E163" s="2">
        <v>1.0</v>
      </c>
      <c r="F163" s="2">
        <v>851.86</v>
      </c>
      <c r="G163" s="2" t="s">
        <v>680</v>
      </c>
      <c r="H163" s="2" t="s">
        <v>681</v>
      </c>
      <c r="I163" s="2" t="s">
        <v>682</v>
      </c>
    </row>
    <row r="164" ht="15.75" customHeight="1">
      <c r="A164" s="1" t="s">
        <v>683</v>
      </c>
      <c r="B164" s="2" t="s">
        <v>101</v>
      </c>
      <c r="C164" s="2" t="s">
        <v>250</v>
      </c>
      <c r="D164" s="2">
        <v>1047.88</v>
      </c>
      <c r="E164" s="2">
        <v>3.0</v>
      </c>
      <c r="F164" s="2">
        <v>3143.64</v>
      </c>
      <c r="G164" s="2" t="s">
        <v>684</v>
      </c>
      <c r="H164" s="2" t="s">
        <v>685</v>
      </c>
      <c r="I164" s="2" t="s">
        <v>686</v>
      </c>
    </row>
    <row r="165" ht="15.75" customHeight="1">
      <c r="A165" s="1" t="s">
        <v>687</v>
      </c>
      <c r="B165" s="2" t="s">
        <v>27</v>
      </c>
      <c r="C165" s="2" t="s">
        <v>186</v>
      </c>
      <c r="D165" s="2">
        <v>700.01</v>
      </c>
      <c r="E165" s="2">
        <v>3.0</v>
      </c>
      <c r="F165" s="2">
        <v>2100.03</v>
      </c>
      <c r="G165" s="2" t="s">
        <v>688</v>
      </c>
      <c r="H165" s="2" t="s">
        <v>689</v>
      </c>
      <c r="I165" s="2" t="s">
        <v>690</v>
      </c>
    </row>
    <row r="166" ht="15.75" customHeight="1">
      <c r="A166" s="1" t="s">
        <v>15</v>
      </c>
      <c r="B166" s="2" t="s">
        <v>50</v>
      </c>
      <c r="C166" s="2" t="s">
        <v>75</v>
      </c>
      <c r="D166" s="2">
        <v>1909.2</v>
      </c>
      <c r="E166" s="2">
        <v>3.0</v>
      </c>
      <c r="F166" s="2">
        <v>5727.6</v>
      </c>
      <c r="G166" s="2" t="s">
        <v>691</v>
      </c>
      <c r="H166" s="2" t="s">
        <v>692</v>
      </c>
      <c r="I166" s="2" t="s">
        <v>693</v>
      </c>
    </row>
    <row r="167" ht="15.75" customHeight="1">
      <c r="A167" s="1" t="s">
        <v>694</v>
      </c>
      <c r="B167" s="2" t="s">
        <v>161</v>
      </c>
      <c r="C167" s="2" t="s">
        <v>22</v>
      </c>
      <c r="D167" s="2">
        <v>981.62</v>
      </c>
      <c r="E167" s="2">
        <v>5.0</v>
      </c>
      <c r="F167" s="2">
        <v>4908.1</v>
      </c>
      <c r="G167" s="2" t="s">
        <v>695</v>
      </c>
      <c r="H167" s="2" t="s">
        <v>696</v>
      </c>
      <c r="I167" s="2" t="s">
        <v>697</v>
      </c>
    </row>
    <row r="168" ht="15.75" customHeight="1">
      <c r="A168" s="1" t="s">
        <v>543</v>
      </c>
      <c r="B168" s="2" t="s">
        <v>85</v>
      </c>
      <c r="C168" s="2" t="s">
        <v>698</v>
      </c>
      <c r="D168" s="2">
        <v>210.76</v>
      </c>
      <c r="E168" s="2">
        <v>5.0</v>
      </c>
      <c r="F168" s="2">
        <v>1053.8</v>
      </c>
      <c r="G168" s="2" t="s">
        <v>699</v>
      </c>
      <c r="H168" s="2" t="s">
        <v>700</v>
      </c>
      <c r="I168" s="2" t="s">
        <v>701</v>
      </c>
    </row>
    <row r="169" ht="15.75" customHeight="1">
      <c r="A169" s="1" t="s">
        <v>702</v>
      </c>
      <c r="B169" s="2" t="s">
        <v>38</v>
      </c>
      <c r="C169" s="2" t="s">
        <v>11</v>
      </c>
      <c r="D169" s="2">
        <v>713.75</v>
      </c>
      <c r="E169" s="2">
        <v>3.0</v>
      </c>
      <c r="F169" s="2">
        <v>2141.25</v>
      </c>
      <c r="G169" s="2" t="s">
        <v>703</v>
      </c>
      <c r="H169" s="2" t="s">
        <v>704</v>
      </c>
      <c r="I169" s="2" t="s">
        <v>705</v>
      </c>
    </row>
    <row r="170" ht="15.75" customHeight="1">
      <c r="A170" s="1" t="s">
        <v>90</v>
      </c>
      <c r="B170" s="2" t="s">
        <v>101</v>
      </c>
      <c r="C170" s="2" t="s">
        <v>226</v>
      </c>
      <c r="D170" s="2">
        <v>1005.46</v>
      </c>
      <c r="E170" s="2">
        <v>5.0</v>
      </c>
      <c r="F170" s="2">
        <v>5027.3</v>
      </c>
      <c r="G170" s="2" t="s">
        <v>706</v>
      </c>
      <c r="H170" s="2" t="s">
        <v>707</v>
      </c>
      <c r="I170" s="2" t="s">
        <v>708</v>
      </c>
    </row>
    <row r="171" ht="15.75" customHeight="1">
      <c r="A171" s="1" t="s">
        <v>709</v>
      </c>
      <c r="B171" s="2" t="s">
        <v>27</v>
      </c>
      <c r="C171" s="2" t="s">
        <v>698</v>
      </c>
      <c r="D171" s="2">
        <v>208.54</v>
      </c>
      <c r="E171" s="2">
        <v>2.0</v>
      </c>
      <c r="F171" s="2">
        <v>417.08</v>
      </c>
      <c r="G171" s="2" t="s">
        <v>710</v>
      </c>
      <c r="H171" s="2" t="s">
        <v>711</v>
      </c>
      <c r="I171" s="2" t="s">
        <v>712</v>
      </c>
    </row>
    <row r="172" ht="15.75" customHeight="1">
      <c r="A172" s="1" t="s">
        <v>713</v>
      </c>
      <c r="B172" s="2" t="s">
        <v>38</v>
      </c>
      <c r="C172" s="2" t="s">
        <v>369</v>
      </c>
      <c r="D172" s="2">
        <v>1902.94</v>
      </c>
      <c r="E172" s="2">
        <v>4.0</v>
      </c>
      <c r="F172" s="2">
        <v>7611.76</v>
      </c>
      <c r="G172" s="2" t="s">
        <v>714</v>
      </c>
      <c r="H172" s="2" t="s">
        <v>715</v>
      </c>
      <c r="I172" s="2" t="s">
        <v>716</v>
      </c>
    </row>
    <row r="173" ht="15.75" customHeight="1">
      <c r="A173" s="1" t="s">
        <v>512</v>
      </c>
      <c r="B173" s="2" t="s">
        <v>38</v>
      </c>
      <c r="C173" s="2" t="s">
        <v>500</v>
      </c>
      <c r="D173" s="2">
        <v>2317.48</v>
      </c>
      <c r="E173" s="2">
        <v>1.0</v>
      </c>
      <c r="F173" s="2">
        <v>2317.48</v>
      </c>
      <c r="G173" s="2" t="s">
        <v>717</v>
      </c>
      <c r="H173" s="2" t="s">
        <v>718</v>
      </c>
      <c r="I173" s="2" t="s">
        <v>719</v>
      </c>
    </row>
    <row r="174" ht="15.75" customHeight="1">
      <c r="A174" s="1" t="s">
        <v>720</v>
      </c>
      <c r="B174" s="2" t="s">
        <v>16</v>
      </c>
      <c r="C174" s="2" t="s">
        <v>75</v>
      </c>
      <c r="D174" s="2">
        <v>1522.98</v>
      </c>
      <c r="E174" s="2">
        <v>1.0</v>
      </c>
      <c r="F174" s="2">
        <v>1522.98</v>
      </c>
      <c r="G174" s="2" t="s">
        <v>721</v>
      </c>
      <c r="H174" s="2" t="s">
        <v>722</v>
      </c>
      <c r="I174" s="2" t="s">
        <v>723</v>
      </c>
    </row>
    <row r="175" ht="15.75" customHeight="1">
      <c r="A175" s="1" t="s">
        <v>319</v>
      </c>
      <c r="B175" s="2" t="s">
        <v>85</v>
      </c>
      <c r="C175" s="2" t="s">
        <v>500</v>
      </c>
      <c r="D175" s="2">
        <v>807.96</v>
      </c>
      <c r="E175" s="2">
        <v>2.0</v>
      </c>
      <c r="F175" s="2">
        <v>1615.92</v>
      </c>
      <c r="G175" s="2" t="s">
        <v>724</v>
      </c>
      <c r="H175" s="2" t="s">
        <v>725</v>
      </c>
      <c r="I175" s="2" t="s">
        <v>726</v>
      </c>
    </row>
    <row r="176" ht="15.75" customHeight="1">
      <c r="A176" s="1" t="s">
        <v>727</v>
      </c>
      <c r="B176" s="2" t="s">
        <v>38</v>
      </c>
      <c r="C176" s="2" t="s">
        <v>385</v>
      </c>
      <c r="D176" s="2">
        <v>761.94</v>
      </c>
      <c r="E176" s="2">
        <v>4.0</v>
      </c>
      <c r="F176" s="2">
        <v>3047.76</v>
      </c>
      <c r="G176" s="2" t="s">
        <v>728</v>
      </c>
      <c r="H176" s="2" t="s">
        <v>729</v>
      </c>
      <c r="I176" s="2" t="s">
        <v>730</v>
      </c>
    </row>
    <row r="177" ht="15.75" customHeight="1">
      <c r="A177" s="1" t="s">
        <v>731</v>
      </c>
      <c r="B177" s="2" t="s">
        <v>101</v>
      </c>
      <c r="C177" s="2" t="s">
        <v>176</v>
      </c>
      <c r="D177" s="2">
        <v>1898.32</v>
      </c>
      <c r="E177" s="2">
        <v>4.0</v>
      </c>
      <c r="F177" s="2">
        <v>7593.28</v>
      </c>
      <c r="G177" s="2" t="s">
        <v>732</v>
      </c>
      <c r="H177" s="2" t="s">
        <v>733</v>
      </c>
      <c r="I177" s="2" t="s">
        <v>734</v>
      </c>
    </row>
    <row r="178" ht="15.75" customHeight="1">
      <c r="A178" s="1" t="s">
        <v>543</v>
      </c>
      <c r="B178" s="2" t="s">
        <v>27</v>
      </c>
      <c r="C178" s="2" t="s">
        <v>385</v>
      </c>
      <c r="D178" s="2">
        <v>1145.32</v>
      </c>
      <c r="E178" s="2">
        <v>1.0</v>
      </c>
      <c r="F178" s="2">
        <v>1145.32</v>
      </c>
      <c r="G178" s="2" t="s">
        <v>735</v>
      </c>
      <c r="H178" s="2" t="s">
        <v>736</v>
      </c>
      <c r="I178" s="2" t="s">
        <v>737</v>
      </c>
    </row>
    <row r="179" ht="15.75" customHeight="1">
      <c r="A179" s="1" t="s">
        <v>491</v>
      </c>
      <c r="B179" s="2" t="s">
        <v>85</v>
      </c>
      <c r="C179" s="2" t="s">
        <v>181</v>
      </c>
      <c r="D179" s="2">
        <v>1865.55</v>
      </c>
      <c r="E179" s="2">
        <v>2.0</v>
      </c>
      <c r="F179" s="2">
        <v>3731.1</v>
      </c>
      <c r="G179" s="2" t="s">
        <v>738</v>
      </c>
      <c r="H179" s="2" t="s">
        <v>739</v>
      </c>
      <c r="I179" s="2" t="s">
        <v>740</v>
      </c>
    </row>
    <row r="180" ht="15.75" customHeight="1">
      <c r="A180" s="1" t="s">
        <v>741</v>
      </c>
      <c r="B180" s="2" t="s">
        <v>27</v>
      </c>
      <c r="C180" s="2" t="s">
        <v>33</v>
      </c>
      <c r="D180" s="2">
        <v>949.27</v>
      </c>
      <c r="E180" s="2">
        <v>2.0</v>
      </c>
      <c r="F180" s="2">
        <v>1898.54</v>
      </c>
      <c r="G180" s="2" t="s">
        <v>742</v>
      </c>
      <c r="H180" s="2" t="s">
        <v>743</v>
      </c>
      <c r="I180" s="2" t="s">
        <v>744</v>
      </c>
    </row>
    <row r="181" ht="15.75" customHeight="1">
      <c r="A181" s="1" t="s">
        <v>745</v>
      </c>
      <c r="B181" s="2" t="s">
        <v>101</v>
      </c>
      <c r="C181" s="2" t="s">
        <v>250</v>
      </c>
      <c r="D181" s="2">
        <v>1944.73</v>
      </c>
      <c r="E181" s="2">
        <v>4.0</v>
      </c>
      <c r="F181" s="2">
        <v>7778.92</v>
      </c>
      <c r="G181" s="2" t="s">
        <v>746</v>
      </c>
      <c r="H181" s="2" t="s">
        <v>747</v>
      </c>
      <c r="I181" s="2" t="s">
        <v>748</v>
      </c>
    </row>
    <row r="182" ht="15.75" customHeight="1">
      <c r="A182" s="1" t="s">
        <v>562</v>
      </c>
      <c r="B182" s="2" t="s">
        <v>50</v>
      </c>
      <c r="C182" s="2" t="s">
        <v>360</v>
      </c>
      <c r="D182" s="2">
        <v>1956.0</v>
      </c>
      <c r="E182" s="2">
        <v>5.0</v>
      </c>
      <c r="F182" s="2">
        <v>9780.0</v>
      </c>
      <c r="G182" s="2" t="s">
        <v>749</v>
      </c>
      <c r="H182" s="2" t="s">
        <v>750</v>
      </c>
      <c r="I182" s="2" t="s">
        <v>751</v>
      </c>
    </row>
    <row r="183" ht="15.75" customHeight="1">
      <c r="A183" s="1" t="s">
        <v>367</v>
      </c>
      <c r="B183" s="2" t="s">
        <v>50</v>
      </c>
      <c r="C183" s="2" t="s">
        <v>186</v>
      </c>
      <c r="D183" s="2">
        <v>1848.95</v>
      </c>
      <c r="E183" s="2">
        <v>3.0</v>
      </c>
      <c r="F183" s="2">
        <v>5546.85</v>
      </c>
      <c r="G183" s="2" t="s">
        <v>752</v>
      </c>
      <c r="H183" s="2" t="s">
        <v>753</v>
      </c>
      <c r="I183" s="2" t="s">
        <v>754</v>
      </c>
    </row>
    <row r="184" ht="15.75" customHeight="1">
      <c r="A184" s="1" t="s">
        <v>474</v>
      </c>
      <c r="B184" s="2" t="s">
        <v>38</v>
      </c>
      <c r="C184" s="2" t="s">
        <v>162</v>
      </c>
      <c r="D184" s="2">
        <v>814.63</v>
      </c>
      <c r="E184" s="2">
        <v>1.0</v>
      </c>
      <c r="F184" s="2">
        <v>814.63</v>
      </c>
      <c r="G184" s="2" t="s">
        <v>755</v>
      </c>
      <c r="H184" s="2" t="s">
        <v>756</v>
      </c>
      <c r="I184" s="2" t="s">
        <v>757</v>
      </c>
    </row>
    <row r="185" ht="15.75" customHeight="1">
      <c r="A185" s="1" t="s">
        <v>758</v>
      </c>
      <c r="B185" s="2" t="s">
        <v>16</v>
      </c>
      <c r="C185" s="2" t="s">
        <v>55</v>
      </c>
      <c r="D185" s="2">
        <v>120.94</v>
      </c>
      <c r="E185" s="2">
        <v>3.0</v>
      </c>
      <c r="G185" s="2" t="s">
        <v>759</v>
      </c>
      <c r="H185" s="2" t="s">
        <v>760</v>
      </c>
      <c r="I185" s="2" t="s">
        <v>761</v>
      </c>
    </row>
    <row r="186" ht="15.75" customHeight="1">
      <c r="A186" s="1" t="s">
        <v>762</v>
      </c>
      <c r="B186" s="2" t="s">
        <v>85</v>
      </c>
      <c r="C186" s="2" t="s">
        <v>186</v>
      </c>
      <c r="D186" s="2">
        <v>797.71</v>
      </c>
      <c r="E186" s="2">
        <v>1.0</v>
      </c>
      <c r="F186" s="2">
        <v>797.71</v>
      </c>
      <c r="G186" s="2" t="s">
        <v>763</v>
      </c>
      <c r="H186" s="2" t="s">
        <v>764</v>
      </c>
      <c r="I186" s="2" t="s">
        <v>765</v>
      </c>
    </row>
    <row r="187" ht="15.75" customHeight="1">
      <c r="A187" s="1" t="s">
        <v>665</v>
      </c>
      <c r="B187" s="2" t="s">
        <v>38</v>
      </c>
      <c r="C187" s="2" t="s">
        <v>116</v>
      </c>
      <c r="D187" s="2">
        <v>762.46</v>
      </c>
      <c r="E187" s="2">
        <v>1.0</v>
      </c>
      <c r="F187" s="2">
        <v>762.46</v>
      </c>
      <c r="G187" s="2" t="s">
        <v>766</v>
      </c>
      <c r="H187" s="2" t="s">
        <v>767</v>
      </c>
      <c r="I187" s="2" t="s">
        <v>768</v>
      </c>
    </row>
    <row r="188" ht="15.75" customHeight="1">
      <c r="A188" s="1" t="s">
        <v>769</v>
      </c>
      <c r="B188" s="2" t="s">
        <v>38</v>
      </c>
      <c r="C188" s="2" t="s">
        <v>508</v>
      </c>
      <c r="D188" s="2">
        <v>1794.09</v>
      </c>
      <c r="E188" s="2">
        <v>5.0</v>
      </c>
      <c r="F188" s="2">
        <v>8970.45</v>
      </c>
      <c r="G188" s="2" t="s">
        <v>770</v>
      </c>
      <c r="H188" s="2" t="s">
        <v>771</v>
      </c>
      <c r="I188" s="2" t="s">
        <v>772</v>
      </c>
    </row>
    <row r="189" ht="15.75" customHeight="1">
      <c r="A189" s="1" t="s">
        <v>773</v>
      </c>
      <c r="B189" s="2" t="s">
        <v>50</v>
      </c>
      <c r="C189" s="2" t="s">
        <v>311</v>
      </c>
      <c r="D189" s="2">
        <v>157.89</v>
      </c>
      <c r="E189" s="2">
        <v>1.0</v>
      </c>
      <c r="F189" s="2">
        <v>157.89</v>
      </c>
      <c r="G189" s="2" t="s">
        <v>774</v>
      </c>
      <c r="H189" s="2" t="s">
        <v>775</v>
      </c>
      <c r="I189" s="2" t="s">
        <v>776</v>
      </c>
    </row>
    <row r="190" ht="15.75" customHeight="1">
      <c r="A190" s="1" t="s">
        <v>777</v>
      </c>
      <c r="B190" s="2" t="s">
        <v>85</v>
      </c>
      <c r="C190" s="2" t="s">
        <v>245</v>
      </c>
      <c r="D190" s="2">
        <v>642.49</v>
      </c>
      <c r="E190" s="2">
        <v>4.0</v>
      </c>
      <c r="F190" s="2">
        <v>2569.96</v>
      </c>
      <c r="G190" s="2" t="s">
        <v>778</v>
      </c>
      <c r="H190" s="2" t="s">
        <v>779</v>
      </c>
      <c r="I190" s="2" t="s">
        <v>780</v>
      </c>
    </row>
    <row r="191" ht="15.75" customHeight="1">
      <c r="A191" s="1" t="s">
        <v>781</v>
      </c>
      <c r="B191" s="2" t="s">
        <v>50</v>
      </c>
      <c r="C191" s="2" t="s">
        <v>17</v>
      </c>
      <c r="D191" s="2">
        <v>798.65</v>
      </c>
      <c r="E191" s="2">
        <v>1.0</v>
      </c>
      <c r="F191" s="2">
        <v>798.65</v>
      </c>
      <c r="G191" s="2" t="s">
        <v>782</v>
      </c>
      <c r="H191" s="2" t="s">
        <v>783</v>
      </c>
      <c r="I191" s="2" t="s">
        <v>784</v>
      </c>
    </row>
    <row r="192" ht="15.75" customHeight="1">
      <c r="A192" s="1" t="s">
        <v>785</v>
      </c>
      <c r="B192" s="2" t="s">
        <v>85</v>
      </c>
      <c r="C192" s="2" t="s">
        <v>508</v>
      </c>
      <c r="D192" s="2">
        <v>1533.19</v>
      </c>
      <c r="E192" s="2">
        <v>4.0</v>
      </c>
      <c r="F192" s="2">
        <v>6132.76</v>
      </c>
      <c r="G192" s="2" t="s">
        <v>786</v>
      </c>
      <c r="H192" s="2" t="s">
        <v>787</v>
      </c>
      <c r="I192" s="2" t="s">
        <v>788</v>
      </c>
    </row>
    <row r="193" ht="15.75" customHeight="1">
      <c r="A193" s="1" t="s">
        <v>789</v>
      </c>
      <c r="B193" s="2" t="s">
        <v>50</v>
      </c>
      <c r="C193" s="2" t="s">
        <v>250</v>
      </c>
      <c r="D193" s="2">
        <v>1247.13</v>
      </c>
      <c r="E193" s="2">
        <v>5.0</v>
      </c>
      <c r="F193" s="2">
        <v>6235.65</v>
      </c>
      <c r="G193" s="2" t="s">
        <v>790</v>
      </c>
      <c r="H193" s="2" t="s">
        <v>791</v>
      </c>
      <c r="I193" s="2" t="s">
        <v>792</v>
      </c>
    </row>
    <row r="194" ht="15.75" customHeight="1">
      <c r="A194" s="1" t="s">
        <v>405</v>
      </c>
      <c r="B194" s="2" t="s">
        <v>793</v>
      </c>
      <c r="C194" s="2" t="s">
        <v>245</v>
      </c>
      <c r="D194" s="2">
        <v>1988.0</v>
      </c>
      <c r="E194" s="2">
        <v>2.0</v>
      </c>
      <c r="F194" s="2">
        <v>3976.0</v>
      </c>
      <c r="G194" s="2" t="s">
        <v>794</v>
      </c>
      <c r="H194" s="2" t="s">
        <v>795</v>
      </c>
      <c r="I194" s="2" t="s">
        <v>796</v>
      </c>
    </row>
    <row r="195" ht="15.75" customHeight="1">
      <c r="A195" s="1" t="s">
        <v>797</v>
      </c>
      <c r="B195" s="2" t="s">
        <v>38</v>
      </c>
      <c r="C195" s="2" t="s">
        <v>33</v>
      </c>
      <c r="D195" s="2">
        <v>1923.56</v>
      </c>
      <c r="E195" s="2">
        <v>4.0</v>
      </c>
      <c r="F195" s="2">
        <v>7694.24</v>
      </c>
      <c r="G195" s="2" t="s">
        <v>798</v>
      </c>
      <c r="H195" s="2" t="s">
        <v>799</v>
      </c>
      <c r="I195" s="2" t="s">
        <v>800</v>
      </c>
    </row>
    <row r="196" ht="15.75" customHeight="1">
      <c r="A196" s="1" t="s">
        <v>801</v>
      </c>
      <c r="B196" s="2" t="s">
        <v>802</v>
      </c>
      <c r="C196" s="2" t="s">
        <v>96</v>
      </c>
      <c r="D196" s="2">
        <v>1112.81</v>
      </c>
      <c r="E196" s="2">
        <v>1.0</v>
      </c>
      <c r="F196" s="2">
        <v>1112.81</v>
      </c>
      <c r="G196" s="2" t="s">
        <v>803</v>
      </c>
      <c r="H196" s="2" t="s">
        <v>804</v>
      </c>
      <c r="I196" s="2" t="s">
        <v>805</v>
      </c>
    </row>
    <row r="197" ht="15.75" customHeight="1">
      <c r="A197" s="1" t="s">
        <v>806</v>
      </c>
      <c r="B197" s="2" t="s">
        <v>85</v>
      </c>
      <c r="C197" s="2" t="s">
        <v>807</v>
      </c>
      <c r="D197" s="2">
        <v>2281.58</v>
      </c>
      <c r="E197" s="2">
        <v>1.0</v>
      </c>
      <c r="F197" s="2">
        <v>2281.58</v>
      </c>
      <c r="G197" s="2" t="s">
        <v>808</v>
      </c>
      <c r="H197" s="2" t="s">
        <v>809</v>
      </c>
      <c r="I197" s="2" t="s">
        <v>810</v>
      </c>
    </row>
    <row r="198" ht="15.75" customHeight="1">
      <c r="A198" s="1" t="s">
        <v>105</v>
      </c>
      <c r="B198" s="2" t="s">
        <v>50</v>
      </c>
      <c r="C198" s="2" t="s">
        <v>167</v>
      </c>
      <c r="D198" s="2">
        <v>2095.66</v>
      </c>
      <c r="E198" s="2">
        <v>5.0</v>
      </c>
      <c r="F198" s="2">
        <v>10478.3</v>
      </c>
      <c r="G198" s="2" t="s">
        <v>811</v>
      </c>
      <c r="H198" s="2" t="s">
        <v>812</v>
      </c>
      <c r="I198" s="2" t="s">
        <v>813</v>
      </c>
    </row>
    <row r="199" ht="15.75" customHeight="1">
      <c r="A199" s="1" t="s">
        <v>110</v>
      </c>
      <c r="B199" s="2" t="s">
        <v>85</v>
      </c>
      <c r="C199" s="2" t="s">
        <v>86</v>
      </c>
      <c r="D199" s="2">
        <v>2064.2</v>
      </c>
      <c r="E199" s="2">
        <v>1.0</v>
      </c>
      <c r="F199" s="2">
        <v>2064.2</v>
      </c>
      <c r="G199" s="2" t="s">
        <v>814</v>
      </c>
      <c r="H199" s="2" t="s">
        <v>815</v>
      </c>
      <c r="I199" s="2" t="s">
        <v>816</v>
      </c>
    </row>
    <row r="200" ht="15.75" customHeight="1">
      <c r="A200" s="1" t="s">
        <v>817</v>
      </c>
      <c r="B200" s="2" t="s">
        <v>27</v>
      </c>
      <c r="C200" s="2" t="s">
        <v>121</v>
      </c>
      <c r="D200" s="2">
        <v>1143.24</v>
      </c>
      <c r="E200" s="2">
        <v>2.0</v>
      </c>
      <c r="F200" s="2">
        <v>2286.48</v>
      </c>
      <c r="G200" s="2" t="s">
        <v>818</v>
      </c>
      <c r="H200" s="2" t="s">
        <v>819</v>
      </c>
      <c r="I200" s="2" t="s">
        <v>820</v>
      </c>
    </row>
    <row r="201" ht="15.75" customHeight="1">
      <c r="A201" s="1" t="s">
        <v>821</v>
      </c>
      <c r="B201" s="2" t="s">
        <v>822</v>
      </c>
      <c r="C201" s="2" t="s">
        <v>250</v>
      </c>
      <c r="D201" s="2">
        <v>2333.72</v>
      </c>
      <c r="E201" s="2">
        <v>2.0</v>
      </c>
      <c r="F201" s="2">
        <v>4667.44</v>
      </c>
      <c r="G201" s="2" t="s">
        <v>823</v>
      </c>
      <c r="H201" s="2" t="s">
        <v>824</v>
      </c>
      <c r="I201" s="2" t="s">
        <v>825</v>
      </c>
    </row>
    <row r="202" ht="15.75" customHeight="1">
      <c r="A202" s="1" t="s">
        <v>826</v>
      </c>
      <c r="B202" s="2" t="s">
        <v>85</v>
      </c>
      <c r="C202" s="2" t="s">
        <v>33</v>
      </c>
      <c r="D202" s="2">
        <v>1537.12</v>
      </c>
      <c r="E202" s="2">
        <v>2.0</v>
      </c>
      <c r="F202" s="2">
        <v>3074.24</v>
      </c>
      <c r="G202" s="2" t="s">
        <v>827</v>
      </c>
      <c r="H202" s="2" t="s">
        <v>828</v>
      </c>
      <c r="I202" s="2" t="s">
        <v>829</v>
      </c>
    </row>
    <row r="203" ht="15.75" customHeight="1">
      <c r="A203" s="1" t="s">
        <v>495</v>
      </c>
      <c r="B203" s="2" t="s">
        <v>38</v>
      </c>
      <c r="C203" s="2" t="s">
        <v>28</v>
      </c>
      <c r="D203" s="2">
        <v>2224.57</v>
      </c>
      <c r="E203" s="2">
        <v>5.0</v>
      </c>
      <c r="F203" s="2">
        <v>11122.85</v>
      </c>
      <c r="G203" s="2" t="s">
        <v>830</v>
      </c>
      <c r="H203" s="2" t="s">
        <v>831</v>
      </c>
      <c r="I203" s="2" t="s">
        <v>832</v>
      </c>
    </row>
    <row r="204" ht="15.75" customHeight="1">
      <c r="A204" s="1" t="s">
        <v>720</v>
      </c>
      <c r="B204" s="2" t="s">
        <v>85</v>
      </c>
      <c r="C204" s="2" t="s">
        <v>206</v>
      </c>
      <c r="D204" s="2">
        <v>1688.92</v>
      </c>
      <c r="E204" s="2">
        <v>5.0</v>
      </c>
      <c r="F204" s="2">
        <v>8444.6</v>
      </c>
      <c r="G204" s="2" t="s">
        <v>833</v>
      </c>
      <c r="H204" s="2" t="s">
        <v>834</v>
      </c>
      <c r="I204" s="2" t="s">
        <v>835</v>
      </c>
    </row>
    <row r="205" ht="15.75" customHeight="1">
      <c r="A205" s="1" t="s">
        <v>836</v>
      </c>
      <c r="B205" s="2" t="s">
        <v>16</v>
      </c>
      <c r="C205" s="2" t="s">
        <v>55</v>
      </c>
      <c r="D205" s="2">
        <v>1575.85</v>
      </c>
      <c r="E205" s="2">
        <v>2.0</v>
      </c>
      <c r="F205" s="2">
        <v>3151.7</v>
      </c>
      <c r="G205" s="2" t="s">
        <v>837</v>
      </c>
      <c r="H205" s="2" t="s">
        <v>838</v>
      </c>
      <c r="I205" s="2" t="s">
        <v>839</v>
      </c>
    </row>
    <row r="206" ht="15.75" customHeight="1">
      <c r="A206" s="1" t="s">
        <v>512</v>
      </c>
      <c r="B206" s="2" t="s">
        <v>27</v>
      </c>
      <c r="C206" s="2" t="s">
        <v>17</v>
      </c>
      <c r="D206" s="2">
        <v>1861.0</v>
      </c>
      <c r="E206" s="2">
        <v>5.0</v>
      </c>
      <c r="F206" s="2">
        <v>9305.0</v>
      </c>
      <c r="G206" s="2" t="s">
        <v>840</v>
      </c>
      <c r="H206" s="2" t="s">
        <v>841</v>
      </c>
      <c r="I206" s="2" t="s">
        <v>842</v>
      </c>
    </row>
    <row r="207" ht="15.75" customHeight="1">
      <c r="A207" s="1" t="s">
        <v>843</v>
      </c>
      <c r="B207" s="2" t="s">
        <v>85</v>
      </c>
      <c r="C207" s="2" t="s">
        <v>206</v>
      </c>
      <c r="D207" s="2">
        <v>62.73</v>
      </c>
      <c r="E207" s="2">
        <v>3.0</v>
      </c>
      <c r="F207" s="2">
        <v>188.19</v>
      </c>
      <c r="G207" s="2" t="s">
        <v>844</v>
      </c>
      <c r="H207" s="2" t="s">
        <v>845</v>
      </c>
      <c r="I207" s="2" t="s">
        <v>846</v>
      </c>
    </row>
    <row r="208" ht="15.75" customHeight="1">
      <c r="A208" s="1" t="s">
        <v>847</v>
      </c>
      <c r="B208" s="2" t="s">
        <v>27</v>
      </c>
      <c r="C208" s="2" t="s">
        <v>91</v>
      </c>
      <c r="D208" s="2">
        <v>1332.48</v>
      </c>
      <c r="E208" s="2">
        <v>5.0</v>
      </c>
      <c r="F208" s="2">
        <v>6662.4</v>
      </c>
      <c r="G208" s="2" t="s">
        <v>848</v>
      </c>
      <c r="H208" s="2" t="s">
        <v>849</v>
      </c>
      <c r="I208" s="2" t="s">
        <v>850</v>
      </c>
    </row>
    <row r="209" ht="15.75" customHeight="1">
      <c r="A209" s="1" t="s">
        <v>851</v>
      </c>
      <c r="B209" s="2" t="s">
        <v>38</v>
      </c>
      <c r="C209" s="2" t="s">
        <v>191</v>
      </c>
      <c r="D209" s="2">
        <v>1771.25</v>
      </c>
      <c r="E209" s="2">
        <v>4.0</v>
      </c>
      <c r="F209" s="2">
        <v>7085.0</v>
      </c>
      <c r="G209" s="2" t="s">
        <v>852</v>
      </c>
      <c r="H209" s="2" t="s">
        <v>853</v>
      </c>
      <c r="I209" s="2" t="s">
        <v>854</v>
      </c>
    </row>
    <row r="210" ht="15.75" customHeight="1">
      <c r="A210" s="1" t="s">
        <v>855</v>
      </c>
      <c r="B210" s="2" t="s">
        <v>101</v>
      </c>
      <c r="C210" s="2" t="s">
        <v>201</v>
      </c>
      <c r="D210" s="2">
        <v>788.6</v>
      </c>
      <c r="E210" s="2">
        <v>4.0</v>
      </c>
      <c r="F210" s="2">
        <v>3154.4</v>
      </c>
      <c r="G210" s="2" t="s">
        <v>856</v>
      </c>
      <c r="H210" s="2" t="s">
        <v>857</v>
      </c>
      <c r="I210" s="2" t="s">
        <v>858</v>
      </c>
    </row>
    <row r="211" ht="15.75" customHeight="1">
      <c r="A211" s="1" t="s">
        <v>859</v>
      </c>
      <c r="B211" s="2" t="s">
        <v>27</v>
      </c>
      <c r="C211" s="2" t="s">
        <v>111</v>
      </c>
      <c r="D211" s="2">
        <v>591.94</v>
      </c>
      <c r="E211" s="2">
        <v>2.0</v>
      </c>
      <c r="F211" s="2">
        <v>1183.88</v>
      </c>
      <c r="G211" s="2" t="s">
        <v>860</v>
      </c>
      <c r="H211" s="2" t="s">
        <v>861</v>
      </c>
      <c r="I211" s="2" t="s">
        <v>862</v>
      </c>
    </row>
    <row r="212" ht="15.75" customHeight="1">
      <c r="A212" s="1" t="s">
        <v>43</v>
      </c>
      <c r="B212" s="2" t="s">
        <v>16</v>
      </c>
      <c r="C212" s="2" t="s">
        <v>508</v>
      </c>
      <c r="D212" s="2">
        <v>2060.35</v>
      </c>
      <c r="E212" s="2">
        <v>3.0</v>
      </c>
      <c r="F212" s="2">
        <v>6181.05</v>
      </c>
      <c r="G212" s="2" t="s">
        <v>863</v>
      </c>
      <c r="H212" s="2" t="s">
        <v>864</v>
      </c>
      <c r="I212" s="2" t="s">
        <v>865</v>
      </c>
    </row>
    <row r="213" ht="15.75" customHeight="1">
      <c r="A213" s="1" t="s">
        <v>866</v>
      </c>
      <c r="B213" s="2" t="s">
        <v>27</v>
      </c>
      <c r="C213" s="2" t="s">
        <v>45</v>
      </c>
      <c r="D213" s="2">
        <v>324.09</v>
      </c>
      <c r="E213" s="2">
        <v>2.0</v>
      </c>
      <c r="F213" s="2">
        <v>648.18</v>
      </c>
      <c r="G213" s="2" t="s">
        <v>867</v>
      </c>
      <c r="H213" s="2" t="s">
        <v>868</v>
      </c>
      <c r="I213" s="2" t="s">
        <v>869</v>
      </c>
    </row>
    <row r="214" ht="15.75" customHeight="1">
      <c r="A214" s="1" t="s">
        <v>64</v>
      </c>
      <c r="B214" s="2" t="s">
        <v>38</v>
      </c>
      <c r="C214" s="2" t="s">
        <v>91</v>
      </c>
      <c r="D214" s="2">
        <v>525.13</v>
      </c>
      <c r="E214" s="2">
        <v>2.0</v>
      </c>
      <c r="F214" s="2">
        <v>1050.26</v>
      </c>
      <c r="G214" s="2" t="s">
        <v>870</v>
      </c>
      <c r="H214" s="2" t="s">
        <v>871</v>
      </c>
      <c r="I214" s="2" t="s">
        <v>872</v>
      </c>
    </row>
    <row r="215" ht="15.75" customHeight="1">
      <c r="A215" s="1" t="s">
        <v>873</v>
      </c>
      <c r="B215" s="2" t="s">
        <v>85</v>
      </c>
      <c r="C215" s="2" t="s">
        <v>111</v>
      </c>
      <c r="D215" s="2">
        <v>787.78</v>
      </c>
      <c r="E215" s="2">
        <v>3.0</v>
      </c>
      <c r="F215" s="2">
        <v>2363.34</v>
      </c>
      <c r="G215" s="2" t="s">
        <v>874</v>
      </c>
      <c r="H215" s="2" t="s">
        <v>875</v>
      </c>
      <c r="I215" s="2" t="s">
        <v>876</v>
      </c>
    </row>
    <row r="216" ht="15.75" customHeight="1">
      <c r="A216" s="1" t="s">
        <v>877</v>
      </c>
      <c r="B216" s="2" t="s">
        <v>101</v>
      </c>
      <c r="C216" s="2" t="s">
        <v>28</v>
      </c>
      <c r="D216" s="2">
        <v>1242.34</v>
      </c>
      <c r="E216" s="2">
        <v>5.0</v>
      </c>
      <c r="F216" s="2">
        <v>6211.7</v>
      </c>
      <c r="G216" s="2" t="s">
        <v>878</v>
      </c>
      <c r="H216" s="2" t="s">
        <v>879</v>
      </c>
      <c r="I216" s="2" t="s">
        <v>880</v>
      </c>
    </row>
    <row r="217" ht="15.75" customHeight="1">
      <c r="A217" s="1" t="s">
        <v>877</v>
      </c>
      <c r="B217" s="2" t="s">
        <v>85</v>
      </c>
      <c r="C217" s="2" t="s">
        <v>201</v>
      </c>
      <c r="D217" s="2">
        <v>1657.62</v>
      </c>
      <c r="E217" s="2">
        <v>4.0</v>
      </c>
      <c r="F217" s="2">
        <v>6630.48</v>
      </c>
      <c r="G217" s="2" t="s">
        <v>881</v>
      </c>
      <c r="H217" s="2" t="s">
        <v>882</v>
      </c>
      <c r="I217" s="2" t="s">
        <v>883</v>
      </c>
    </row>
    <row r="218" ht="15.75" customHeight="1">
      <c r="A218" s="4" t="s">
        <v>884</v>
      </c>
      <c r="B218" s="2" t="s">
        <v>27</v>
      </c>
      <c r="C218" s="2" t="s">
        <v>885</v>
      </c>
      <c r="D218" s="2">
        <v>780.24</v>
      </c>
      <c r="E218" s="2">
        <v>3.0</v>
      </c>
      <c r="F218" s="2">
        <v>2340.72</v>
      </c>
      <c r="G218" s="2" t="s">
        <v>886</v>
      </c>
      <c r="H218" s="2" t="s">
        <v>887</v>
      </c>
      <c r="I218" s="2" t="s">
        <v>888</v>
      </c>
    </row>
    <row r="219" ht="15.75" customHeight="1">
      <c r="A219" s="1" t="s">
        <v>826</v>
      </c>
      <c r="B219" s="2" t="s">
        <v>50</v>
      </c>
      <c r="C219" s="2" t="s">
        <v>111</v>
      </c>
      <c r="D219" s="2">
        <v>1832.39</v>
      </c>
      <c r="E219" s="2">
        <v>4.0</v>
      </c>
      <c r="F219" s="2">
        <v>7329.56</v>
      </c>
      <c r="G219" s="2" t="s">
        <v>889</v>
      </c>
      <c r="H219" s="2" t="s">
        <v>890</v>
      </c>
      <c r="I219" s="2" t="s">
        <v>891</v>
      </c>
    </row>
    <row r="220" ht="15.75" customHeight="1">
      <c r="A220" s="1" t="s">
        <v>474</v>
      </c>
      <c r="B220" s="2" t="s">
        <v>27</v>
      </c>
      <c r="C220" s="2" t="s">
        <v>162</v>
      </c>
      <c r="D220" s="2">
        <v>205.57</v>
      </c>
      <c r="E220" s="2">
        <v>5.0</v>
      </c>
      <c r="F220" s="2">
        <v>1027.85</v>
      </c>
      <c r="G220" s="2" t="s">
        <v>892</v>
      </c>
      <c r="H220" s="2" t="s">
        <v>893</v>
      </c>
      <c r="I220" s="2" t="s">
        <v>894</v>
      </c>
    </row>
    <row r="221" ht="15.75" customHeight="1">
      <c r="A221" s="1" t="s">
        <v>895</v>
      </c>
      <c r="B221" s="2" t="s">
        <v>27</v>
      </c>
      <c r="C221" s="2" t="s">
        <v>397</v>
      </c>
      <c r="D221" s="2">
        <v>1219.75</v>
      </c>
      <c r="E221" s="2">
        <v>2.0</v>
      </c>
      <c r="F221" s="2">
        <v>2439.5</v>
      </c>
      <c r="G221" s="2" t="s">
        <v>896</v>
      </c>
      <c r="H221" s="2" t="s">
        <v>897</v>
      </c>
      <c r="I221" s="2" t="s">
        <v>898</v>
      </c>
    </row>
    <row r="222" ht="15.75" customHeight="1">
      <c r="A222" s="4" t="s">
        <v>899</v>
      </c>
      <c r="B222" s="2" t="s">
        <v>16</v>
      </c>
      <c r="C222" s="2" t="s">
        <v>147</v>
      </c>
      <c r="D222" s="2">
        <v>1126.91</v>
      </c>
      <c r="E222" s="2">
        <v>3.0</v>
      </c>
      <c r="F222" s="2">
        <v>3380.73</v>
      </c>
      <c r="G222" s="2" t="s">
        <v>900</v>
      </c>
      <c r="H222" s="2" t="s">
        <v>901</v>
      </c>
      <c r="I222" s="2" t="s">
        <v>902</v>
      </c>
    </row>
    <row r="223" ht="15.75" customHeight="1">
      <c r="A223" s="1" t="s">
        <v>903</v>
      </c>
      <c r="B223" s="2" t="s">
        <v>27</v>
      </c>
      <c r="C223" s="2" t="s">
        <v>186</v>
      </c>
      <c r="D223" s="2">
        <v>1950.45</v>
      </c>
      <c r="E223" s="2">
        <v>4.0</v>
      </c>
      <c r="F223" s="2">
        <v>7801.8</v>
      </c>
      <c r="G223" s="2" t="s">
        <v>904</v>
      </c>
      <c r="H223" s="2" t="s">
        <v>905</v>
      </c>
      <c r="I223" s="2" t="s">
        <v>906</v>
      </c>
    </row>
    <row r="224" ht="15.75" customHeight="1">
      <c r="A224" s="4" t="s">
        <v>907</v>
      </c>
      <c r="B224" s="2" t="s">
        <v>50</v>
      </c>
      <c r="C224" s="2" t="s">
        <v>206</v>
      </c>
      <c r="D224" s="2">
        <v>1940.18</v>
      </c>
      <c r="E224" s="2">
        <v>3.0</v>
      </c>
      <c r="F224" s="2">
        <v>5820.54</v>
      </c>
      <c r="G224" s="2" t="s">
        <v>908</v>
      </c>
      <c r="H224" s="2" t="s">
        <v>909</v>
      </c>
      <c r="I224" s="2" t="s">
        <v>910</v>
      </c>
    </row>
    <row r="225" ht="15.75" customHeight="1">
      <c r="A225" s="1" t="s">
        <v>911</v>
      </c>
      <c r="B225" s="2" t="s">
        <v>85</v>
      </c>
      <c r="C225" s="2" t="s">
        <v>86</v>
      </c>
      <c r="D225" s="2">
        <v>251.95</v>
      </c>
      <c r="E225" s="2">
        <v>5.0</v>
      </c>
      <c r="F225" s="2">
        <v>1259.75</v>
      </c>
      <c r="G225" s="2" t="s">
        <v>912</v>
      </c>
      <c r="H225" s="2" t="s">
        <v>913</v>
      </c>
      <c r="I225" s="2" t="s">
        <v>914</v>
      </c>
    </row>
    <row r="226" ht="15.75" customHeight="1">
      <c r="A226" s="4" t="s">
        <v>915</v>
      </c>
      <c r="B226" s="2" t="s">
        <v>101</v>
      </c>
      <c r="C226" s="2" t="s">
        <v>311</v>
      </c>
      <c r="D226" s="2">
        <v>1378.81</v>
      </c>
      <c r="E226" s="2">
        <v>3.0</v>
      </c>
      <c r="F226" s="2">
        <v>4136.43</v>
      </c>
      <c r="G226" s="2" t="s">
        <v>916</v>
      </c>
      <c r="H226" s="2" t="s">
        <v>917</v>
      </c>
      <c r="I226" s="2" t="s">
        <v>918</v>
      </c>
    </row>
    <row r="227" ht="15.75" customHeight="1">
      <c r="A227" s="4" t="s">
        <v>105</v>
      </c>
      <c r="B227" s="2" t="s">
        <v>85</v>
      </c>
      <c r="C227" s="2" t="s">
        <v>111</v>
      </c>
      <c r="D227" s="2">
        <v>2215.63</v>
      </c>
      <c r="E227" s="2">
        <v>3.0</v>
      </c>
      <c r="F227" s="2">
        <v>6646.89</v>
      </c>
      <c r="G227" s="2" t="s">
        <v>919</v>
      </c>
      <c r="H227" s="2" t="s">
        <v>920</v>
      </c>
      <c r="I227" s="2" t="s">
        <v>921</v>
      </c>
    </row>
    <row r="228" ht="15.75" customHeight="1">
      <c r="A228" s="4" t="s">
        <v>922</v>
      </c>
      <c r="B228" s="2" t="s">
        <v>16</v>
      </c>
      <c r="C228" s="2" t="s">
        <v>65</v>
      </c>
      <c r="D228" s="2">
        <v>1967.19</v>
      </c>
      <c r="E228" s="2">
        <v>2.0</v>
      </c>
      <c r="F228" s="2">
        <v>3934.38</v>
      </c>
      <c r="G228" s="2" t="s">
        <v>923</v>
      </c>
      <c r="H228" s="2" t="s">
        <v>924</v>
      </c>
      <c r="I228" s="2" t="s">
        <v>925</v>
      </c>
    </row>
    <row r="229" ht="15.75" customHeight="1">
      <c r="A229" s="4" t="s">
        <v>105</v>
      </c>
      <c r="B229" s="2" t="s">
        <v>16</v>
      </c>
      <c r="C229" s="2" t="s">
        <v>235</v>
      </c>
      <c r="D229" s="2">
        <v>2395.85</v>
      </c>
      <c r="E229" s="2">
        <v>4.0</v>
      </c>
      <c r="F229" s="2">
        <v>9583.4</v>
      </c>
      <c r="G229" s="2" t="s">
        <v>926</v>
      </c>
      <c r="H229" s="2" t="s">
        <v>927</v>
      </c>
      <c r="I229" s="2" t="s">
        <v>928</v>
      </c>
    </row>
    <row r="230" ht="15.75" customHeight="1">
      <c r="A230" s="1" t="s">
        <v>929</v>
      </c>
      <c r="B230" s="2" t="s">
        <v>101</v>
      </c>
      <c r="C230" s="2" t="s">
        <v>807</v>
      </c>
      <c r="D230" s="2">
        <v>809.92</v>
      </c>
      <c r="E230" s="2">
        <v>4.0</v>
      </c>
      <c r="F230" s="2">
        <v>3239.68</v>
      </c>
      <c r="G230" s="2" t="s">
        <v>930</v>
      </c>
      <c r="H230" s="2" t="s">
        <v>931</v>
      </c>
      <c r="I230" s="2" t="s">
        <v>932</v>
      </c>
    </row>
    <row r="231" ht="15.75" customHeight="1">
      <c r="A231" s="1" t="s">
        <v>195</v>
      </c>
      <c r="B231" s="2" t="s">
        <v>27</v>
      </c>
      <c r="C231" s="2" t="s">
        <v>181</v>
      </c>
      <c r="D231" s="2">
        <v>1156.44</v>
      </c>
      <c r="E231" s="2">
        <v>1.0</v>
      </c>
      <c r="F231" s="2">
        <v>1156.44</v>
      </c>
      <c r="G231" s="2" t="s">
        <v>933</v>
      </c>
      <c r="H231" s="2" t="s">
        <v>934</v>
      </c>
      <c r="I231" s="2" t="s">
        <v>935</v>
      </c>
    </row>
    <row r="232" ht="15.75" customHeight="1">
      <c r="A232" s="1" t="s">
        <v>347</v>
      </c>
      <c r="B232" s="2" t="s">
        <v>38</v>
      </c>
      <c r="C232" s="2" t="s">
        <v>226</v>
      </c>
      <c r="D232" s="2">
        <v>1062.11</v>
      </c>
      <c r="E232" s="2">
        <v>2.0</v>
      </c>
      <c r="F232" s="2">
        <v>2124.22</v>
      </c>
      <c r="G232" s="2" t="s">
        <v>936</v>
      </c>
      <c r="H232" s="2" t="s">
        <v>937</v>
      </c>
      <c r="I232" s="2" t="s">
        <v>938</v>
      </c>
    </row>
    <row r="233" ht="15.75" customHeight="1">
      <c r="A233" s="1" t="s">
        <v>939</v>
      </c>
      <c r="B233" s="2" t="s">
        <v>101</v>
      </c>
      <c r="C233" s="2" t="s">
        <v>86</v>
      </c>
      <c r="D233" s="2">
        <v>784.39</v>
      </c>
      <c r="E233" s="2">
        <v>1.0</v>
      </c>
      <c r="F233" s="2">
        <v>784.39</v>
      </c>
      <c r="G233" s="2" t="s">
        <v>940</v>
      </c>
      <c r="H233" s="2" t="s">
        <v>941</v>
      </c>
      <c r="I233" s="2" t="s">
        <v>942</v>
      </c>
    </row>
    <row r="234" ht="15.75" customHeight="1">
      <c r="A234" s="1" t="s">
        <v>417</v>
      </c>
      <c r="B234" s="2" t="s">
        <v>38</v>
      </c>
      <c r="C234" s="2" t="s">
        <v>39</v>
      </c>
      <c r="D234" s="2">
        <v>1459.53</v>
      </c>
      <c r="E234" s="2">
        <v>1.0</v>
      </c>
      <c r="F234" s="2">
        <v>1459.53</v>
      </c>
      <c r="G234" s="2" t="s">
        <v>943</v>
      </c>
      <c r="H234" s="2" t="s">
        <v>944</v>
      </c>
      <c r="I234" s="2" t="s">
        <v>945</v>
      </c>
    </row>
    <row r="235" ht="15.75" customHeight="1">
      <c r="A235" s="4" t="s">
        <v>120</v>
      </c>
      <c r="B235" s="2" t="s">
        <v>101</v>
      </c>
      <c r="C235" s="2" t="s">
        <v>135</v>
      </c>
      <c r="D235" s="2">
        <v>1668.3</v>
      </c>
      <c r="E235" s="2">
        <v>2.0</v>
      </c>
      <c r="F235" s="2">
        <v>3336.6</v>
      </c>
      <c r="G235" s="2" t="s">
        <v>946</v>
      </c>
      <c r="H235" s="2" t="s">
        <v>947</v>
      </c>
      <c r="I235" s="2" t="s">
        <v>948</v>
      </c>
    </row>
    <row r="236" ht="15.75" customHeight="1">
      <c r="A236" s="4" t="s">
        <v>949</v>
      </c>
      <c r="B236" s="2" t="s">
        <v>85</v>
      </c>
      <c r="C236" s="2" t="s">
        <v>111</v>
      </c>
      <c r="D236" s="2">
        <v>563.73</v>
      </c>
      <c r="E236" s="2">
        <v>1.0</v>
      </c>
      <c r="F236" s="2">
        <v>563.73</v>
      </c>
      <c r="G236" s="2" t="s">
        <v>950</v>
      </c>
      <c r="H236" s="2" t="s">
        <v>951</v>
      </c>
      <c r="I236" s="2" t="s">
        <v>952</v>
      </c>
    </row>
    <row r="237" ht="15.75" customHeight="1">
      <c r="A237" s="1" t="s">
        <v>953</v>
      </c>
      <c r="B237" s="2" t="s">
        <v>85</v>
      </c>
      <c r="C237" s="2" t="s">
        <v>147</v>
      </c>
      <c r="D237" s="2">
        <v>2209.08</v>
      </c>
      <c r="E237" s="2">
        <v>2.0</v>
      </c>
      <c r="F237" s="2">
        <v>4418.16</v>
      </c>
      <c r="G237" s="2" t="s">
        <v>954</v>
      </c>
      <c r="H237" s="2" t="s">
        <v>955</v>
      </c>
      <c r="I237" s="2" t="s">
        <v>956</v>
      </c>
    </row>
    <row r="238" ht="15.75" customHeight="1">
      <c r="A238" s="1" t="s">
        <v>911</v>
      </c>
      <c r="B238" s="2" t="s">
        <v>50</v>
      </c>
      <c r="C238" s="2" t="s">
        <v>70</v>
      </c>
      <c r="D238" s="2">
        <v>568.57</v>
      </c>
      <c r="E238" s="2">
        <v>3.0</v>
      </c>
      <c r="F238" s="2">
        <v>1705.71</v>
      </c>
      <c r="G238" s="2" t="s">
        <v>957</v>
      </c>
      <c r="H238" s="2" t="s">
        <v>958</v>
      </c>
      <c r="I238" s="2" t="s">
        <v>959</v>
      </c>
    </row>
    <row r="239" ht="15.75" customHeight="1">
      <c r="A239" s="1" t="s">
        <v>160</v>
      </c>
      <c r="B239" s="2" t="s">
        <v>16</v>
      </c>
      <c r="C239" s="2" t="s">
        <v>111</v>
      </c>
      <c r="D239" s="2">
        <v>1795.59</v>
      </c>
      <c r="E239" s="2">
        <v>5.0</v>
      </c>
      <c r="F239" s="2">
        <v>8977.95</v>
      </c>
      <c r="G239" s="2" t="s">
        <v>960</v>
      </c>
      <c r="H239" s="2" t="s">
        <v>961</v>
      </c>
      <c r="I239" s="2" t="s">
        <v>962</v>
      </c>
    </row>
    <row r="240" ht="15.75" customHeight="1">
      <c r="A240" s="4" t="s">
        <v>105</v>
      </c>
      <c r="B240" s="2" t="s">
        <v>85</v>
      </c>
      <c r="C240" s="2" t="s">
        <v>250</v>
      </c>
      <c r="D240" s="2">
        <v>883.61</v>
      </c>
      <c r="E240" s="2">
        <v>2.0</v>
      </c>
      <c r="F240" s="2">
        <v>1767.22</v>
      </c>
      <c r="G240" s="2" t="s">
        <v>963</v>
      </c>
      <c r="H240" s="2" t="s">
        <v>964</v>
      </c>
      <c r="I240" s="2" t="s">
        <v>965</v>
      </c>
    </row>
    <row r="241" ht="15.75" customHeight="1">
      <c r="A241" s="1" t="s">
        <v>966</v>
      </c>
      <c r="B241" s="2" t="s">
        <v>967</v>
      </c>
      <c r="C241" s="2" t="s">
        <v>33</v>
      </c>
      <c r="D241" s="2">
        <v>1566.36</v>
      </c>
      <c r="E241" s="2">
        <v>5.0</v>
      </c>
      <c r="F241" s="2">
        <v>7831.8</v>
      </c>
      <c r="G241" s="2" t="s">
        <v>968</v>
      </c>
      <c r="H241" s="2" t="s">
        <v>969</v>
      </c>
      <c r="I241" s="2" t="s">
        <v>970</v>
      </c>
    </row>
    <row r="242" ht="15.75" customHeight="1">
      <c r="A242" s="1" t="s">
        <v>785</v>
      </c>
      <c r="B242" s="2" t="s">
        <v>101</v>
      </c>
      <c r="C242" s="2" t="s">
        <v>11</v>
      </c>
      <c r="D242" s="2">
        <v>1141.13</v>
      </c>
      <c r="E242" s="2">
        <v>3.0</v>
      </c>
      <c r="F242" s="2">
        <v>3423.39</v>
      </c>
      <c r="G242" s="2" t="s">
        <v>971</v>
      </c>
      <c r="H242" s="2" t="s">
        <v>972</v>
      </c>
      <c r="I242" s="2" t="s">
        <v>973</v>
      </c>
    </row>
    <row r="243" ht="15.75" customHeight="1">
      <c r="A243" s="4" t="s">
        <v>974</v>
      </c>
      <c r="B243" s="2" t="s">
        <v>50</v>
      </c>
      <c r="C243" s="2" t="s">
        <v>152</v>
      </c>
      <c r="D243" s="2">
        <v>1614.05</v>
      </c>
      <c r="E243" s="2">
        <v>5.0</v>
      </c>
      <c r="F243" s="2">
        <v>8070.25</v>
      </c>
      <c r="G243" s="2" t="s">
        <v>975</v>
      </c>
      <c r="H243" s="2" t="s">
        <v>976</v>
      </c>
      <c r="I243" s="2" t="s">
        <v>977</v>
      </c>
    </row>
    <row r="244" ht="15.75" customHeight="1">
      <c r="A244" s="1" t="s">
        <v>851</v>
      </c>
      <c r="B244" s="2" t="s">
        <v>38</v>
      </c>
      <c r="C244" s="2" t="s">
        <v>186</v>
      </c>
      <c r="D244" s="2">
        <v>1865.58</v>
      </c>
      <c r="E244" s="2">
        <v>2.0</v>
      </c>
      <c r="F244" s="2">
        <v>3731.16</v>
      </c>
      <c r="G244" s="2" t="s">
        <v>978</v>
      </c>
      <c r="H244" s="2" t="s">
        <v>979</v>
      </c>
      <c r="I244" s="2" t="s">
        <v>980</v>
      </c>
    </row>
    <row r="245" ht="15.75" customHeight="1">
      <c r="A245" s="5" t="s">
        <v>649</v>
      </c>
      <c r="B245" s="2" t="s">
        <v>101</v>
      </c>
      <c r="C245" s="2" t="s">
        <v>11</v>
      </c>
      <c r="D245" s="2">
        <v>1585.75</v>
      </c>
      <c r="E245" s="2">
        <v>5.0</v>
      </c>
      <c r="F245" s="2">
        <v>7928.75</v>
      </c>
      <c r="G245" s="2" t="s">
        <v>981</v>
      </c>
      <c r="H245" s="2" t="s">
        <v>982</v>
      </c>
      <c r="I245" s="2" t="s">
        <v>983</v>
      </c>
    </row>
    <row r="246" ht="15.75" customHeight="1">
      <c r="A246" s="1" t="s">
        <v>911</v>
      </c>
      <c r="B246" s="2" t="s">
        <v>101</v>
      </c>
      <c r="C246" s="2" t="s">
        <v>984</v>
      </c>
      <c r="D246" s="2">
        <v>1491.36</v>
      </c>
      <c r="E246" s="2">
        <v>2.0</v>
      </c>
      <c r="F246" s="2">
        <v>2982.72</v>
      </c>
      <c r="G246" s="2" t="s">
        <v>985</v>
      </c>
      <c r="H246" s="2" t="s">
        <v>986</v>
      </c>
      <c r="I246" s="2" t="s">
        <v>987</v>
      </c>
    </row>
    <row r="247" ht="15.75" customHeight="1">
      <c r="A247" s="1" t="s">
        <v>200</v>
      </c>
      <c r="B247" s="2" t="s">
        <v>27</v>
      </c>
      <c r="C247" s="2" t="s">
        <v>167</v>
      </c>
      <c r="D247" s="2">
        <v>516.02</v>
      </c>
      <c r="E247" s="2">
        <v>4.0</v>
      </c>
      <c r="F247" s="2">
        <v>2064.08</v>
      </c>
      <c r="G247" s="2" t="s">
        <v>988</v>
      </c>
      <c r="H247" s="2" t="s">
        <v>989</v>
      </c>
      <c r="I247" s="2" t="s">
        <v>990</v>
      </c>
    </row>
    <row r="248" ht="15.75" customHeight="1">
      <c r="A248" s="4" t="s">
        <v>789</v>
      </c>
      <c r="B248" s="2" t="s">
        <v>101</v>
      </c>
      <c r="C248" s="2" t="s">
        <v>86</v>
      </c>
      <c r="D248" s="2">
        <v>153.47</v>
      </c>
      <c r="E248" s="2">
        <v>3.0</v>
      </c>
      <c r="F248" s="2">
        <v>460.41</v>
      </c>
      <c r="G248" s="2" t="s">
        <v>991</v>
      </c>
      <c r="H248" s="2" t="s">
        <v>992</v>
      </c>
      <c r="I248" s="2" t="s">
        <v>993</v>
      </c>
    </row>
    <row r="249" ht="15.75" customHeight="1">
      <c r="A249" s="4" t="s">
        <v>994</v>
      </c>
      <c r="B249" s="2" t="s">
        <v>85</v>
      </c>
      <c r="C249" s="2" t="s">
        <v>17</v>
      </c>
      <c r="D249" s="2">
        <v>107.98</v>
      </c>
      <c r="E249" s="2">
        <v>2.0</v>
      </c>
      <c r="F249" s="2">
        <v>215.96</v>
      </c>
      <c r="G249" s="2" t="s">
        <v>995</v>
      </c>
      <c r="H249" s="2" t="s">
        <v>996</v>
      </c>
      <c r="I249" s="2" t="s">
        <v>997</v>
      </c>
    </row>
    <row r="250" ht="15.75" customHeight="1">
      <c r="A250" s="1" t="s">
        <v>146</v>
      </c>
      <c r="B250" s="2" t="s">
        <v>38</v>
      </c>
      <c r="C250" s="2" t="s">
        <v>39</v>
      </c>
      <c r="D250" s="2">
        <v>2441.7</v>
      </c>
      <c r="E250" s="2">
        <v>2.0</v>
      </c>
      <c r="F250" s="2">
        <v>4883.4</v>
      </c>
      <c r="G250" s="2" t="s">
        <v>998</v>
      </c>
      <c r="H250" s="2" t="s">
        <v>999</v>
      </c>
      <c r="I250" s="2" t="s">
        <v>1000</v>
      </c>
    </row>
    <row r="251" ht="15.75" customHeight="1">
      <c r="A251" s="1" t="s">
        <v>356</v>
      </c>
      <c r="B251" s="2" t="s">
        <v>38</v>
      </c>
      <c r="C251" s="2" t="s">
        <v>75</v>
      </c>
      <c r="D251" s="2">
        <v>785.65</v>
      </c>
      <c r="E251" s="2">
        <v>1.0</v>
      </c>
      <c r="F251" s="2">
        <v>785.65</v>
      </c>
      <c r="G251" s="2" t="s">
        <v>1001</v>
      </c>
      <c r="H251" s="2" t="s">
        <v>1002</v>
      </c>
      <c r="I251" s="2" t="s">
        <v>1003</v>
      </c>
    </row>
    <row r="252" ht="15.75" customHeight="1">
      <c r="A252" s="4" t="s">
        <v>120</v>
      </c>
      <c r="B252" s="2" t="s">
        <v>101</v>
      </c>
      <c r="C252" s="2" t="s">
        <v>201</v>
      </c>
      <c r="D252" s="2">
        <v>229.33</v>
      </c>
      <c r="E252" s="2">
        <v>4.0</v>
      </c>
      <c r="F252" s="2">
        <v>917.32</v>
      </c>
      <c r="G252" s="2" t="s">
        <v>1004</v>
      </c>
      <c r="H252" s="2" t="s">
        <v>1005</v>
      </c>
      <c r="I252" s="2" t="s">
        <v>1006</v>
      </c>
    </row>
    <row r="253" ht="15.75" customHeight="1">
      <c r="A253" s="4" t="s">
        <v>1007</v>
      </c>
      <c r="B253" s="2" t="s">
        <v>85</v>
      </c>
      <c r="C253" s="2" t="s">
        <v>250</v>
      </c>
      <c r="D253" s="2">
        <v>1345.66</v>
      </c>
      <c r="E253" s="2">
        <v>2.0</v>
      </c>
      <c r="F253" s="2">
        <v>2691.32</v>
      </c>
      <c r="G253" s="2" t="s">
        <v>1008</v>
      </c>
      <c r="H253" s="2" t="s">
        <v>1009</v>
      </c>
      <c r="I253" s="2" t="s">
        <v>1010</v>
      </c>
    </row>
    <row r="254" ht="15.75" customHeight="1">
      <c r="A254" s="1" t="s">
        <v>1011</v>
      </c>
      <c r="B254" s="2" t="s">
        <v>101</v>
      </c>
      <c r="C254" s="2" t="s">
        <v>86</v>
      </c>
      <c r="D254" s="2">
        <v>1805.81</v>
      </c>
      <c r="E254" s="2">
        <v>3.0</v>
      </c>
      <c r="F254" s="2">
        <v>5417.43</v>
      </c>
      <c r="G254" s="2" t="s">
        <v>1012</v>
      </c>
      <c r="H254" s="2" t="s">
        <v>1013</v>
      </c>
      <c r="I254" s="2" t="s">
        <v>1014</v>
      </c>
    </row>
    <row r="255" ht="15.75" customHeight="1">
      <c r="A255" s="4" t="s">
        <v>994</v>
      </c>
      <c r="B255" s="2" t="s">
        <v>85</v>
      </c>
      <c r="C255" s="2" t="s">
        <v>1015</v>
      </c>
      <c r="D255" s="2">
        <v>1363.76</v>
      </c>
      <c r="E255" s="2">
        <v>4.0</v>
      </c>
      <c r="F255" s="2">
        <v>5455.04</v>
      </c>
      <c r="G255" s="2" t="s">
        <v>1016</v>
      </c>
      <c r="H255" s="2" t="s">
        <v>1017</v>
      </c>
      <c r="I255" s="2" t="s">
        <v>1018</v>
      </c>
    </row>
    <row r="256" ht="15.75" customHeight="1">
      <c r="A256" s="1" t="s">
        <v>272</v>
      </c>
      <c r="B256" s="2" t="s">
        <v>101</v>
      </c>
      <c r="C256" s="2" t="s">
        <v>162</v>
      </c>
      <c r="D256" s="2">
        <v>1405.61</v>
      </c>
      <c r="E256" s="2">
        <v>5.0</v>
      </c>
      <c r="F256" s="2">
        <v>7028.05</v>
      </c>
      <c r="G256" s="2" t="s">
        <v>1019</v>
      </c>
      <c r="H256" s="2" t="s">
        <v>1020</v>
      </c>
      <c r="I256" s="2" t="s">
        <v>1021</v>
      </c>
    </row>
    <row r="257" ht="15.75" customHeight="1">
      <c r="A257" s="4" t="s">
        <v>1022</v>
      </c>
      <c r="B257" s="2" t="s">
        <v>27</v>
      </c>
      <c r="C257" s="2" t="s">
        <v>11</v>
      </c>
      <c r="D257" s="2">
        <v>100.98</v>
      </c>
      <c r="E257" s="2">
        <v>3.0</v>
      </c>
      <c r="F257" s="2">
        <v>302.94</v>
      </c>
      <c r="G257" s="2" t="s">
        <v>1023</v>
      </c>
      <c r="H257" s="2" t="s">
        <v>1024</v>
      </c>
      <c r="I257" s="2" t="s">
        <v>1025</v>
      </c>
    </row>
    <row r="258" ht="15.75" customHeight="1">
      <c r="A258" s="1" t="s">
        <v>953</v>
      </c>
      <c r="B258" s="2" t="s">
        <v>16</v>
      </c>
      <c r="C258" s="2" t="s">
        <v>152</v>
      </c>
      <c r="D258" s="2">
        <v>401.92</v>
      </c>
      <c r="E258" s="2">
        <v>3.0</v>
      </c>
      <c r="F258" s="2">
        <v>1205.76</v>
      </c>
      <c r="G258" s="2" t="s">
        <v>1026</v>
      </c>
      <c r="H258" s="2" t="s">
        <v>1027</v>
      </c>
      <c r="I258" s="2" t="s">
        <v>1028</v>
      </c>
    </row>
    <row r="259" ht="15.75" customHeight="1">
      <c r="A259" s="1" t="s">
        <v>785</v>
      </c>
      <c r="B259" s="2" t="s">
        <v>16</v>
      </c>
      <c r="C259" s="2" t="s">
        <v>698</v>
      </c>
      <c r="D259" s="2">
        <v>890.76</v>
      </c>
      <c r="E259" s="2">
        <v>2.0</v>
      </c>
      <c r="F259" s="2">
        <v>1781.52</v>
      </c>
      <c r="G259" s="2" t="s">
        <v>1029</v>
      </c>
      <c r="H259" s="2" t="s">
        <v>1030</v>
      </c>
      <c r="I259" s="2" t="s">
        <v>1031</v>
      </c>
    </row>
    <row r="260" ht="15.75" customHeight="1">
      <c r="A260" s="1" t="s">
        <v>953</v>
      </c>
      <c r="B260" s="2" t="s">
        <v>16</v>
      </c>
      <c r="C260" s="2" t="s">
        <v>348</v>
      </c>
      <c r="D260" s="2">
        <v>989.79</v>
      </c>
      <c r="E260" s="2">
        <v>5.0</v>
      </c>
      <c r="F260" s="2">
        <v>4948.95</v>
      </c>
      <c r="G260" s="2" t="s">
        <v>1032</v>
      </c>
      <c r="H260" s="2" t="s">
        <v>1033</v>
      </c>
      <c r="I260" s="2" t="s">
        <v>1034</v>
      </c>
    </row>
    <row r="261" ht="15.75" customHeight="1">
      <c r="A261" s="1" t="s">
        <v>1035</v>
      </c>
      <c r="B261" s="2" t="s">
        <v>50</v>
      </c>
      <c r="C261" s="2" t="s">
        <v>235</v>
      </c>
      <c r="D261" s="2">
        <v>1137.01</v>
      </c>
      <c r="E261" s="2">
        <v>3.0</v>
      </c>
      <c r="F261" s="2">
        <v>3411.03</v>
      </c>
      <c r="G261" s="2" t="s">
        <v>1036</v>
      </c>
      <c r="H261" s="2" t="s">
        <v>1037</v>
      </c>
      <c r="I261" s="2" t="s">
        <v>1038</v>
      </c>
    </row>
    <row r="262" ht="15.75" customHeight="1">
      <c r="A262" s="4" t="s">
        <v>327</v>
      </c>
      <c r="B262" s="2" t="s">
        <v>16</v>
      </c>
      <c r="C262" s="2" t="s">
        <v>369</v>
      </c>
      <c r="D262" s="2">
        <v>273.29</v>
      </c>
      <c r="E262" s="2">
        <v>5.0</v>
      </c>
      <c r="F262" s="2">
        <v>1366.45</v>
      </c>
      <c r="G262" s="2" t="s">
        <v>1039</v>
      </c>
      <c r="H262" s="2" t="s">
        <v>1040</v>
      </c>
      <c r="I262" s="2" t="s">
        <v>1041</v>
      </c>
    </row>
    <row r="263" ht="15.75" customHeight="1">
      <c r="A263" s="4" t="s">
        <v>884</v>
      </c>
      <c r="B263" s="2" t="s">
        <v>50</v>
      </c>
      <c r="C263" s="2" t="s">
        <v>348</v>
      </c>
      <c r="D263" s="2">
        <v>233.33</v>
      </c>
      <c r="E263" s="2">
        <v>3.0</v>
      </c>
      <c r="F263" s="2">
        <v>699.99</v>
      </c>
      <c r="G263" s="2" t="s">
        <v>1042</v>
      </c>
      <c r="H263" s="2" t="s">
        <v>1043</v>
      </c>
      <c r="I263" s="2" t="s">
        <v>1044</v>
      </c>
    </row>
    <row r="264" ht="15.75" customHeight="1">
      <c r="A264" s="1" t="s">
        <v>1045</v>
      </c>
      <c r="B264" s="2" t="s">
        <v>38</v>
      </c>
      <c r="C264" s="2" t="s">
        <v>70</v>
      </c>
      <c r="D264" s="2">
        <v>228.56</v>
      </c>
      <c r="E264" s="2">
        <v>3.0</v>
      </c>
      <c r="F264" s="2">
        <v>685.68</v>
      </c>
      <c r="G264" s="2" t="s">
        <v>1046</v>
      </c>
      <c r="H264" s="2" t="s">
        <v>1047</v>
      </c>
      <c r="I264" s="2" t="s">
        <v>1048</v>
      </c>
    </row>
    <row r="265" ht="15.75" customHeight="1">
      <c r="A265" s="4" t="s">
        <v>105</v>
      </c>
      <c r="B265" s="2" t="s">
        <v>38</v>
      </c>
      <c r="C265" s="2" t="s">
        <v>1015</v>
      </c>
      <c r="D265" s="2">
        <v>1277.75</v>
      </c>
      <c r="E265" s="2">
        <v>1.0</v>
      </c>
      <c r="F265" s="2">
        <v>1277.75</v>
      </c>
      <c r="G265" s="2" t="s">
        <v>1049</v>
      </c>
      <c r="H265" s="2" t="s">
        <v>1050</v>
      </c>
      <c r="I265" s="2" t="s">
        <v>1051</v>
      </c>
    </row>
    <row r="266" ht="15.75" customHeight="1">
      <c r="A266" s="1" t="s">
        <v>160</v>
      </c>
      <c r="B266" s="2" t="s">
        <v>50</v>
      </c>
      <c r="C266" s="2" t="s">
        <v>196</v>
      </c>
      <c r="D266" s="2">
        <v>2087.73</v>
      </c>
      <c r="E266" s="2">
        <v>1.0</v>
      </c>
      <c r="G266" s="2" t="s">
        <v>1052</v>
      </c>
      <c r="H266" s="2" t="s">
        <v>1053</v>
      </c>
      <c r="I266" s="2" t="s">
        <v>1054</v>
      </c>
    </row>
    <row r="267" ht="15.75" customHeight="1">
      <c r="A267" s="1" t="s">
        <v>781</v>
      </c>
      <c r="B267" s="2" t="s">
        <v>101</v>
      </c>
      <c r="C267" s="2" t="s">
        <v>397</v>
      </c>
      <c r="D267" s="2">
        <v>1937.4</v>
      </c>
      <c r="E267" s="2">
        <v>2.0</v>
      </c>
      <c r="F267" s="2">
        <v>3874.8</v>
      </c>
      <c r="G267" s="2" t="s">
        <v>1055</v>
      </c>
      <c r="H267" s="2" t="s">
        <v>1056</v>
      </c>
      <c r="I267" s="2" t="s">
        <v>1057</v>
      </c>
    </row>
    <row r="268" ht="15.75" customHeight="1">
      <c r="A268" s="1" t="s">
        <v>1058</v>
      </c>
      <c r="B268" s="2" t="s">
        <v>101</v>
      </c>
      <c r="C268" s="2" t="s">
        <v>311</v>
      </c>
      <c r="D268" s="2">
        <v>1628.77</v>
      </c>
      <c r="E268" s="2">
        <v>4.0</v>
      </c>
      <c r="F268" s="2">
        <v>6515.08</v>
      </c>
      <c r="G268" s="2" t="s">
        <v>1059</v>
      </c>
      <c r="H268" s="2" t="s">
        <v>1060</v>
      </c>
      <c r="I268" s="2" t="s">
        <v>1061</v>
      </c>
    </row>
    <row r="269" ht="15.75" customHeight="1">
      <c r="A269" s="1" t="s">
        <v>356</v>
      </c>
      <c r="B269" s="2" t="s">
        <v>27</v>
      </c>
      <c r="C269" s="2" t="s">
        <v>452</v>
      </c>
      <c r="D269" s="2">
        <v>747.11</v>
      </c>
      <c r="E269" s="2">
        <v>5.0</v>
      </c>
      <c r="F269" s="2">
        <v>3735.55</v>
      </c>
      <c r="G269" s="2" t="s">
        <v>1062</v>
      </c>
      <c r="H269" s="2" t="s">
        <v>1063</v>
      </c>
      <c r="I269" s="2" t="s">
        <v>1064</v>
      </c>
    </row>
    <row r="270" ht="15.75" customHeight="1">
      <c r="A270" s="4" t="s">
        <v>120</v>
      </c>
      <c r="B270" s="2" t="s">
        <v>16</v>
      </c>
      <c r="C270" s="2" t="s">
        <v>65</v>
      </c>
      <c r="D270" s="2">
        <v>596.93</v>
      </c>
      <c r="E270" s="2">
        <v>5.0</v>
      </c>
      <c r="F270" s="2">
        <v>2984.65</v>
      </c>
      <c r="G270" s="2" t="s">
        <v>1065</v>
      </c>
      <c r="H270" s="2" t="s">
        <v>1066</v>
      </c>
      <c r="I270" s="2" t="s">
        <v>1067</v>
      </c>
    </row>
    <row r="271" ht="15.75" customHeight="1">
      <c r="A271" s="4" t="s">
        <v>1068</v>
      </c>
      <c r="B271" s="2" t="s">
        <v>101</v>
      </c>
      <c r="C271" s="2" t="s">
        <v>176</v>
      </c>
      <c r="D271" s="2">
        <v>1691.93</v>
      </c>
      <c r="E271" s="2">
        <v>1.0</v>
      </c>
      <c r="F271" s="2">
        <v>1691.93</v>
      </c>
      <c r="G271" s="2" t="s">
        <v>1069</v>
      </c>
      <c r="H271" s="2" t="s">
        <v>1070</v>
      </c>
      <c r="I271" s="2" t="s">
        <v>1071</v>
      </c>
    </row>
    <row r="272" ht="15.75" customHeight="1">
      <c r="A272" s="4" t="s">
        <v>907</v>
      </c>
      <c r="B272" s="2" t="s">
        <v>16</v>
      </c>
      <c r="C272" s="2" t="s">
        <v>22</v>
      </c>
      <c r="D272" s="2">
        <v>2043.06</v>
      </c>
      <c r="E272" s="2">
        <v>2.0</v>
      </c>
      <c r="F272" s="2">
        <v>4086.12</v>
      </c>
      <c r="G272" s="2" t="s">
        <v>1072</v>
      </c>
      <c r="H272" s="2" t="s">
        <v>1073</v>
      </c>
      <c r="I272" s="2" t="s">
        <v>1074</v>
      </c>
    </row>
    <row r="273" ht="15.75" customHeight="1">
      <c r="A273" s="5" t="s">
        <v>1075</v>
      </c>
      <c r="B273" s="2" t="s">
        <v>161</v>
      </c>
      <c r="C273" s="2" t="s">
        <v>593</v>
      </c>
      <c r="D273" s="2">
        <v>808.32</v>
      </c>
      <c r="E273" s="2">
        <v>4.0</v>
      </c>
      <c r="F273" s="2">
        <v>3233.28</v>
      </c>
      <c r="G273" s="2" t="s">
        <v>1076</v>
      </c>
      <c r="H273" s="2" t="s">
        <v>1077</v>
      </c>
      <c r="I273" s="2" t="s">
        <v>1078</v>
      </c>
    </row>
    <row r="274" ht="15.75" customHeight="1">
      <c r="A274" s="1" t="s">
        <v>903</v>
      </c>
      <c r="B274" s="2" t="s">
        <v>16</v>
      </c>
      <c r="C274" s="2" t="s">
        <v>116</v>
      </c>
      <c r="D274" s="2">
        <v>2092.55</v>
      </c>
      <c r="E274" s="2">
        <v>5.0</v>
      </c>
      <c r="F274" s="2">
        <v>10462.75</v>
      </c>
      <c r="G274" s="2" t="s">
        <v>1079</v>
      </c>
      <c r="H274" s="2" t="s">
        <v>1080</v>
      </c>
      <c r="I274" s="2" t="s">
        <v>1081</v>
      </c>
    </row>
    <row r="275" ht="15.75" customHeight="1">
      <c r="A275" s="1" t="s">
        <v>474</v>
      </c>
      <c r="B275" s="2" t="s">
        <v>27</v>
      </c>
      <c r="C275" s="2" t="s">
        <v>116</v>
      </c>
      <c r="D275" s="2">
        <v>785.82</v>
      </c>
      <c r="E275" s="2">
        <v>2.0</v>
      </c>
      <c r="F275" s="2">
        <v>1571.64</v>
      </c>
      <c r="G275" s="2" t="s">
        <v>1082</v>
      </c>
      <c r="H275" s="2" t="s">
        <v>1083</v>
      </c>
      <c r="I275" s="2" t="s">
        <v>1084</v>
      </c>
    </row>
    <row r="276" ht="15.75" customHeight="1">
      <c r="A276" s="1" t="s">
        <v>895</v>
      </c>
      <c r="B276" s="2" t="s">
        <v>101</v>
      </c>
      <c r="C276" s="2" t="s">
        <v>360</v>
      </c>
      <c r="D276" s="2">
        <v>2014.33</v>
      </c>
      <c r="E276" s="2">
        <v>4.0</v>
      </c>
      <c r="F276" s="2">
        <v>8057.32</v>
      </c>
      <c r="G276" s="2" t="s">
        <v>1085</v>
      </c>
      <c r="H276" s="2" t="s">
        <v>1086</v>
      </c>
      <c r="I276" s="2" t="s">
        <v>1087</v>
      </c>
    </row>
    <row r="277" ht="15.75" customHeight="1">
      <c r="A277" s="1" t="s">
        <v>356</v>
      </c>
      <c r="B277" s="2" t="s">
        <v>50</v>
      </c>
      <c r="C277" s="2" t="s">
        <v>360</v>
      </c>
      <c r="D277" s="2">
        <v>1030.99</v>
      </c>
      <c r="E277" s="2">
        <v>1.0</v>
      </c>
      <c r="F277" s="2">
        <v>1030.99</v>
      </c>
      <c r="G277" s="2" t="s">
        <v>1088</v>
      </c>
      <c r="H277" s="2" t="s">
        <v>1089</v>
      </c>
      <c r="I277" s="2" t="s">
        <v>1090</v>
      </c>
    </row>
    <row r="278" ht="15.75" customHeight="1">
      <c r="A278" s="1" t="s">
        <v>1091</v>
      </c>
      <c r="B278" s="2" t="s">
        <v>50</v>
      </c>
      <c r="C278" s="2" t="s">
        <v>111</v>
      </c>
      <c r="D278" s="2">
        <v>658.24</v>
      </c>
      <c r="E278" s="2">
        <v>3.0</v>
      </c>
      <c r="F278" s="2">
        <v>1974.72</v>
      </c>
      <c r="G278" s="2" t="s">
        <v>1092</v>
      </c>
      <c r="H278" s="2" t="s">
        <v>1093</v>
      </c>
      <c r="I278" s="2" t="s">
        <v>1094</v>
      </c>
    </row>
    <row r="279" ht="15.75" customHeight="1">
      <c r="A279" s="1" t="s">
        <v>417</v>
      </c>
      <c r="B279" s="2" t="s">
        <v>130</v>
      </c>
      <c r="C279" s="2" t="s">
        <v>96</v>
      </c>
      <c r="D279" s="2">
        <v>1019.73</v>
      </c>
      <c r="E279" s="2">
        <v>2.0</v>
      </c>
      <c r="F279" s="2">
        <v>2039.46</v>
      </c>
      <c r="G279" s="2" t="s">
        <v>1095</v>
      </c>
      <c r="H279" s="2" t="s">
        <v>1096</v>
      </c>
      <c r="I279" s="2" t="s">
        <v>1097</v>
      </c>
    </row>
    <row r="280" ht="15.75" customHeight="1">
      <c r="A280" s="1" t="s">
        <v>866</v>
      </c>
      <c r="B280" s="2" t="s">
        <v>38</v>
      </c>
      <c r="C280" s="2" t="s">
        <v>28</v>
      </c>
      <c r="D280" s="2">
        <v>664.21</v>
      </c>
      <c r="E280" s="2">
        <v>1.0</v>
      </c>
      <c r="F280" s="2">
        <v>664.21</v>
      </c>
      <c r="G280" s="2" t="s">
        <v>1098</v>
      </c>
      <c r="H280" s="2" t="s">
        <v>1099</v>
      </c>
      <c r="I280" s="2" t="s">
        <v>1100</v>
      </c>
    </row>
    <row r="281" ht="15.75" customHeight="1">
      <c r="A281" s="1" t="s">
        <v>785</v>
      </c>
      <c r="B281" s="2" t="s">
        <v>101</v>
      </c>
      <c r="C281" s="2" t="s">
        <v>191</v>
      </c>
      <c r="D281" s="2">
        <v>1307.54</v>
      </c>
      <c r="E281" s="2">
        <v>1.0</v>
      </c>
      <c r="F281" s="2">
        <v>1307.54</v>
      </c>
      <c r="G281" s="2" t="s">
        <v>1101</v>
      </c>
      <c r="H281" s="2" t="s">
        <v>1102</v>
      </c>
      <c r="I281" s="2" t="s">
        <v>1103</v>
      </c>
    </row>
    <row r="282" ht="15.75" customHeight="1">
      <c r="A282" s="4" t="s">
        <v>1104</v>
      </c>
      <c r="B282" s="2" t="s">
        <v>38</v>
      </c>
      <c r="C282" s="2" t="s">
        <v>196</v>
      </c>
      <c r="D282" s="2">
        <v>1711.63</v>
      </c>
      <c r="E282" s="2">
        <v>4.0</v>
      </c>
      <c r="F282" s="2">
        <v>6846.52</v>
      </c>
      <c r="G282" s="2" t="s">
        <v>1105</v>
      </c>
      <c r="H282" s="2" t="s">
        <v>1106</v>
      </c>
      <c r="I282" s="2" t="s">
        <v>1107</v>
      </c>
    </row>
    <row r="283" ht="15.75" customHeight="1">
      <c r="A283" s="1" t="s">
        <v>417</v>
      </c>
      <c r="B283" s="2" t="s">
        <v>50</v>
      </c>
      <c r="C283" s="2" t="s">
        <v>245</v>
      </c>
      <c r="D283" s="2">
        <v>1670.11</v>
      </c>
      <c r="E283" s="2">
        <v>3.0</v>
      </c>
      <c r="F283" s="2">
        <v>5010.33</v>
      </c>
      <c r="G283" s="2" t="s">
        <v>1108</v>
      </c>
      <c r="H283" s="2" t="s">
        <v>1109</v>
      </c>
      <c r="I283" s="2" t="s">
        <v>1110</v>
      </c>
    </row>
    <row r="284" ht="15.75" customHeight="1">
      <c r="A284" s="4" t="s">
        <v>239</v>
      </c>
      <c r="B284" s="2" t="s">
        <v>16</v>
      </c>
      <c r="C284" s="2" t="s">
        <v>250</v>
      </c>
      <c r="D284" s="2">
        <v>1492.73</v>
      </c>
      <c r="E284" s="2">
        <v>5.0</v>
      </c>
      <c r="F284" s="2">
        <v>7463.65</v>
      </c>
      <c r="G284" s="2" t="s">
        <v>1111</v>
      </c>
      <c r="H284" s="2" t="s">
        <v>1112</v>
      </c>
      <c r="I284" s="2" t="s">
        <v>1113</v>
      </c>
    </row>
    <row r="285" ht="15.75" customHeight="1">
      <c r="A285" s="4" t="s">
        <v>1068</v>
      </c>
      <c r="B285" s="2" t="s">
        <v>85</v>
      </c>
      <c r="C285" s="2" t="s">
        <v>250</v>
      </c>
      <c r="D285" s="2">
        <v>617.79</v>
      </c>
      <c r="E285" s="2">
        <v>3.0</v>
      </c>
      <c r="F285" s="2">
        <v>1853.37</v>
      </c>
      <c r="G285" s="2" t="s">
        <v>1114</v>
      </c>
      <c r="H285" s="2" t="s">
        <v>1115</v>
      </c>
      <c r="I285" s="2" t="s">
        <v>1116</v>
      </c>
    </row>
    <row r="286" ht="15.75" customHeight="1">
      <c r="A286" s="4" t="s">
        <v>884</v>
      </c>
      <c r="B286" s="2" t="s">
        <v>16</v>
      </c>
      <c r="C286" s="2" t="s">
        <v>121</v>
      </c>
      <c r="D286" s="2">
        <v>2211.26</v>
      </c>
      <c r="E286" s="2">
        <v>3.0</v>
      </c>
      <c r="F286" s="2">
        <v>6633.78</v>
      </c>
      <c r="G286" s="2" t="s">
        <v>1117</v>
      </c>
      <c r="H286" s="2" t="s">
        <v>1118</v>
      </c>
      <c r="I286" s="2" t="s">
        <v>1119</v>
      </c>
    </row>
    <row r="287" ht="15.75" customHeight="1">
      <c r="A287" s="1" t="s">
        <v>1120</v>
      </c>
      <c r="B287" s="2" t="s">
        <v>101</v>
      </c>
      <c r="C287" s="2" t="s">
        <v>369</v>
      </c>
      <c r="D287" s="2">
        <v>1397.7</v>
      </c>
      <c r="E287" s="2">
        <v>3.0</v>
      </c>
      <c r="F287" s="2">
        <v>4193.1</v>
      </c>
      <c r="G287" s="2" t="s">
        <v>1121</v>
      </c>
      <c r="H287" s="2" t="s">
        <v>1122</v>
      </c>
      <c r="I287" s="2" t="s">
        <v>1123</v>
      </c>
    </row>
    <row r="288" ht="15.75" customHeight="1">
      <c r="A288" s="1" t="s">
        <v>1124</v>
      </c>
      <c r="B288" s="2" t="s">
        <v>101</v>
      </c>
      <c r="C288" s="2" t="s">
        <v>360</v>
      </c>
      <c r="D288" s="2">
        <v>1339.17</v>
      </c>
      <c r="E288" s="2">
        <v>2.0</v>
      </c>
      <c r="F288" s="2">
        <v>2678.34</v>
      </c>
      <c r="G288" s="2" t="s">
        <v>1125</v>
      </c>
      <c r="H288" s="2" t="s">
        <v>1126</v>
      </c>
      <c r="I288" s="2" t="s">
        <v>1127</v>
      </c>
    </row>
    <row r="289" ht="15.75" customHeight="1">
      <c r="A289" s="1" t="s">
        <v>380</v>
      </c>
      <c r="B289" s="2" t="s">
        <v>1128</v>
      </c>
      <c r="C289" s="2" t="s">
        <v>45</v>
      </c>
      <c r="D289" s="2">
        <v>992.68</v>
      </c>
      <c r="E289" s="2">
        <v>5.0</v>
      </c>
      <c r="F289" s="2">
        <v>4963.4</v>
      </c>
      <c r="G289" s="2" t="s">
        <v>1129</v>
      </c>
      <c r="H289" s="2" t="s">
        <v>1130</v>
      </c>
      <c r="I289" s="2" t="s">
        <v>1131</v>
      </c>
    </row>
    <row r="290" ht="15.75" customHeight="1">
      <c r="A290" s="1" t="s">
        <v>618</v>
      </c>
      <c r="B290" s="2" t="s">
        <v>27</v>
      </c>
      <c r="C290" s="2" t="s">
        <v>65</v>
      </c>
      <c r="D290" s="2">
        <v>2196.83</v>
      </c>
      <c r="E290" s="2">
        <v>5.0</v>
      </c>
      <c r="F290" s="2">
        <v>10984.15</v>
      </c>
      <c r="G290" s="2" t="s">
        <v>1132</v>
      </c>
      <c r="H290" s="2" t="s">
        <v>1133</v>
      </c>
      <c r="I290" s="2" t="s">
        <v>1134</v>
      </c>
    </row>
    <row r="291" ht="15.75" customHeight="1">
      <c r="A291" s="1" t="s">
        <v>1135</v>
      </c>
      <c r="B291" s="2" t="s">
        <v>85</v>
      </c>
      <c r="C291" s="2" t="s">
        <v>385</v>
      </c>
      <c r="D291" s="2">
        <v>895.6</v>
      </c>
      <c r="E291" s="2">
        <v>3.0</v>
      </c>
      <c r="F291" s="2">
        <v>2686.8</v>
      </c>
      <c r="G291" s="2" t="s">
        <v>1136</v>
      </c>
      <c r="H291" s="2" t="s">
        <v>1137</v>
      </c>
      <c r="I291" s="2" t="s">
        <v>1138</v>
      </c>
    </row>
    <row r="292" ht="15.75" customHeight="1">
      <c r="A292" s="1" t="s">
        <v>1139</v>
      </c>
      <c r="B292" s="2" t="s">
        <v>101</v>
      </c>
      <c r="C292" s="2" t="s">
        <v>360</v>
      </c>
      <c r="D292" s="2">
        <v>1280.61</v>
      </c>
      <c r="E292" s="2">
        <v>5.0</v>
      </c>
      <c r="F292" s="2">
        <v>6403.05</v>
      </c>
      <c r="G292" s="2" t="s">
        <v>1140</v>
      </c>
      <c r="H292" s="2" t="s">
        <v>1141</v>
      </c>
      <c r="I292" s="2" t="s">
        <v>1142</v>
      </c>
    </row>
    <row r="293" ht="15.75" customHeight="1">
      <c r="A293" s="1" t="s">
        <v>966</v>
      </c>
      <c r="B293" s="2" t="s">
        <v>27</v>
      </c>
      <c r="C293" s="2" t="s">
        <v>250</v>
      </c>
      <c r="D293" s="2">
        <v>288.64</v>
      </c>
      <c r="E293" s="2">
        <v>1.0</v>
      </c>
      <c r="F293" s="2">
        <v>288.64</v>
      </c>
      <c r="G293" s="2" t="s">
        <v>1143</v>
      </c>
      <c r="H293" s="2" t="s">
        <v>1144</v>
      </c>
      <c r="I293" s="2" t="s">
        <v>1145</v>
      </c>
    </row>
    <row r="294" ht="15.75" customHeight="1">
      <c r="A294" s="1" t="s">
        <v>37</v>
      </c>
      <c r="B294" s="2" t="s">
        <v>50</v>
      </c>
      <c r="C294" s="2" t="s">
        <v>162</v>
      </c>
      <c r="D294" s="2">
        <v>2092.87</v>
      </c>
      <c r="E294" s="2">
        <v>4.0</v>
      </c>
      <c r="F294" s="2">
        <v>8371.48</v>
      </c>
      <c r="G294" s="2" t="s">
        <v>1146</v>
      </c>
      <c r="H294" s="2" t="s">
        <v>1147</v>
      </c>
      <c r="I294" s="2" t="s">
        <v>1148</v>
      </c>
    </row>
    <row r="295" ht="15.75" customHeight="1">
      <c r="A295" s="1" t="s">
        <v>622</v>
      </c>
      <c r="B295" s="2" t="s">
        <v>16</v>
      </c>
      <c r="C295" s="2" t="s">
        <v>807</v>
      </c>
      <c r="D295" s="2">
        <v>1631.22</v>
      </c>
      <c r="E295" s="2">
        <v>5.0</v>
      </c>
      <c r="F295" s="2">
        <v>8156.1</v>
      </c>
      <c r="G295" s="2" t="s">
        <v>1149</v>
      </c>
      <c r="H295" s="2" t="s">
        <v>1150</v>
      </c>
      <c r="I295" s="2" t="s">
        <v>1151</v>
      </c>
    </row>
    <row r="296" ht="15.75" customHeight="1">
      <c r="A296" s="1" t="s">
        <v>1045</v>
      </c>
      <c r="B296" s="2" t="s">
        <v>38</v>
      </c>
      <c r="C296" s="2" t="s">
        <v>86</v>
      </c>
      <c r="D296" s="2">
        <v>1068.29</v>
      </c>
      <c r="E296" s="2">
        <v>4.0</v>
      </c>
      <c r="F296" s="2">
        <v>4273.16</v>
      </c>
      <c r="G296" s="2" t="s">
        <v>1152</v>
      </c>
      <c r="H296" s="2" t="s">
        <v>1153</v>
      </c>
      <c r="I296" s="2" t="s">
        <v>1154</v>
      </c>
    </row>
    <row r="297" ht="15.75" customHeight="1">
      <c r="A297" s="1" t="s">
        <v>1035</v>
      </c>
      <c r="B297" s="2" t="s">
        <v>38</v>
      </c>
      <c r="C297" s="2" t="s">
        <v>39</v>
      </c>
      <c r="D297" s="2">
        <v>1216.59</v>
      </c>
      <c r="E297" s="2">
        <v>3.0</v>
      </c>
      <c r="F297" s="2">
        <v>3649.77</v>
      </c>
      <c r="G297" s="2" t="s">
        <v>1155</v>
      </c>
      <c r="H297" s="2" t="s">
        <v>1156</v>
      </c>
      <c r="I297" s="2" t="s">
        <v>1157</v>
      </c>
    </row>
    <row r="298" ht="15.75" customHeight="1">
      <c r="A298" s="1" t="s">
        <v>1158</v>
      </c>
      <c r="B298" s="2" t="s">
        <v>38</v>
      </c>
      <c r="C298" s="2" t="s">
        <v>250</v>
      </c>
      <c r="D298" s="2">
        <v>979.2</v>
      </c>
      <c r="E298" s="2">
        <v>5.0</v>
      </c>
      <c r="F298" s="2">
        <v>4896.0</v>
      </c>
      <c r="G298" s="2" t="s">
        <v>1159</v>
      </c>
      <c r="H298" s="2" t="s">
        <v>1160</v>
      </c>
      <c r="I298" s="2" t="s">
        <v>1161</v>
      </c>
    </row>
    <row r="299" ht="15.75" customHeight="1">
      <c r="A299" s="1" t="s">
        <v>1058</v>
      </c>
      <c r="B299" s="2" t="s">
        <v>50</v>
      </c>
      <c r="C299" s="2" t="s">
        <v>1015</v>
      </c>
      <c r="D299" s="2">
        <v>1752.21</v>
      </c>
      <c r="E299" s="2">
        <v>4.0</v>
      </c>
      <c r="F299" s="2">
        <v>7008.84</v>
      </c>
      <c r="G299" s="2" t="s">
        <v>1162</v>
      </c>
      <c r="H299" s="2" t="s">
        <v>1163</v>
      </c>
      <c r="I299" s="2" t="s">
        <v>1164</v>
      </c>
    </row>
    <row r="300" ht="15.75" customHeight="1">
      <c r="A300" s="1" t="s">
        <v>1165</v>
      </c>
      <c r="B300" s="2" t="s">
        <v>50</v>
      </c>
      <c r="C300" s="2" t="s">
        <v>385</v>
      </c>
      <c r="D300" s="2">
        <v>2381.87</v>
      </c>
      <c r="E300" s="2">
        <v>1.0</v>
      </c>
      <c r="F300" s="2">
        <v>2381.87</v>
      </c>
      <c r="G300" s="2" t="s">
        <v>1166</v>
      </c>
      <c r="H300" s="2" t="s">
        <v>1167</v>
      </c>
      <c r="I300" s="2" t="s">
        <v>1168</v>
      </c>
    </row>
    <row r="301" ht="15.75" customHeight="1">
      <c r="A301" s="1" t="s">
        <v>953</v>
      </c>
      <c r="B301" s="2" t="s">
        <v>16</v>
      </c>
      <c r="C301" s="2" t="s">
        <v>33</v>
      </c>
      <c r="D301" s="2">
        <v>173.98</v>
      </c>
      <c r="E301" s="2">
        <v>4.0</v>
      </c>
      <c r="F301" s="2">
        <v>695.92</v>
      </c>
      <c r="G301" s="2" t="s">
        <v>1169</v>
      </c>
      <c r="H301" s="2" t="s">
        <v>1170</v>
      </c>
      <c r="I301" s="2" t="s">
        <v>1171</v>
      </c>
    </row>
    <row r="302" ht="15.75" customHeight="1">
      <c r="A302" s="1" t="s">
        <v>409</v>
      </c>
      <c r="B302" s="2" t="s">
        <v>16</v>
      </c>
      <c r="C302" s="2" t="s">
        <v>45</v>
      </c>
      <c r="D302" s="2">
        <v>1987.27</v>
      </c>
      <c r="E302" s="2">
        <v>3.0</v>
      </c>
      <c r="F302" s="2">
        <v>5961.81</v>
      </c>
      <c r="G302" s="2" t="s">
        <v>1172</v>
      </c>
      <c r="H302" s="2" t="s">
        <v>1173</v>
      </c>
      <c r="I302" s="2" t="s">
        <v>1174</v>
      </c>
    </row>
    <row r="303" ht="15.75" customHeight="1">
      <c r="A303" s="1" t="s">
        <v>356</v>
      </c>
      <c r="B303" s="2" t="s">
        <v>85</v>
      </c>
      <c r="C303" s="2" t="s">
        <v>172</v>
      </c>
      <c r="D303" s="2">
        <v>486.27</v>
      </c>
      <c r="E303" s="2">
        <v>5.0</v>
      </c>
      <c r="F303" s="2">
        <v>2431.35</v>
      </c>
      <c r="G303" s="2" t="s">
        <v>1175</v>
      </c>
      <c r="H303" s="2" t="s">
        <v>1176</v>
      </c>
      <c r="I303" s="2" t="s">
        <v>1177</v>
      </c>
    </row>
    <row r="304" ht="15.75" customHeight="1">
      <c r="A304" s="1" t="s">
        <v>1178</v>
      </c>
      <c r="B304" s="2" t="s">
        <v>16</v>
      </c>
      <c r="C304" s="2" t="s">
        <v>250</v>
      </c>
      <c r="D304" s="2">
        <v>1615.07</v>
      </c>
      <c r="E304" s="2">
        <v>3.0</v>
      </c>
      <c r="F304" s="2">
        <v>4845.21</v>
      </c>
      <c r="G304" s="2" t="s">
        <v>1179</v>
      </c>
      <c r="H304" s="2" t="s">
        <v>1180</v>
      </c>
      <c r="I304" s="2" t="s">
        <v>1181</v>
      </c>
    </row>
    <row r="305" ht="15.75" customHeight="1">
      <c r="A305" s="1" t="s">
        <v>1182</v>
      </c>
      <c r="B305" s="2" t="s">
        <v>50</v>
      </c>
      <c r="C305" s="2" t="s">
        <v>176</v>
      </c>
      <c r="D305" s="2">
        <v>1464.04</v>
      </c>
      <c r="E305" s="2">
        <v>4.0</v>
      </c>
      <c r="F305" s="2">
        <v>5856.16</v>
      </c>
      <c r="G305" s="2" t="s">
        <v>1183</v>
      </c>
      <c r="H305" s="2" t="s">
        <v>1184</v>
      </c>
      <c r="I305" s="2" t="s">
        <v>1185</v>
      </c>
    </row>
    <row r="306" ht="15.75" customHeight="1">
      <c r="A306" s="1" t="s">
        <v>558</v>
      </c>
      <c r="B306" s="2" t="s">
        <v>101</v>
      </c>
      <c r="C306" s="2" t="s">
        <v>698</v>
      </c>
      <c r="D306" s="2">
        <v>1612.96</v>
      </c>
      <c r="E306" s="2">
        <v>1.0</v>
      </c>
      <c r="F306" s="2">
        <v>1612.96</v>
      </c>
      <c r="G306" s="2" t="s">
        <v>1186</v>
      </c>
      <c r="H306" s="2" t="s">
        <v>1187</v>
      </c>
      <c r="I306" s="2" t="s">
        <v>1188</v>
      </c>
    </row>
    <row r="307" ht="15.75" customHeight="1">
      <c r="A307" s="1" t="s">
        <v>1189</v>
      </c>
      <c r="B307" s="2" t="s">
        <v>50</v>
      </c>
      <c r="C307" s="2" t="s">
        <v>508</v>
      </c>
      <c r="D307" s="2">
        <v>920.68</v>
      </c>
      <c r="E307" s="2">
        <v>3.0</v>
      </c>
      <c r="F307" s="2">
        <v>2762.04</v>
      </c>
      <c r="G307" s="2" t="s">
        <v>1190</v>
      </c>
      <c r="H307" s="2" t="s">
        <v>1191</v>
      </c>
      <c r="I307" s="2" t="s">
        <v>1192</v>
      </c>
    </row>
    <row r="308" ht="15.75" customHeight="1">
      <c r="A308" s="1" t="s">
        <v>1193</v>
      </c>
      <c r="B308" s="2" t="s">
        <v>27</v>
      </c>
      <c r="C308" s="2" t="s">
        <v>11</v>
      </c>
      <c r="D308" s="2">
        <v>499.22</v>
      </c>
      <c r="E308" s="2">
        <v>3.0</v>
      </c>
      <c r="F308" s="2">
        <v>1497.66</v>
      </c>
      <c r="G308" s="2" t="s">
        <v>1194</v>
      </c>
      <c r="H308" s="2" t="s">
        <v>1195</v>
      </c>
      <c r="I308" s="2" t="s">
        <v>1196</v>
      </c>
    </row>
    <row r="309" ht="15.75" customHeight="1">
      <c r="A309" s="1" t="s">
        <v>120</v>
      </c>
      <c r="B309" s="2" t="s">
        <v>50</v>
      </c>
      <c r="C309" s="2" t="s">
        <v>33</v>
      </c>
      <c r="D309" s="2">
        <v>1650.53</v>
      </c>
      <c r="E309" s="2">
        <v>1.0</v>
      </c>
      <c r="F309" s="2">
        <v>1650.53</v>
      </c>
      <c r="G309" s="2" t="s">
        <v>1197</v>
      </c>
      <c r="H309" s="2" t="s">
        <v>1198</v>
      </c>
      <c r="I309" s="2" t="s">
        <v>1199</v>
      </c>
    </row>
    <row r="310" ht="15.75" customHeight="1">
      <c r="A310" s="1" t="s">
        <v>1011</v>
      </c>
      <c r="B310" s="2" t="s">
        <v>85</v>
      </c>
      <c r="C310" s="2" t="s">
        <v>226</v>
      </c>
      <c r="D310" s="2">
        <v>1112.48</v>
      </c>
      <c r="E310" s="2">
        <v>2.0</v>
      </c>
      <c r="F310" s="2">
        <v>2224.96</v>
      </c>
      <c r="G310" s="2" t="s">
        <v>1200</v>
      </c>
      <c r="H310" s="2" t="s">
        <v>1201</v>
      </c>
      <c r="I310" s="2" t="s">
        <v>1202</v>
      </c>
    </row>
    <row r="311" ht="15.75" customHeight="1">
      <c r="A311" s="1" t="s">
        <v>451</v>
      </c>
      <c r="B311" s="2" t="s">
        <v>16</v>
      </c>
      <c r="C311" s="2" t="s">
        <v>235</v>
      </c>
      <c r="D311" s="2">
        <v>366.39</v>
      </c>
      <c r="E311" s="2">
        <v>4.0</v>
      </c>
      <c r="F311" s="2">
        <v>1465.56</v>
      </c>
      <c r="G311" s="2" t="s">
        <v>1203</v>
      </c>
      <c r="H311" s="2" t="s">
        <v>1204</v>
      </c>
      <c r="I311" s="2" t="s">
        <v>1205</v>
      </c>
    </row>
    <row r="312" ht="15.75" customHeight="1">
      <c r="A312" s="1" t="s">
        <v>713</v>
      </c>
      <c r="B312" s="2" t="s">
        <v>27</v>
      </c>
      <c r="C312" s="2" t="s">
        <v>1015</v>
      </c>
      <c r="D312" s="2">
        <v>1019.3</v>
      </c>
      <c r="E312" s="2">
        <v>4.0</v>
      </c>
      <c r="F312" s="2">
        <v>4077.2</v>
      </c>
      <c r="G312" s="2" t="s">
        <v>1206</v>
      </c>
      <c r="H312" s="2" t="s">
        <v>1207</v>
      </c>
      <c r="I312" s="2" t="s">
        <v>1208</v>
      </c>
    </row>
    <row r="313" ht="15.75" customHeight="1">
      <c r="A313" s="1" t="s">
        <v>1209</v>
      </c>
      <c r="B313" s="2" t="s">
        <v>50</v>
      </c>
      <c r="C313" s="2" t="s">
        <v>116</v>
      </c>
      <c r="D313" s="2">
        <v>1152.44</v>
      </c>
      <c r="E313" s="2">
        <v>5.0</v>
      </c>
      <c r="F313" s="2">
        <v>5762.2</v>
      </c>
      <c r="G313" s="2" t="s">
        <v>1210</v>
      </c>
      <c r="H313" s="2" t="s">
        <v>1211</v>
      </c>
      <c r="I313" s="2" t="s">
        <v>1212</v>
      </c>
    </row>
    <row r="314" ht="15.75" customHeight="1">
      <c r="A314" s="1" t="s">
        <v>1213</v>
      </c>
      <c r="B314" s="2" t="s">
        <v>101</v>
      </c>
      <c r="C314" s="2" t="s">
        <v>135</v>
      </c>
      <c r="E314" s="2">
        <v>1.0</v>
      </c>
      <c r="F314" s="2">
        <v>1955.27</v>
      </c>
      <c r="G314" s="2" t="s">
        <v>1214</v>
      </c>
      <c r="H314" s="2" t="s">
        <v>1215</v>
      </c>
      <c r="I314" s="2" t="s">
        <v>1216</v>
      </c>
    </row>
    <row r="315" ht="15.75" customHeight="1">
      <c r="A315" s="1" t="s">
        <v>79</v>
      </c>
      <c r="B315" s="2" t="s">
        <v>161</v>
      </c>
      <c r="C315" s="2" t="s">
        <v>698</v>
      </c>
      <c r="D315" s="2">
        <v>1807.14</v>
      </c>
      <c r="E315" s="2">
        <v>5.0</v>
      </c>
      <c r="F315" s="2">
        <v>9035.7</v>
      </c>
      <c r="G315" s="2" t="s">
        <v>1217</v>
      </c>
      <c r="H315" s="2" t="s">
        <v>1218</v>
      </c>
      <c r="I315" s="2" t="s">
        <v>1219</v>
      </c>
    </row>
    <row r="316" ht="15.75" customHeight="1">
      <c r="A316" s="1" t="s">
        <v>1220</v>
      </c>
      <c r="B316" s="2" t="s">
        <v>27</v>
      </c>
      <c r="C316" s="2" t="s">
        <v>33</v>
      </c>
      <c r="D316" s="2">
        <v>1175.45</v>
      </c>
      <c r="E316" s="2">
        <v>5.0</v>
      </c>
      <c r="F316" s="2">
        <v>5877.25</v>
      </c>
      <c r="G316" s="2" t="s">
        <v>1221</v>
      </c>
      <c r="H316" s="2" t="s">
        <v>1222</v>
      </c>
      <c r="I316" s="2" t="s">
        <v>1223</v>
      </c>
    </row>
    <row r="317" ht="15.75" customHeight="1">
      <c r="A317" s="1" t="s">
        <v>200</v>
      </c>
      <c r="B317" s="2" t="s">
        <v>16</v>
      </c>
      <c r="C317" s="2" t="s">
        <v>135</v>
      </c>
      <c r="D317" s="2">
        <v>177.74</v>
      </c>
      <c r="E317" s="2">
        <v>4.0</v>
      </c>
      <c r="F317" s="2">
        <v>710.96</v>
      </c>
      <c r="G317" s="2" t="s">
        <v>1224</v>
      </c>
      <c r="H317" s="2" t="s">
        <v>1225</v>
      </c>
      <c r="I317" s="2" t="s">
        <v>1226</v>
      </c>
    </row>
    <row r="318" ht="15.75" customHeight="1">
      <c r="A318" s="1" t="s">
        <v>125</v>
      </c>
      <c r="B318" s="2" t="s">
        <v>793</v>
      </c>
      <c r="C318" s="2" t="s">
        <v>17</v>
      </c>
      <c r="D318" s="2">
        <v>1220.85</v>
      </c>
      <c r="E318" s="2">
        <v>1.0</v>
      </c>
      <c r="F318" s="2">
        <v>1220.85</v>
      </c>
      <c r="G318" s="2" t="s">
        <v>1227</v>
      </c>
      <c r="H318" s="2" t="s">
        <v>1228</v>
      </c>
      <c r="I318" s="2" t="s">
        <v>1229</v>
      </c>
    </row>
    <row r="319" ht="15.75" customHeight="1">
      <c r="A319" s="1" t="s">
        <v>781</v>
      </c>
      <c r="B319" s="2" t="s">
        <v>27</v>
      </c>
      <c r="C319" s="2" t="s">
        <v>250</v>
      </c>
      <c r="D319" s="2">
        <v>1866.74</v>
      </c>
      <c r="E319" s="2">
        <v>4.0</v>
      </c>
      <c r="F319" s="2">
        <v>7466.96</v>
      </c>
      <c r="G319" s="2" t="s">
        <v>1230</v>
      </c>
      <c r="H319" s="2" t="s">
        <v>1231</v>
      </c>
      <c r="I319" s="2" t="s">
        <v>1232</v>
      </c>
    </row>
    <row r="320" ht="15.75" customHeight="1">
      <c r="A320" s="1" t="s">
        <v>1233</v>
      </c>
      <c r="B320" s="2" t="s">
        <v>50</v>
      </c>
      <c r="C320" s="2" t="s">
        <v>152</v>
      </c>
      <c r="D320" s="2">
        <v>1363.09</v>
      </c>
      <c r="E320" s="2">
        <v>5.0</v>
      </c>
      <c r="F320" s="2">
        <v>6815.45</v>
      </c>
      <c r="G320" s="2" t="s">
        <v>1234</v>
      </c>
      <c r="H320" s="2" t="s">
        <v>1235</v>
      </c>
      <c r="I320" s="2" t="s">
        <v>1236</v>
      </c>
    </row>
    <row r="321" ht="15.75" customHeight="1">
      <c r="A321" s="1" t="s">
        <v>583</v>
      </c>
      <c r="B321" s="2" t="s">
        <v>27</v>
      </c>
      <c r="C321" s="2" t="s">
        <v>500</v>
      </c>
      <c r="D321" s="2">
        <v>720.63</v>
      </c>
      <c r="E321" s="2">
        <v>1.0</v>
      </c>
      <c r="F321" s="2">
        <v>720.63</v>
      </c>
      <c r="G321" s="2" t="s">
        <v>1237</v>
      </c>
      <c r="H321" s="2" t="s">
        <v>1238</v>
      </c>
      <c r="I321" s="2" t="s">
        <v>1239</v>
      </c>
    </row>
    <row r="322" ht="15.75" customHeight="1">
      <c r="A322" s="1" t="s">
        <v>939</v>
      </c>
      <c r="B322" s="2" t="s">
        <v>85</v>
      </c>
      <c r="C322" s="2" t="s">
        <v>162</v>
      </c>
      <c r="D322" s="2">
        <v>1719.53</v>
      </c>
      <c r="E322" s="2">
        <v>2.0</v>
      </c>
      <c r="F322" s="2">
        <v>3439.06</v>
      </c>
      <c r="G322" s="2" t="s">
        <v>1240</v>
      </c>
      <c r="H322" s="2" t="s">
        <v>1241</v>
      </c>
      <c r="I322" s="2" t="s">
        <v>1242</v>
      </c>
    </row>
    <row r="323" ht="15.75" customHeight="1">
      <c r="A323" s="1" t="s">
        <v>631</v>
      </c>
      <c r="B323" s="2" t="s">
        <v>101</v>
      </c>
      <c r="C323" s="2" t="s">
        <v>33</v>
      </c>
      <c r="D323" s="2">
        <v>2484.74</v>
      </c>
      <c r="E323" s="2">
        <v>5.0</v>
      </c>
      <c r="F323" s="2">
        <v>12423.7</v>
      </c>
      <c r="G323" s="2" t="s">
        <v>1243</v>
      </c>
      <c r="H323" s="2" t="s">
        <v>1244</v>
      </c>
      <c r="I323" s="2" t="s">
        <v>1245</v>
      </c>
    </row>
    <row r="324" ht="15.75" customHeight="1">
      <c r="A324" s="1" t="s">
        <v>1022</v>
      </c>
      <c r="B324" s="2" t="s">
        <v>85</v>
      </c>
      <c r="C324" s="2" t="s">
        <v>235</v>
      </c>
      <c r="D324" s="2">
        <v>2437.77</v>
      </c>
      <c r="E324" s="2">
        <v>2.0</v>
      </c>
      <c r="F324" s="2">
        <v>4875.54</v>
      </c>
      <c r="G324" s="2" t="s">
        <v>1246</v>
      </c>
      <c r="H324" s="2" t="s">
        <v>1247</v>
      </c>
      <c r="I324" s="2" t="s">
        <v>1248</v>
      </c>
    </row>
    <row r="325" ht="15.75" customHeight="1">
      <c r="A325" s="1" t="s">
        <v>1249</v>
      </c>
      <c r="B325" s="2" t="s">
        <v>38</v>
      </c>
      <c r="C325" s="2" t="s">
        <v>250</v>
      </c>
      <c r="D325" s="2">
        <v>702.77</v>
      </c>
      <c r="E325" s="2">
        <v>3.0</v>
      </c>
      <c r="F325" s="2">
        <v>2108.31</v>
      </c>
      <c r="G325" s="2" t="s">
        <v>1250</v>
      </c>
      <c r="H325" s="2" t="s">
        <v>1251</v>
      </c>
      <c r="I325" s="2" t="s">
        <v>1252</v>
      </c>
    </row>
    <row r="326" ht="15.75" customHeight="1">
      <c r="A326" s="1" t="s">
        <v>1253</v>
      </c>
      <c r="B326" s="2" t="s">
        <v>85</v>
      </c>
      <c r="C326" s="2" t="s">
        <v>508</v>
      </c>
      <c r="D326" s="2">
        <v>284.79</v>
      </c>
      <c r="E326" s="2">
        <v>5.0</v>
      </c>
      <c r="F326" s="2">
        <v>1423.95</v>
      </c>
      <c r="G326" s="2" t="s">
        <v>1254</v>
      </c>
      <c r="H326" s="2" t="s">
        <v>1255</v>
      </c>
      <c r="I326" s="2" t="s">
        <v>1256</v>
      </c>
    </row>
    <row r="327" ht="15.75" customHeight="1">
      <c r="A327" s="1" t="s">
        <v>1091</v>
      </c>
      <c r="B327" s="2" t="s">
        <v>85</v>
      </c>
      <c r="C327" s="2" t="s">
        <v>91</v>
      </c>
      <c r="D327" s="2">
        <v>824.79</v>
      </c>
      <c r="E327" s="2">
        <v>4.0</v>
      </c>
      <c r="F327" s="2">
        <v>3299.16</v>
      </c>
      <c r="G327" s="2" t="s">
        <v>1257</v>
      </c>
      <c r="H327" s="2" t="s">
        <v>1258</v>
      </c>
      <c r="I327" s="2" t="s">
        <v>1259</v>
      </c>
    </row>
    <row r="328" ht="15.75" customHeight="1">
      <c r="A328" s="1" t="s">
        <v>84</v>
      </c>
      <c r="B328" s="2" t="s">
        <v>50</v>
      </c>
      <c r="C328" s="2" t="s">
        <v>22</v>
      </c>
      <c r="D328" s="2">
        <v>616.36</v>
      </c>
      <c r="E328" s="2">
        <v>4.0</v>
      </c>
      <c r="F328" s="2">
        <v>2465.44</v>
      </c>
      <c r="G328" s="2" t="s">
        <v>1260</v>
      </c>
      <c r="H328" s="2" t="s">
        <v>1261</v>
      </c>
      <c r="I328" s="2" t="s">
        <v>1262</v>
      </c>
    </row>
    <row r="329" ht="15.75" customHeight="1">
      <c r="A329" s="1" t="s">
        <v>285</v>
      </c>
      <c r="B329" s="2" t="s">
        <v>101</v>
      </c>
      <c r="C329" s="2" t="s">
        <v>39</v>
      </c>
      <c r="D329" s="2">
        <v>1501.95</v>
      </c>
      <c r="E329" s="2">
        <v>2.0</v>
      </c>
      <c r="F329" s="2">
        <v>3003.9</v>
      </c>
      <c r="G329" s="2" t="s">
        <v>1263</v>
      </c>
      <c r="H329" s="2" t="s">
        <v>1264</v>
      </c>
      <c r="I329" s="2" t="s">
        <v>1265</v>
      </c>
    </row>
    <row r="330" ht="15.75" customHeight="1">
      <c r="A330" s="1" t="s">
        <v>627</v>
      </c>
      <c r="B330" s="2" t="s">
        <v>101</v>
      </c>
      <c r="C330" s="2" t="s">
        <v>206</v>
      </c>
      <c r="D330" s="2">
        <v>1429.89</v>
      </c>
      <c r="E330" s="2">
        <v>4.0</v>
      </c>
      <c r="F330" s="2">
        <v>5719.56</v>
      </c>
      <c r="G330" s="2" t="s">
        <v>1266</v>
      </c>
      <c r="H330" s="2" t="s">
        <v>1267</v>
      </c>
      <c r="I330" s="2" t="s">
        <v>1268</v>
      </c>
    </row>
    <row r="331" ht="15.75" customHeight="1">
      <c r="A331" s="1" t="s">
        <v>1269</v>
      </c>
      <c r="B331" s="2" t="s">
        <v>101</v>
      </c>
      <c r="C331" s="2" t="s">
        <v>96</v>
      </c>
      <c r="D331" s="2">
        <v>1662.81</v>
      </c>
      <c r="E331" s="2">
        <v>5.0</v>
      </c>
      <c r="F331" s="2">
        <v>8314.05</v>
      </c>
      <c r="G331" s="2" t="s">
        <v>1270</v>
      </c>
      <c r="H331" s="2" t="s">
        <v>1271</v>
      </c>
      <c r="I331" s="2" t="s">
        <v>1272</v>
      </c>
    </row>
    <row r="332" ht="15.75" customHeight="1">
      <c r="A332" s="1" t="s">
        <v>90</v>
      </c>
      <c r="B332" s="2" t="s">
        <v>85</v>
      </c>
      <c r="C332" s="2" t="s">
        <v>96</v>
      </c>
      <c r="D332" s="2">
        <v>379.11</v>
      </c>
      <c r="E332" s="2">
        <v>1.0</v>
      </c>
      <c r="F332" s="2">
        <v>379.11</v>
      </c>
      <c r="G332" s="2" t="s">
        <v>1273</v>
      </c>
      <c r="H332" s="2" t="s">
        <v>1274</v>
      </c>
      <c r="I332" s="2" t="s">
        <v>1275</v>
      </c>
    </row>
    <row r="333" ht="15.75" customHeight="1">
      <c r="A333" s="1" t="s">
        <v>687</v>
      </c>
      <c r="B333" s="2" t="s">
        <v>38</v>
      </c>
      <c r="C333" s="2" t="s">
        <v>96</v>
      </c>
      <c r="D333" s="2">
        <v>2242.24</v>
      </c>
      <c r="E333" s="2">
        <v>1.0</v>
      </c>
      <c r="F333" s="2">
        <v>2242.24</v>
      </c>
      <c r="G333" s="2" t="s">
        <v>1276</v>
      </c>
      <c r="H333" s="2" t="s">
        <v>1277</v>
      </c>
      <c r="I333" s="2" t="s">
        <v>1278</v>
      </c>
    </row>
    <row r="334" ht="15.75" customHeight="1">
      <c r="A334" s="1" t="s">
        <v>1279</v>
      </c>
      <c r="B334" s="2" t="s">
        <v>16</v>
      </c>
      <c r="C334" s="2" t="s">
        <v>369</v>
      </c>
      <c r="D334" s="2">
        <v>1402.2</v>
      </c>
      <c r="E334" s="2">
        <v>5.0</v>
      </c>
      <c r="F334" s="2">
        <v>7011.0</v>
      </c>
      <c r="G334" s="2" t="s">
        <v>1280</v>
      </c>
      <c r="H334" s="2" t="s">
        <v>1281</v>
      </c>
      <c r="I334" s="2" t="s">
        <v>1282</v>
      </c>
    </row>
    <row r="335" ht="15.75" customHeight="1">
      <c r="A335" s="1" t="s">
        <v>903</v>
      </c>
      <c r="B335" s="2" t="s">
        <v>27</v>
      </c>
      <c r="C335" s="2" t="s">
        <v>360</v>
      </c>
      <c r="D335" s="2">
        <v>214.72</v>
      </c>
      <c r="E335" s="2">
        <v>3.0</v>
      </c>
      <c r="F335" s="2">
        <v>644.16</v>
      </c>
      <c r="G335" s="2" t="s">
        <v>1283</v>
      </c>
      <c r="H335" s="2" t="s">
        <v>1284</v>
      </c>
      <c r="I335" s="2" t="s">
        <v>1285</v>
      </c>
    </row>
    <row r="336" ht="15.75" customHeight="1">
      <c r="A336" s="1" t="s">
        <v>401</v>
      </c>
      <c r="B336" s="2" t="s">
        <v>101</v>
      </c>
      <c r="C336" s="2" t="s">
        <v>75</v>
      </c>
      <c r="D336" s="2">
        <v>1017.27</v>
      </c>
      <c r="E336" s="2">
        <v>1.0</v>
      </c>
      <c r="F336" s="2">
        <v>1017.27</v>
      </c>
      <c r="G336" s="2" t="s">
        <v>1286</v>
      </c>
      <c r="H336" s="2" t="s">
        <v>1287</v>
      </c>
      <c r="I336" s="2" t="s">
        <v>1288</v>
      </c>
    </row>
    <row r="337" ht="15.75" customHeight="1">
      <c r="A337" s="1" t="s">
        <v>409</v>
      </c>
      <c r="B337" s="2" t="s">
        <v>101</v>
      </c>
      <c r="C337" s="2" t="s">
        <v>206</v>
      </c>
      <c r="D337" s="2">
        <v>1640.14</v>
      </c>
      <c r="E337" s="2">
        <v>5.0</v>
      </c>
      <c r="F337" s="2">
        <v>8200.7</v>
      </c>
      <c r="G337" s="2" t="s">
        <v>1289</v>
      </c>
      <c r="H337" s="2" t="s">
        <v>1290</v>
      </c>
      <c r="I337" s="2" t="s">
        <v>1291</v>
      </c>
    </row>
    <row r="338" ht="15.75" customHeight="1">
      <c r="A338" s="1" t="s">
        <v>276</v>
      </c>
      <c r="B338" s="2" t="s">
        <v>38</v>
      </c>
      <c r="C338" s="2" t="s">
        <v>11</v>
      </c>
      <c r="D338" s="2">
        <v>793.37</v>
      </c>
      <c r="E338" s="2">
        <v>2.0</v>
      </c>
      <c r="F338" s="2">
        <v>1586.74</v>
      </c>
      <c r="G338" s="2" t="s">
        <v>1292</v>
      </c>
      <c r="H338" s="2" t="s">
        <v>1293</v>
      </c>
      <c r="I338" s="2" t="s">
        <v>1294</v>
      </c>
    </row>
    <row r="339" ht="15.75" customHeight="1">
      <c r="A339" s="1" t="s">
        <v>939</v>
      </c>
      <c r="B339" s="2" t="s">
        <v>16</v>
      </c>
      <c r="C339" s="2" t="s">
        <v>206</v>
      </c>
      <c r="D339" s="2">
        <v>861.73</v>
      </c>
      <c r="E339" s="2">
        <v>5.0</v>
      </c>
      <c r="F339" s="2">
        <v>4308.65</v>
      </c>
      <c r="G339" s="2" t="s">
        <v>1295</v>
      </c>
      <c r="H339" s="2" t="s">
        <v>1296</v>
      </c>
      <c r="I339" s="2" t="s">
        <v>1297</v>
      </c>
    </row>
    <row r="340" ht="15.75" customHeight="1">
      <c r="A340" s="1" t="s">
        <v>1011</v>
      </c>
      <c r="B340" s="2" t="s">
        <v>85</v>
      </c>
      <c r="C340" s="2" t="s">
        <v>369</v>
      </c>
      <c r="D340" s="2">
        <v>2264.15</v>
      </c>
      <c r="E340" s="2">
        <v>5.0</v>
      </c>
      <c r="F340" s="2">
        <v>11320.75</v>
      </c>
      <c r="G340" s="2" t="s">
        <v>1298</v>
      </c>
      <c r="H340" s="2" t="s">
        <v>1299</v>
      </c>
      <c r="I340" s="2" t="s">
        <v>1300</v>
      </c>
    </row>
    <row r="341" ht="15.75" customHeight="1">
      <c r="A341" s="4" t="s">
        <v>1301</v>
      </c>
      <c r="B341" s="2" t="s">
        <v>16</v>
      </c>
      <c r="C341" s="2" t="s">
        <v>11</v>
      </c>
      <c r="D341" s="2">
        <v>226.25</v>
      </c>
      <c r="E341" s="2">
        <v>2.0</v>
      </c>
      <c r="G341" s="2" t="s">
        <v>1302</v>
      </c>
      <c r="H341" s="2" t="s">
        <v>1303</v>
      </c>
      <c r="I341" s="2" t="s">
        <v>1304</v>
      </c>
    </row>
    <row r="342" ht="15.75" customHeight="1">
      <c r="A342" s="1" t="s">
        <v>836</v>
      </c>
      <c r="B342" s="2" t="s">
        <v>27</v>
      </c>
      <c r="C342" s="2" t="s">
        <v>28</v>
      </c>
      <c r="D342" s="2">
        <v>720.31</v>
      </c>
      <c r="E342" s="2">
        <v>3.0</v>
      </c>
      <c r="F342" s="2">
        <v>2160.93</v>
      </c>
      <c r="G342" s="2" t="s">
        <v>1305</v>
      </c>
      <c r="H342" s="2" t="s">
        <v>1306</v>
      </c>
      <c r="I342" s="2" t="s">
        <v>1307</v>
      </c>
    </row>
    <row r="343" ht="15.75" customHeight="1">
      <c r="A343" s="1" t="s">
        <v>1189</v>
      </c>
      <c r="B343" s="2" t="s">
        <v>27</v>
      </c>
      <c r="C343" s="2" t="s">
        <v>116</v>
      </c>
      <c r="D343" s="2">
        <v>1620.89</v>
      </c>
      <c r="E343" s="2">
        <v>3.0</v>
      </c>
      <c r="F343" s="2">
        <v>4862.67</v>
      </c>
      <c r="G343" s="2" t="s">
        <v>1308</v>
      </c>
      <c r="H343" s="2" t="s">
        <v>1309</v>
      </c>
      <c r="I343" s="2" t="s">
        <v>1310</v>
      </c>
    </row>
    <row r="344" ht="15.75" customHeight="1">
      <c r="A344" s="5" t="s">
        <v>1311</v>
      </c>
      <c r="B344" s="2" t="s">
        <v>16</v>
      </c>
      <c r="C344" s="2" t="s">
        <v>28</v>
      </c>
      <c r="D344" s="2">
        <v>1912.83</v>
      </c>
      <c r="E344" s="2">
        <v>2.0</v>
      </c>
      <c r="F344" s="2">
        <v>3825.66</v>
      </c>
      <c r="G344" s="2" t="s">
        <v>1312</v>
      </c>
      <c r="H344" s="2" t="s">
        <v>1313</v>
      </c>
      <c r="I344" s="2" t="s">
        <v>1314</v>
      </c>
    </row>
    <row r="345" ht="15.75" customHeight="1">
      <c r="A345" s="1" t="s">
        <v>160</v>
      </c>
      <c r="B345" s="2" t="s">
        <v>101</v>
      </c>
      <c r="C345" s="2" t="s">
        <v>311</v>
      </c>
      <c r="D345" s="2">
        <v>1168.3</v>
      </c>
      <c r="E345" s="2">
        <v>3.0</v>
      </c>
      <c r="F345" s="2">
        <v>3504.9</v>
      </c>
      <c r="G345" s="2" t="s">
        <v>1315</v>
      </c>
      <c r="H345" s="2" t="s">
        <v>1316</v>
      </c>
      <c r="I345" s="2" t="s">
        <v>1317</v>
      </c>
    </row>
    <row r="346" ht="15.75" customHeight="1">
      <c r="A346" s="4" t="s">
        <v>1022</v>
      </c>
      <c r="B346" s="2" t="s">
        <v>38</v>
      </c>
      <c r="C346" s="2" t="s">
        <v>397</v>
      </c>
      <c r="D346" s="2">
        <v>1281.78</v>
      </c>
      <c r="E346" s="2">
        <v>3.0</v>
      </c>
      <c r="F346" s="2">
        <v>3845.34</v>
      </c>
      <c r="G346" s="2" t="s">
        <v>1318</v>
      </c>
      <c r="H346" s="2" t="s">
        <v>1319</v>
      </c>
      <c r="I346" s="2" t="s">
        <v>1320</v>
      </c>
    </row>
    <row r="347" ht="15.75" customHeight="1">
      <c r="A347" s="4" t="s">
        <v>1301</v>
      </c>
      <c r="B347" s="2" t="s">
        <v>38</v>
      </c>
      <c r="C347" s="2" t="s">
        <v>70</v>
      </c>
      <c r="D347" s="2">
        <v>1656.61</v>
      </c>
      <c r="E347" s="2">
        <v>3.0</v>
      </c>
      <c r="F347" s="2">
        <v>4969.83</v>
      </c>
      <c r="G347" s="2" t="s">
        <v>1321</v>
      </c>
      <c r="H347" s="2" t="s">
        <v>1322</v>
      </c>
      <c r="I347" s="2" t="s">
        <v>1323</v>
      </c>
    </row>
    <row r="348" ht="15.75" customHeight="1">
      <c r="A348" s="1" t="s">
        <v>276</v>
      </c>
      <c r="B348" s="2" t="s">
        <v>38</v>
      </c>
      <c r="C348" s="2" t="s">
        <v>91</v>
      </c>
      <c r="D348" s="2">
        <v>2030.7</v>
      </c>
      <c r="E348" s="2">
        <v>2.0</v>
      </c>
      <c r="F348" s="2">
        <v>4061.4</v>
      </c>
      <c r="G348" s="2" t="s">
        <v>1324</v>
      </c>
      <c r="H348" s="2" t="s">
        <v>1325</v>
      </c>
      <c r="I348" s="2" t="s">
        <v>1326</v>
      </c>
    </row>
    <row r="349" ht="15.75" customHeight="1">
      <c r="A349" s="1" t="s">
        <v>1058</v>
      </c>
      <c r="B349" s="2" t="s">
        <v>38</v>
      </c>
      <c r="C349" s="2" t="s">
        <v>147</v>
      </c>
      <c r="D349" s="2">
        <v>649.99</v>
      </c>
      <c r="E349" s="2">
        <v>2.0</v>
      </c>
      <c r="F349" s="2">
        <v>1299.98</v>
      </c>
      <c r="G349" s="2" t="s">
        <v>1327</v>
      </c>
      <c r="H349" s="2" t="s">
        <v>1328</v>
      </c>
      <c r="I349" s="2" t="s">
        <v>1329</v>
      </c>
    </row>
    <row r="350" ht="15.75" customHeight="1">
      <c r="A350" s="1" t="s">
        <v>15</v>
      </c>
      <c r="B350" s="2" t="s">
        <v>27</v>
      </c>
      <c r="C350" s="2" t="s">
        <v>45</v>
      </c>
      <c r="D350" s="2">
        <v>68.0</v>
      </c>
      <c r="E350" s="2">
        <v>3.0</v>
      </c>
      <c r="F350" s="2">
        <v>204.0</v>
      </c>
      <c r="G350" s="2" t="s">
        <v>1330</v>
      </c>
      <c r="H350" s="2" t="s">
        <v>1331</v>
      </c>
      <c r="I350" s="2" t="s">
        <v>1332</v>
      </c>
    </row>
    <row r="351" ht="15.75" customHeight="1">
      <c r="A351" s="1" t="s">
        <v>877</v>
      </c>
      <c r="B351" s="2" t="s">
        <v>85</v>
      </c>
      <c r="C351" s="2" t="s">
        <v>369</v>
      </c>
      <c r="D351" s="2">
        <v>348.21</v>
      </c>
      <c r="E351" s="2">
        <v>5.0</v>
      </c>
      <c r="F351" s="2">
        <v>1741.05</v>
      </c>
      <c r="G351" s="2" t="s">
        <v>1333</v>
      </c>
      <c r="H351" s="2" t="s">
        <v>1334</v>
      </c>
      <c r="I351" s="2" t="s">
        <v>1335</v>
      </c>
    </row>
    <row r="352" ht="15.75" customHeight="1">
      <c r="A352" s="4" t="s">
        <v>327</v>
      </c>
      <c r="B352" s="2" t="s">
        <v>101</v>
      </c>
      <c r="C352" s="2" t="s">
        <v>91</v>
      </c>
      <c r="D352" s="2">
        <v>782.8</v>
      </c>
      <c r="E352" s="2">
        <v>2.0</v>
      </c>
      <c r="F352" s="2">
        <v>1565.6</v>
      </c>
      <c r="G352" s="2" t="s">
        <v>1336</v>
      </c>
      <c r="H352" s="2" t="s">
        <v>1337</v>
      </c>
      <c r="I352" s="2" t="s">
        <v>1338</v>
      </c>
    </row>
    <row r="353" ht="15.75" customHeight="1">
      <c r="A353" s="1" t="s">
        <v>298</v>
      </c>
      <c r="B353" s="2" t="s">
        <v>50</v>
      </c>
      <c r="C353" s="2" t="s">
        <v>86</v>
      </c>
      <c r="D353" s="2">
        <v>2393.92</v>
      </c>
      <c r="E353" s="2">
        <v>3.0</v>
      </c>
      <c r="F353" s="2">
        <v>7181.76</v>
      </c>
      <c r="G353" s="2" t="s">
        <v>1339</v>
      </c>
      <c r="H353" s="2" t="s">
        <v>1340</v>
      </c>
      <c r="I353" s="2" t="s">
        <v>1341</v>
      </c>
    </row>
    <row r="354" ht="15.75" customHeight="1">
      <c r="A354" s="4" t="s">
        <v>1342</v>
      </c>
      <c r="B354" s="2" t="s">
        <v>27</v>
      </c>
      <c r="C354" s="2" t="s">
        <v>348</v>
      </c>
      <c r="D354" s="2">
        <v>825.08</v>
      </c>
      <c r="E354" s="2">
        <v>4.0</v>
      </c>
      <c r="F354" s="2">
        <v>3300.32</v>
      </c>
      <c r="G354" s="2" t="s">
        <v>1343</v>
      </c>
      <c r="H354" s="2" t="s">
        <v>1344</v>
      </c>
      <c r="I354" s="2" t="s">
        <v>1345</v>
      </c>
    </row>
    <row r="355" ht="15.75" customHeight="1">
      <c r="A355" s="4" t="s">
        <v>949</v>
      </c>
      <c r="B355" s="2" t="s">
        <v>27</v>
      </c>
      <c r="C355" s="2" t="s">
        <v>11</v>
      </c>
      <c r="D355" s="2">
        <v>2323.09</v>
      </c>
      <c r="E355" s="2">
        <v>1.0</v>
      </c>
      <c r="F355" s="2">
        <v>2323.09</v>
      </c>
      <c r="G355" s="2" t="s">
        <v>1346</v>
      </c>
      <c r="H355" s="2" t="s">
        <v>1347</v>
      </c>
      <c r="I355" s="2" t="s">
        <v>1348</v>
      </c>
    </row>
    <row r="356" ht="15.75" customHeight="1">
      <c r="A356" s="1" t="s">
        <v>356</v>
      </c>
      <c r="B356" s="2" t="s">
        <v>101</v>
      </c>
      <c r="C356" s="2" t="s">
        <v>1015</v>
      </c>
      <c r="D356" s="2">
        <v>1518.43</v>
      </c>
      <c r="E356" s="2">
        <v>5.0</v>
      </c>
      <c r="F356" s="2">
        <v>7592.15</v>
      </c>
      <c r="G356" s="2" t="s">
        <v>1349</v>
      </c>
      <c r="H356" s="2" t="s">
        <v>1350</v>
      </c>
      <c r="I356" s="2" t="s">
        <v>1351</v>
      </c>
    </row>
    <row r="357" ht="15.75" customHeight="1">
      <c r="A357" s="4" t="s">
        <v>1068</v>
      </c>
      <c r="B357" s="2" t="s">
        <v>27</v>
      </c>
      <c r="C357" s="2" t="s">
        <v>45</v>
      </c>
      <c r="D357" s="2">
        <v>1779.15</v>
      </c>
      <c r="E357" s="2">
        <v>5.0</v>
      </c>
      <c r="F357" s="2">
        <v>8895.75</v>
      </c>
      <c r="G357" s="2" t="s">
        <v>1352</v>
      </c>
      <c r="H357" s="2" t="s">
        <v>1353</v>
      </c>
      <c r="I357" s="2" t="s">
        <v>1354</v>
      </c>
    </row>
    <row r="358" ht="15.75" customHeight="1">
      <c r="A358" s="1" t="s">
        <v>1209</v>
      </c>
      <c r="B358" s="2" t="s">
        <v>85</v>
      </c>
      <c r="C358" s="2" t="s">
        <v>11</v>
      </c>
      <c r="D358" s="2">
        <v>1051.49</v>
      </c>
      <c r="E358" s="2">
        <v>3.0</v>
      </c>
      <c r="F358" s="2">
        <v>3154.47</v>
      </c>
      <c r="G358" s="2" t="s">
        <v>1355</v>
      </c>
      <c r="H358" s="2" t="s">
        <v>1356</v>
      </c>
      <c r="I358" s="2" t="s">
        <v>1357</v>
      </c>
    </row>
    <row r="359" ht="15.75" customHeight="1">
      <c r="A359" s="1" t="s">
        <v>1358</v>
      </c>
      <c r="B359" s="2" t="s">
        <v>161</v>
      </c>
      <c r="C359" s="2" t="s">
        <v>55</v>
      </c>
      <c r="D359" s="2">
        <v>1014.61</v>
      </c>
      <c r="E359" s="2">
        <v>2.0</v>
      </c>
      <c r="F359" s="2">
        <v>2029.22</v>
      </c>
      <c r="G359" s="2" t="s">
        <v>1359</v>
      </c>
      <c r="H359" s="2" t="s">
        <v>1360</v>
      </c>
      <c r="I359" s="2" t="s">
        <v>1361</v>
      </c>
    </row>
    <row r="360" ht="15.75" customHeight="1">
      <c r="A360" s="4" t="s">
        <v>1301</v>
      </c>
      <c r="B360" s="2" t="s">
        <v>16</v>
      </c>
      <c r="C360" s="2" t="s">
        <v>452</v>
      </c>
      <c r="D360" s="2">
        <v>1745.0</v>
      </c>
      <c r="E360" s="2">
        <v>5.0</v>
      </c>
      <c r="F360" s="2">
        <v>8725.0</v>
      </c>
      <c r="G360" s="2" t="s">
        <v>1362</v>
      </c>
      <c r="H360" s="2" t="s">
        <v>1363</v>
      </c>
      <c r="I360" s="2" t="s">
        <v>1364</v>
      </c>
    </row>
    <row r="361" ht="15.75" customHeight="1">
      <c r="A361" s="1" t="s">
        <v>579</v>
      </c>
      <c r="B361" s="2" t="s">
        <v>101</v>
      </c>
      <c r="C361" s="2" t="s">
        <v>33</v>
      </c>
      <c r="D361" s="2">
        <v>1273.61</v>
      </c>
      <c r="E361" s="2">
        <v>4.0</v>
      </c>
      <c r="F361" s="2">
        <v>5094.44</v>
      </c>
      <c r="G361" s="2" t="s">
        <v>1365</v>
      </c>
      <c r="H361" s="2" t="s">
        <v>1366</v>
      </c>
      <c r="I361" s="2" t="s">
        <v>1367</v>
      </c>
    </row>
    <row r="362" ht="15.75" customHeight="1">
      <c r="A362" s="4" t="s">
        <v>1368</v>
      </c>
      <c r="B362" s="2" t="s">
        <v>101</v>
      </c>
      <c r="C362" s="2" t="s">
        <v>348</v>
      </c>
      <c r="D362" s="2">
        <v>1361.77</v>
      </c>
      <c r="E362" s="2">
        <v>2.0</v>
      </c>
      <c r="F362" s="2">
        <v>2723.54</v>
      </c>
      <c r="G362" s="2" t="s">
        <v>1369</v>
      </c>
      <c r="H362" s="2" t="s">
        <v>1370</v>
      </c>
      <c r="I362" s="2" t="s">
        <v>1371</v>
      </c>
    </row>
    <row r="363" ht="15.75" customHeight="1">
      <c r="A363" s="1" t="s">
        <v>1372</v>
      </c>
      <c r="B363" s="2" t="s">
        <v>101</v>
      </c>
      <c r="C363" s="2" t="s">
        <v>80</v>
      </c>
      <c r="D363" s="2">
        <v>1710.52</v>
      </c>
      <c r="E363" s="2">
        <v>2.0</v>
      </c>
      <c r="F363" s="2">
        <v>3421.04</v>
      </c>
      <c r="G363" s="2" t="s">
        <v>1373</v>
      </c>
      <c r="H363" s="2" t="s">
        <v>1374</v>
      </c>
      <c r="I363" s="2" t="s">
        <v>1375</v>
      </c>
    </row>
    <row r="364" ht="15.75" customHeight="1">
      <c r="A364" s="1" t="s">
        <v>866</v>
      </c>
      <c r="B364" s="2" t="s">
        <v>50</v>
      </c>
      <c r="C364" s="2" t="s">
        <v>96</v>
      </c>
      <c r="D364" s="2">
        <v>412.36</v>
      </c>
      <c r="E364" s="2">
        <v>4.0</v>
      </c>
      <c r="F364" s="2">
        <v>1649.44</v>
      </c>
      <c r="G364" s="2" t="s">
        <v>1376</v>
      </c>
      <c r="H364" s="2" t="s">
        <v>1377</v>
      </c>
      <c r="I364" s="2" t="s">
        <v>1378</v>
      </c>
    </row>
    <row r="365" ht="15.75" customHeight="1">
      <c r="A365" s="4" t="s">
        <v>899</v>
      </c>
      <c r="B365" s="2" t="s">
        <v>38</v>
      </c>
      <c r="C365" s="2" t="s">
        <v>385</v>
      </c>
      <c r="D365" s="2">
        <v>718.45</v>
      </c>
      <c r="E365" s="2">
        <v>1.0</v>
      </c>
      <c r="F365" s="2">
        <v>718.45</v>
      </c>
      <c r="G365" s="2" t="s">
        <v>1379</v>
      </c>
      <c r="H365" s="2" t="s">
        <v>1380</v>
      </c>
      <c r="I365" s="2" t="s">
        <v>1381</v>
      </c>
    </row>
    <row r="366" ht="15.75" customHeight="1">
      <c r="A366" s="1" t="s">
        <v>1035</v>
      </c>
      <c r="B366" s="2" t="s">
        <v>16</v>
      </c>
      <c r="C366" s="2" t="s">
        <v>147</v>
      </c>
      <c r="D366" s="2">
        <v>1141.88</v>
      </c>
      <c r="E366" s="2">
        <v>5.0</v>
      </c>
      <c r="F366" s="2">
        <v>5709.4</v>
      </c>
      <c r="G366" s="2" t="s">
        <v>1382</v>
      </c>
      <c r="H366" s="2" t="s">
        <v>1383</v>
      </c>
      <c r="I366" s="2" t="s">
        <v>1384</v>
      </c>
    </row>
    <row r="367" ht="15.75" customHeight="1">
      <c r="A367" s="4" t="s">
        <v>907</v>
      </c>
      <c r="B367" s="2" t="s">
        <v>16</v>
      </c>
      <c r="C367" s="2" t="s">
        <v>86</v>
      </c>
      <c r="D367" s="2">
        <v>345.81</v>
      </c>
      <c r="E367" s="2">
        <v>3.0</v>
      </c>
      <c r="F367" s="2">
        <v>1037.43</v>
      </c>
      <c r="G367" s="2" t="s">
        <v>1385</v>
      </c>
      <c r="H367" s="2" t="s">
        <v>1386</v>
      </c>
      <c r="I367" s="2" t="s">
        <v>1387</v>
      </c>
    </row>
    <row r="368" ht="15.75" customHeight="1">
      <c r="A368" s="4" t="s">
        <v>1388</v>
      </c>
      <c r="B368" s="2" t="s">
        <v>16</v>
      </c>
      <c r="C368" s="2" t="s">
        <v>201</v>
      </c>
      <c r="D368" s="2">
        <v>1602.14</v>
      </c>
      <c r="E368" s="2">
        <v>5.0</v>
      </c>
      <c r="F368" s="2">
        <v>8010.7</v>
      </c>
      <c r="G368" s="2" t="s">
        <v>1389</v>
      </c>
      <c r="H368" s="2" t="s">
        <v>1390</v>
      </c>
      <c r="I368" s="2" t="s">
        <v>1391</v>
      </c>
    </row>
    <row r="369" ht="15.75" customHeight="1">
      <c r="A369" s="4" t="s">
        <v>327</v>
      </c>
      <c r="B369" s="2" t="s">
        <v>85</v>
      </c>
      <c r="C369" s="2" t="s">
        <v>807</v>
      </c>
      <c r="D369" s="2">
        <v>1198.31</v>
      </c>
      <c r="E369" s="2">
        <v>3.0</v>
      </c>
      <c r="F369" s="2">
        <v>3594.93</v>
      </c>
      <c r="G369" s="2" t="s">
        <v>1392</v>
      </c>
      <c r="H369" s="2" t="s">
        <v>1393</v>
      </c>
      <c r="I369" s="2" t="s">
        <v>1394</v>
      </c>
    </row>
    <row r="370" ht="15.75" customHeight="1">
      <c r="A370" s="4" t="s">
        <v>1395</v>
      </c>
      <c r="B370" s="2" t="s">
        <v>101</v>
      </c>
      <c r="C370" s="2" t="s">
        <v>96</v>
      </c>
      <c r="D370" s="2">
        <v>633.09</v>
      </c>
      <c r="E370" s="2">
        <v>3.0</v>
      </c>
      <c r="F370" s="2">
        <v>1899.27</v>
      </c>
      <c r="G370" s="2" t="s">
        <v>1396</v>
      </c>
      <c r="H370" s="2" t="s">
        <v>1397</v>
      </c>
      <c r="I370" s="2" t="s">
        <v>1398</v>
      </c>
    </row>
    <row r="371" ht="15.75" customHeight="1">
      <c r="A371" s="1" t="s">
        <v>356</v>
      </c>
      <c r="B371" s="2" t="s">
        <v>16</v>
      </c>
      <c r="C371" s="2" t="s">
        <v>28</v>
      </c>
      <c r="D371" s="2">
        <v>2100.84</v>
      </c>
      <c r="E371" s="2">
        <v>5.0</v>
      </c>
      <c r="F371" s="2">
        <v>10504.2</v>
      </c>
      <c r="G371" s="2" t="s">
        <v>1399</v>
      </c>
      <c r="H371" s="2" t="s">
        <v>1400</v>
      </c>
      <c r="I371" s="2" t="s">
        <v>1401</v>
      </c>
    </row>
    <row r="372" ht="15.75" customHeight="1">
      <c r="A372" s="1" t="s">
        <v>797</v>
      </c>
      <c r="B372" s="2" t="s">
        <v>38</v>
      </c>
      <c r="C372" s="2" t="s">
        <v>96</v>
      </c>
      <c r="D372" s="2">
        <v>2263.78</v>
      </c>
      <c r="E372" s="2">
        <v>5.0</v>
      </c>
      <c r="F372" s="2">
        <v>11318.9</v>
      </c>
      <c r="G372" s="2" t="s">
        <v>1402</v>
      </c>
      <c r="H372" s="2" t="s">
        <v>1403</v>
      </c>
      <c r="I372" s="2" t="s">
        <v>1404</v>
      </c>
    </row>
    <row r="373" ht="15.75" customHeight="1">
      <c r="A373" s="1" t="s">
        <v>562</v>
      </c>
      <c r="B373" s="2" t="s">
        <v>161</v>
      </c>
      <c r="C373" s="2" t="s">
        <v>698</v>
      </c>
      <c r="D373" s="2">
        <v>1840.11</v>
      </c>
      <c r="E373" s="2">
        <v>1.0</v>
      </c>
      <c r="F373" s="2">
        <v>1840.11</v>
      </c>
      <c r="G373" s="2" t="s">
        <v>1405</v>
      </c>
      <c r="H373" s="2" t="s">
        <v>1406</v>
      </c>
      <c r="I373" s="2" t="s">
        <v>1407</v>
      </c>
    </row>
    <row r="374" ht="15.75" customHeight="1">
      <c r="A374" s="4" t="s">
        <v>1104</v>
      </c>
      <c r="B374" s="2" t="s">
        <v>50</v>
      </c>
      <c r="C374" s="2" t="s">
        <v>807</v>
      </c>
      <c r="D374" s="2">
        <v>2008.39</v>
      </c>
      <c r="E374" s="2">
        <v>4.0</v>
      </c>
      <c r="F374" s="2">
        <v>8033.56</v>
      </c>
      <c r="G374" s="2" t="s">
        <v>1408</v>
      </c>
      <c r="H374" s="2" t="s">
        <v>1409</v>
      </c>
      <c r="I374" s="2" t="s">
        <v>1410</v>
      </c>
    </row>
    <row r="375" ht="15.75" customHeight="1">
      <c r="A375" s="1" t="s">
        <v>298</v>
      </c>
      <c r="B375" s="2" t="s">
        <v>101</v>
      </c>
      <c r="C375" s="2" t="s">
        <v>11</v>
      </c>
      <c r="D375" s="2">
        <v>724.54</v>
      </c>
      <c r="E375" s="2">
        <v>5.0</v>
      </c>
      <c r="F375" s="2">
        <v>3622.7</v>
      </c>
      <c r="G375" s="2" t="s">
        <v>1411</v>
      </c>
      <c r="H375" s="2" t="s">
        <v>1412</v>
      </c>
      <c r="I375" s="2" t="s">
        <v>1413</v>
      </c>
    </row>
    <row r="376" ht="15.75" customHeight="1">
      <c r="A376" s="4" t="s">
        <v>949</v>
      </c>
      <c r="B376" s="2" t="s">
        <v>50</v>
      </c>
      <c r="C376" s="2" t="s">
        <v>121</v>
      </c>
      <c r="D376" s="2">
        <v>1923.49</v>
      </c>
      <c r="E376" s="2">
        <v>5.0</v>
      </c>
      <c r="F376" s="2">
        <v>9617.45</v>
      </c>
      <c r="G376" s="2" t="s">
        <v>1414</v>
      </c>
      <c r="H376" s="2" t="s">
        <v>1415</v>
      </c>
      <c r="I376" s="2" t="s">
        <v>1416</v>
      </c>
    </row>
    <row r="377" ht="15.75" customHeight="1">
      <c r="A377" s="1" t="s">
        <v>1189</v>
      </c>
      <c r="B377" s="2" t="s">
        <v>50</v>
      </c>
      <c r="C377" s="2" t="s">
        <v>116</v>
      </c>
      <c r="D377" s="2">
        <v>653.09</v>
      </c>
      <c r="E377" s="2">
        <v>4.0</v>
      </c>
      <c r="F377" s="2">
        <v>2612.36</v>
      </c>
      <c r="G377" s="2" t="s">
        <v>1417</v>
      </c>
      <c r="H377" s="2" t="s">
        <v>1418</v>
      </c>
      <c r="I377" s="2" t="s">
        <v>1419</v>
      </c>
    </row>
    <row r="378" ht="15.75" customHeight="1">
      <c r="A378" s="4" t="s">
        <v>1368</v>
      </c>
      <c r="B378" s="2" t="s">
        <v>50</v>
      </c>
      <c r="C378" s="2" t="s">
        <v>226</v>
      </c>
      <c r="D378" s="2">
        <v>627.66</v>
      </c>
      <c r="E378" s="2">
        <v>1.0</v>
      </c>
      <c r="F378" s="2">
        <v>627.66</v>
      </c>
      <c r="G378" s="2" t="s">
        <v>1420</v>
      </c>
      <c r="H378" s="2" t="s">
        <v>1421</v>
      </c>
      <c r="I378" s="2" t="s">
        <v>1422</v>
      </c>
    </row>
    <row r="379" ht="15.75" customHeight="1">
      <c r="A379" s="4" t="s">
        <v>1368</v>
      </c>
      <c r="B379" s="2" t="s">
        <v>50</v>
      </c>
      <c r="C379" s="2" t="s">
        <v>11</v>
      </c>
      <c r="D379" s="2">
        <v>1194.62</v>
      </c>
      <c r="E379" s="2">
        <v>5.0</v>
      </c>
      <c r="F379" s="2">
        <v>5973.1</v>
      </c>
      <c r="G379" s="2" t="s">
        <v>1423</v>
      </c>
      <c r="H379" s="2" t="s">
        <v>1424</v>
      </c>
      <c r="I379" s="2" t="s">
        <v>1425</v>
      </c>
    </row>
    <row r="380" ht="15.75" customHeight="1">
      <c r="A380" s="1" t="s">
        <v>558</v>
      </c>
      <c r="B380" s="2" t="s">
        <v>16</v>
      </c>
      <c r="C380" s="2" t="s">
        <v>162</v>
      </c>
      <c r="D380" s="2">
        <v>169.21</v>
      </c>
      <c r="E380" s="2">
        <v>3.0</v>
      </c>
      <c r="F380" s="2">
        <v>507.63</v>
      </c>
      <c r="G380" s="2" t="s">
        <v>1426</v>
      </c>
      <c r="H380" s="2" t="s">
        <v>1427</v>
      </c>
      <c r="I380" s="2" t="s">
        <v>1428</v>
      </c>
    </row>
    <row r="381" ht="15.75" customHeight="1">
      <c r="A381" s="1" t="s">
        <v>562</v>
      </c>
      <c r="B381" s="2" t="s">
        <v>793</v>
      </c>
      <c r="C381" s="2" t="s">
        <v>135</v>
      </c>
      <c r="D381" s="2">
        <v>2081.9</v>
      </c>
      <c r="E381" s="2">
        <v>1.0</v>
      </c>
      <c r="F381" s="2">
        <v>2081.9</v>
      </c>
      <c r="G381" s="2" t="s">
        <v>1429</v>
      </c>
      <c r="H381" s="2" t="s">
        <v>1430</v>
      </c>
      <c r="I381" s="2" t="s">
        <v>1431</v>
      </c>
    </row>
    <row r="382" ht="15.75" customHeight="1">
      <c r="A382" s="1" t="s">
        <v>877</v>
      </c>
      <c r="B382" s="2" t="s">
        <v>50</v>
      </c>
      <c r="C382" s="2" t="s">
        <v>147</v>
      </c>
      <c r="D382" s="2">
        <v>324.46</v>
      </c>
      <c r="E382" s="2">
        <v>2.0</v>
      </c>
      <c r="F382" s="2">
        <v>648.92</v>
      </c>
      <c r="G382" s="2" t="s">
        <v>1432</v>
      </c>
      <c r="H382" s="2" t="s">
        <v>1433</v>
      </c>
      <c r="I382" s="2" t="s">
        <v>1434</v>
      </c>
    </row>
    <row r="383" ht="15.75" customHeight="1">
      <c r="A383" s="1" t="s">
        <v>785</v>
      </c>
      <c r="B383" s="2" t="s">
        <v>16</v>
      </c>
      <c r="C383" s="2" t="s">
        <v>360</v>
      </c>
      <c r="D383" s="2">
        <v>1178.53</v>
      </c>
      <c r="E383" s="2">
        <v>2.0</v>
      </c>
      <c r="F383" s="2">
        <v>2357.06</v>
      </c>
      <c r="G383" s="2" t="s">
        <v>1435</v>
      </c>
      <c r="H383" s="2" t="s">
        <v>1436</v>
      </c>
      <c r="I383" s="2" t="s">
        <v>1437</v>
      </c>
    </row>
    <row r="384" ht="15.75" customHeight="1">
      <c r="A384" s="4" t="s">
        <v>1395</v>
      </c>
      <c r="B384" s="2" t="s">
        <v>85</v>
      </c>
      <c r="C384" s="2" t="s">
        <v>65</v>
      </c>
      <c r="D384" s="2">
        <v>2196.48</v>
      </c>
      <c r="E384" s="2">
        <v>5.0</v>
      </c>
      <c r="F384" s="2">
        <v>10982.4</v>
      </c>
      <c r="G384" s="2" t="s">
        <v>1438</v>
      </c>
      <c r="H384" s="2" t="s">
        <v>1439</v>
      </c>
      <c r="I384" s="2" t="s">
        <v>1440</v>
      </c>
    </row>
    <row r="385" ht="15.75" customHeight="1">
      <c r="A385" s="4" t="s">
        <v>899</v>
      </c>
      <c r="B385" s="2" t="s">
        <v>50</v>
      </c>
      <c r="C385" s="2" t="s">
        <v>147</v>
      </c>
      <c r="D385" s="2">
        <v>1527.82</v>
      </c>
      <c r="E385" s="2">
        <v>3.0</v>
      </c>
      <c r="F385" s="2">
        <v>4583.46</v>
      </c>
      <c r="G385" s="2" t="s">
        <v>1441</v>
      </c>
      <c r="H385" s="2" t="s">
        <v>1442</v>
      </c>
      <c r="I385" s="2" t="s">
        <v>1443</v>
      </c>
    </row>
    <row r="386" ht="15.75" customHeight="1">
      <c r="A386" s="4" t="s">
        <v>1388</v>
      </c>
      <c r="B386" s="2" t="s">
        <v>27</v>
      </c>
      <c r="C386" s="2" t="s">
        <v>226</v>
      </c>
      <c r="D386" s="2">
        <v>1213.49</v>
      </c>
      <c r="E386" s="2">
        <v>1.0</v>
      </c>
      <c r="F386" s="2">
        <v>1213.49</v>
      </c>
      <c r="G386" s="2" t="s">
        <v>1444</v>
      </c>
      <c r="H386" s="2" t="s">
        <v>1445</v>
      </c>
      <c r="I386" s="2" t="s">
        <v>1446</v>
      </c>
    </row>
    <row r="387" ht="15.75" customHeight="1">
      <c r="A387" s="1" t="s">
        <v>195</v>
      </c>
      <c r="B387" s="2" t="s">
        <v>16</v>
      </c>
      <c r="C387" s="2" t="s">
        <v>500</v>
      </c>
      <c r="D387" s="2">
        <v>288.29</v>
      </c>
      <c r="E387" s="2">
        <v>3.0</v>
      </c>
      <c r="F387" s="2">
        <v>864.87</v>
      </c>
      <c r="G387" s="2" t="s">
        <v>1447</v>
      </c>
      <c r="H387" s="2" t="s">
        <v>1448</v>
      </c>
      <c r="I387" s="2" t="s">
        <v>1449</v>
      </c>
    </row>
    <row r="388" ht="15.75" customHeight="1">
      <c r="A388" s="1" t="s">
        <v>953</v>
      </c>
      <c r="B388" s="2" t="s">
        <v>85</v>
      </c>
      <c r="C388" s="2" t="s">
        <v>181</v>
      </c>
      <c r="D388" s="2">
        <v>1006.61</v>
      </c>
      <c r="E388" s="2">
        <v>4.0</v>
      </c>
      <c r="F388" s="2">
        <v>4026.44</v>
      </c>
      <c r="G388" s="2" t="s">
        <v>1450</v>
      </c>
      <c r="H388" s="2" t="s">
        <v>1451</v>
      </c>
      <c r="I388" s="2" t="s">
        <v>1452</v>
      </c>
    </row>
    <row r="389" ht="15.75" customHeight="1">
      <c r="A389" s="4" t="s">
        <v>1395</v>
      </c>
      <c r="B389" s="2" t="s">
        <v>101</v>
      </c>
      <c r="C389" s="2" t="s">
        <v>226</v>
      </c>
      <c r="D389" s="2">
        <v>1388.37</v>
      </c>
      <c r="E389" s="2">
        <v>3.0</v>
      </c>
      <c r="F389" s="2">
        <v>4165.11</v>
      </c>
      <c r="G389" s="2" t="s">
        <v>1453</v>
      </c>
      <c r="H389" s="2" t="s">
        <v>1454</v>
      </c>
      <c r="I389" s="2" t="s">
        <v>1455</v>
      </c>
    </row>
    <row r="390" ht="15.75" customHeight="1">
      <c r="A390" s="4" t="s">
        <v>120</v>
      </c>
      <c r="B390" s="2" t="s">
        <v>38</v>
      </c>
      <c r="C390" s="2" t="s">
        <v>80</v>
      </c>
      <c r="D390" s="2">
        <v>2114.99</v>
      </c>
      <c r="E390" s="2">
        <v>1.0</v>
      </c>
      <c r="F390" s="2">
        <v>2114.99</v>
      </c>
      <c r="G390" s="2" t="s">
        <v>1456</v>
      </c>
      <c r="H390" s="2" t="s">
        <v>1457</v>
      </c>
      <c r="I390" s="2" t="s">
        <v>1458</v>
      </c>
    </row>
    <row r="391" ht="15.75" customHeight="1">
      <c r="A391" s="1" t="s">
        <v>851</v>
      </c>
      <c r="B391" s="2" t="s">
        <v>38</v>
      </c>
      <c r="C391" s="2" t="s">
        <v>96</v>
      </c>
      <c r="D391" s="2">
        <v>1627.59</v>
      </c>
      <c r="E391" s="2">
        <v>1.0</v>
      </c>
      <c r="F391" s="2">
        <v>1627.59</v>
      </c>
      <c r="G391" s="2" t="s">
        <v>1459</v>
      </c>
      <c r="H391" s="2" t="s">
        <v>1460</v>
      </c>
      <c r="I391" s="2" t="s">
        <v>1461</v>
      </c>
    </row>
    <row r="392" ht="15.75" customHeight="1">
      <c r="A392" s="4" t="s">
        <v>1462</v>
      </c>
      <c r="B392" s="2" t="s">
        <v>16</v>
      </c>
      <c r="C392" s="2" t="s">
        <v>86</v>
      </c>
      <c r="D392" s="2">
        <v>1385.54</v>
      </c>
      <c r="E392" s="2">
        <v>2.0</v>
      </c>
      <c r="F392" s="2">
        <v>2771.08</v>
      </c>
      <c r="G392" s="2" t="s">
        <v>1463</v>
      </c>
      <c r="H392" s="2" t="s">
        <v>1464</v>
      </c>
      <c r="I392" s="2" t="s">
        <v>1465</v>
      </c>
    </row>
    <row r="393" ht="15.75" customHeight="1">
      <c r="A393" s="1" t="s">
        <v>195</v>
      </c>
      <c r="B393" s="2" t="s">
        <v>38</v>
      </c>
      <c r="C393" s="2" t="s">
        <v>45</v>
      </c>
      <c r="D393" s="2">
        <v>1164.32</v>
      </c>
      <c r="E393" s="2">
        <v>3.0</v>
      </c>
      <c r="F393" s="2">
        <v>3492.96</v>
      </c>
      <c r="G393" s="2" t="s">
        <v>1466</v>
      </c>
      <c r="H393" s="2" t="s">
        <v>1467</v>
      </c>
      <c r="I393" s="2" t="s">
        <v>1468</v>
      </c>
    </row>
    <row r="394" ht="15.75" customHeight="1">
      <c r="A394" s="4" t="s">
        <v>120</v>
      </c>
      <c r="B394" s="2" t="s">
        <v>50</v>
      </c>
      <c r="C394" s="2" t="s">
        <v>500</v>
      </c>
      <c r="D394" s="2">
        <v>169.2</v>
      </c>
      <c r="E394" s="2">
        <v>3.0</v>
      </c>
      <c r="F394" s="2">
        <v>507.6</v>
      </c>
      <c r="G394" s="2" t="s">
        <v>1469</v>
      </c>
      <c r="H394" s="2" t="s">
        <v>1470</v>
      </c>
      <c r="I394" s="2" t="s">
        <v>1471</v>
      </c>
    </row>
    <row r="395" ht="15.75" customHeight="1">
      <c r="A395" s="1" t="s">
        <v>1189</v>
      </c>
      <c r="B395" s="2" t="s">
        <v>50</v>
      </c>
      <c r="C395" s="2" t="s">
        <v>311</v>
      </c>
      <c r="D395" s="2">
        <v>1057.56</v>
      </c>
      <c r="E395" s="2">
        <v>5.0</v>
      </c>
      <c r="F395" s="2">
        <v>5287.8</v>
      </c>
      <c r="G395" s="2" t="s">
        <v>1472</v>
      </c>
      <c r="H395" s="2" t="s">
        <v>1473</v>
      </c>
      <c r="I395" s="2" t="s">
        <v>1474</v>
      </c>
    </row>
    <row r="396" ht="15.75" customHeight="1">
      <c r="A396" s="1" t="s">
        <v>335</v>
      </c>
      <c r="B396" s="2" t="s">
        <v>101</v>
      </c>
      <c r="C396" s="2" t="s">
        <v>397</v>
      </c>
      <c r="D396" s="2">
        <v>1567.55</v>
      </c>
      <c r="E396" s="2">
        <v>3.0</v>
      </c>
      <c r="F396" s="2">
        <v>4702.65</v>
      </c>
      <c r="G396" s="2" t="s">
        <v>1475</v>
      </c>
      <c r="H396" s="2" t="s">
        <v>1476</v>
      </c>
      <c r="I396" s="2" t="s">
        <v>1477</v>
      </c>
    </row>
    <row r="397" ht="15.75" customHeight="1">
      <c r="A397" s="4" t="s">
        <v>1022</v>
      </c>
      <c r="B397" s="2" t="s">
        <v>16</v>
      </c>
      <c r="C397" s="2" t="s">
        <v>369</v>
      </c>
      <c r="D397" s="2">
        <v>2012.81</v>
      </c>
      <c r="E397" s="2">
        <v>4.0</v>
      </c>
      <c r="F397" s="2">
        <v>8051.24</v>
      </c>
      <c r="G397" s="2" t="s">
        <v>1478</v>
      </c>
      <c r="H397" s="2" t="s">
        <v>1479</v>
      </c>
      <c r="I397" s="2" t="s">
        <v>1480</v>
      </c>
    </row>
    <row r="398" ht="15.75" customHeight="1">
      <c r="A398" s="1" t="s">
        <v>1481</v>
      </c>
      <c r="B398" s="2" t="s">
        <v>16</v>
      </c>
      <c r="C398" s="2" t="s">
        <v>65</v>
      </c>
      <c r="D398" s="2">
        <v>2101.18</v>
      </c>
      <c r="E398" s="2">
        <v>4.0</v>
      </c>
      <c r="F398" s="2">
        <v>8404.72</v>
      </c>
      <c r="G398" s="2" t="s">
        <v>1482</v>
      </c>
      <c r="H398" s="2" t="s">
        <v>1483</v>
      </c>
      <c r="I398" s="2" t="s">
        <v>1484</v>
      </c>
    </row>
    <row r="399" ht="15.75" customHeight="1">
      <c r="A399" s="1" t="s">
        <v>417</v>
      </c>
      <c r="B399" s="2" t="s">
        <v>38</v>
      </c>
      <c r="C399" s="2" t="s">
        <v>181</v>
      </c>
      <c r="D399" s="2">
        <v>2008.78</v>
      </c>
      <c r="E399" s="2">
        <v>5.0</v>
      </c>
      <c r="F399" s="2">
        <v>10043.9</v>
      </c>
      <c r="G399" s="2" t="s">
        <v>1485</v>
      </c>
      <c r="H399" s="2" t="s">
        <v>1486</v>
      </c>
      <c r="I399" s="2" t="s">
        <v>1487</v>
      </c>
    </row>
    <row r="400" ht="15.75" customHeight="1">
      <c r="A400" s="1" t="s">
        <v>1488</v>
      </c>
      <c r="B400" s="2" t="s">
        <v>16</v>
      </c>
      <c r="C400" s="2" t="s">
        <v>698</v>
      </c>
      <c r="D400" s="2">
        <v>1451.3</v>
      </c>
      <c r="E400" s="2">
        <v>2.0</v>
      </c>
      <c r="F400" s="2">
        <v>2902.6</v>
      </c>
      <c r="G400" s="2" t="s">
        <v>1489</v>
      </c>
      <c r="H400" s="2" t="s">
        <v>1490</v>
      </c>
      <c r="I400" s="2" t="s">
        <v>1491</v>
      </c>
    </row>
    <row r="401" ht="15.75" customHeight="1">
      <c r="A401" s="1" t="s">
        <v>903</v>
      </c>
      <c r="B401" s="2" t="s">
        <v>85</v>
      </c>
      <c r="C401" s="2" t="s">
        <v>593</v>
      </c>
      <c r="D401" s="2">
        <v>1291.39</v>
      </c>
      <c r="E401" s="2">
        <v>3.0</v>
      </c>
      <c r="F401" s="2">
        <v>3874.17</v>
      </c>
      <c r="G401" s="2" t="s">
        <v>1492</v>
      </c>
      <c r="H401" s="2" t="s">
        <v>1493</v>
      </c>
      <c r="I401" s="2" t="s">
        <v>1494</v>
      </c>
    </row>
    <row r="402" ht="15.75" customHeight="1">
      <c r="A402" s="1" t="s">
        <v>911</v>
      </c>
      <c r="B402" s="2" t="s">
        <v>38</v>
      </c>
      <c r="C402" s="2" t="s">
        <v>181</v>
      </c>
      <c r="D402" s="2">
        <v>1083.91</v>
      </c>
      <c r="E402" s="2">
        <v>3.0</v>
      </c>
      <c r="F402" s="2">
        <v>3251.73</v>
      </c>
      <c r="G402" s="2" t="s">
        <v>1495</v>
      </c>
      <c r="H402" s="2" t="s">
        <v>1496</v>
      </c>
      <c r="I402" s="2" t="s">
        <v>1497</v>
      </c>
    </row>
    <row r="403" ht="15.75" customHeight="1">
      <c r="A403" s="4" t="s">
        <v>1498</v>
      </c>
      <c r="B403" s="2" t="s">
        <v>16</v>
      </c>
      <c r="C403" s="2" t="s">
        <v>397</v>
      </c>
      <c r="D403" s="2">
        <v>1181.12</v>
      </c>
      <c r="E403" s="2">
        <v>3.0</v>
      </c>
      <c r="F403" s="2">
        <v>3543.36</v>
      </c>
      <c r="G403" s="2" t="s">
        <v>1499</v>
      </c>
      <c r="H403" s="2" t="s">
        <v>1500</v>
      </c>
      <c r="I403" s="2" t="s">
        <v>1501</v>
      </c>
    </row>
    <row r="404" ht="15.75" customHeight="1">
      <c r="A404" s="1" t="s">
        <v>298</v>
      </c>
      <c r="B404" s="2" t="s">
        <v>50</v>
      </c>
      <c r="C404" s="2" t="s">
        <v>196</v>
      </c>
      <c r="D404" s="2">
        <v>1665.73</v>
      </c>
      <c r="E404" s="2">
        <v>2.0</v>
      </c>
      <c r="F404" s="2">
        <v>3331.46</v>
      </c>
      <c r="G404" s="2" t="s">
        <v>1502</v>
      </c>
      <c r="H404" s="2" t="s">
        <v>1503</v>
      </c>
      <c r="I404" s="2" t="s">
        <v>1504</v>
      </c>
    </row>
    <row r="405" ht="15.75" customHeight="1">
      <c r="A405" s="4" t="s">
        <v>1068</v>
      </c>
      <c r="B405" s="2" t="s">
        <v>85</v>
      </c>
      <c r="C405" s="2" t="s">
        <v>385</v>
      </c>
      <c r="D405" s="2">
        <v>1083.6</v>
      </c>
      <c r="E405" s="2">
        <v>1.0</v>
      </c>
      <c r="F405" s="2">
        <v>1083.6</v>
      </c>
      <c r="G405" s="2" t="s">
        <v>1505</v>
      </c>
      <c r="H405" s="2" t="s">
        <v>1506</v>
      </c>
      <c r="I405" s="2" t="s">
        <v>1507</v>
      </c>
    </row>
    <row r="406" ht="15.75" customHeight="1">
      <c r="A406" s="4" t="s">
        <v>120</v>
      </c>
      <c r="B406" s="2" t="s">
        <v>38</v>
      </c>
      <c r="C406" s="2" t="s">
        <v>96</v>
      </c>
      <c r="D406" s="2">
        <v>1614.84</v>
      </c>
      <c r="E406" s="2">
        <v>3.0</v>
      </c>
      <c r="F406" s="2">
        <v>4844.52</v>
      </c>
      <c r="G406" s="2" t="s">
        <v>1508</v>
      </c>
      <c r="H406" s="2" t="s">
        <v>1509</v>
      </c>
      <c r="I406" s="2" t="s">
        <v>1510</v>
      </c>
    </row>
    <row r="407" ht="15.75" customHeight="1">
      <c r="A407" s="1" t="s">
        <v>356</v>
      </c>
      <c r="B407" s="2" t="s">
        <v>38</v>
      </c>
      <c r="C407" s="2" t="s">
        <v>245</v>
      </c>
      <c r="D407" s="2">
        <v>1261.22</v>
      </c>
      <c r="E407" s="2">
        <v>2.0</v>
      </c>
      <c r="F407" s="2">
        <v>2522.44</v>
      </c>
      <c r="G407" s="2" t="s">
        <v>1511</v>
      </c>
      <c r="H407" s="2" t="s">
        <v>1512</v>
      </c>
      <c r="I407" s="2" t="s">
        <v>1513</v>
      </c>
    </row>
    <row r="408" ht="15.75" customHeight="1">
      <c r="A408" s="1" t="s">
        <v>15</v>
      </c>
      <c r="B408" s="2" t="s">
        <v>38</v>
      </c>
      <c r="C408" s="2" t="s">
        <v>245</v>
      </c>
      <c r="D408" s="2">
        <v>571.73</v>
      </c>
      <c r="E408" s="2">
        <v>4.0</v>
      </c>
      <c r="F408" s="2">
        <v>2286.92</v>
      </c>
      <c r="G408" s="2" t="s">
        <v>1514</v>
      </c>
      <c r="H408" s="2" t="s">
        <v>1515</v>
      </c>
      <c r="I408" s="2" t="s">
        <v>1516</v>
      </c>
    </row>
    <row r="409" ht="15.75" customHeight="1">
      <c r="A409" s="1" t="s">
        <v>1091</v>
      </c>
      <c r="B409" s="2" t="s">
        <v>27</v>
      </c>
      <c r="C409" s="2" t="s">
        <v>96</v>
      </c>
      <c r="D409" s="2">
        <v>1056.48</v>
      </c>
      <c r="E409" s="2">
        <v>4.0</v>
      </c>
      <c r="F409" s="2">
        <v>4225.92</v>
      </c>
      <c r="G409" s="2" t="s">
        <v>1517</v>
      </c>
      <c r="H409" s="2" t="s">
        <v>1518</v>
      </c>
      <c r="I409" s="2" t="s">
        <v>1519</v>
      </c>
    </row>
    <row r="410" ht="15.75" customHeight="1">
      <c r="A410" s="4" t="s">
        <v>1520</v>
      </c>
      <c r="B410" s="2" t="s">
        <v>27</v>
      </c>
      <c r="C410" s="2" t="s">
        <v>152</v>
      </c>
      <c r="D410" s="2">
        <v>292.81</v>
      </c>
      <c r="E410" s="2">
        <v>5.0</v>
      </c>
      <c r="F410" s="2">
        <v>1464.05</v>
      </c>
      <c r="G410" s="2" t="s">
        <v>1521</v>
      </c>
      <c r="H410" s="2" t="s">
        <v>1522</v>
      </c>
      <c r="I410" s="2" t="s">
        <v>1523</v>
      </c>
    </row>
    <row r="411" ht="15.75" customHeight="1">
      <c r="A411" s="4" t="s">
        <v>859</v>
      </c>
      <c r="B411" s="2" t="s">
        <v>27</v>
      </c>
      <c r="C411" s="2" t="s">
        <v>176</v>
      </c>
      <c r="D411" s="2">
        <v>2085.29</v>
      </c>
      <c r="E411" s="2">
        <v>1.0</v>
      </c>
      <c r="F411" s="2">
        <v>2085.29</v>
      </c>
      <c r="G411" s="2" t="s">
        <v>1524</v>
      </c>
      <c r="H411" s="2" t="s">
        <v>1525</v>
      </c>
      <c r="I411" s="2" t="s">
        <v>1526</v>
      </c>
    </row>
    <row r="412" ht="15.75" customHeight="1">
      <c r="A412" s="1" t="s">
        <v>230</v>
      </c>
      <c r="B412" s="2" t="s">
        <v>101</v>
      </c>
      <c r="C412" s="2" t="s">
        <v>235</v>
      </c>
      <c r="D412" s="2">
        <v>206.29</v>
      </c>
      <c r="E412" s="2">
        <v>4.0</v>
      </c>
      <c r="F412" s="2">
        <v>825.16</v>
      </c>
      <c r="G412" s="2" t="s">
        <v>1527</v>
      </c>
      <c r="H412" s="2" t="s">
        <v>1528</v>
      </c>
      <c r="I412" s="2" t="s">
        <v>1529</v>
      </c>
    </row>
    <row r="413" ht="15.75" customHeight="1">
      <c r="A413" s="4" t="s">
        <v>1498</v>
      </c>
      <c r="B413" s="2" t="s">
        <v>16</v>
      </c>
      <c r="C413" s="2" t="s">
        <v>86</v>
      </c>
      <c r="D413" s="2">
        <v>271.04</v>
      </c>
      <c r="E413" s="2">
        <v>4.0</v>
      </c>
      <c r="F413" s="2">
        <v>1084.16</v>
      </c>
      <c r="G413" s="2" t="s">
        <v>1530</v>
      </c>
      <c r="H413" s="2" t="s">
        <v>1531</v>
      </c>
      <c r="I413" s="2" t="s">
        <v>1532</v>
      </c>
    </row>
    <row r="414" ht="15.75" customHeight="1">
      <c r="A414" s="4" t="s">
        <v>1104</v>
      </c>
      <c r="B414" s="2" t="s">
        <v>38</v>
      </c>
      <c r="C414" s="2" t="s">
        <v>226</v>
      </c>
      <c r="D414" s="2">
        <v>1770.13</v>
      </c>
      <c r="E414" s="2">
        <v>1.0</v>
      </c>
      <c r="F414" s="2">
        <v>1770.13</v>
      </c>
      <c r="G414" s="2" t="s">
        <v>1533</v>
      </c>
      <c r="H414" s="2" t="s">
        <v>1534</v>
      </c>
      <c r="I414" s="2" t="s">
        <v>1535</v>
      </c>
    </row>
    <row r="415" ht="15.75" customHeight="1">
      <c r="A415" s="1" t="s">
        <v>939</v>
      </c>
      <c r="B415" s="2" t="s">
        <v>16</v>
      </c>
      <c r="C415" s="2" t="s">
        <v>17</v>
      </c>
      <c r="D415" s="2">
        <v>988.8</v>
      </c>
      <c r="E415" s="2">
        <v>5.0</v>
      </c>
      <c r="F415" s="2">
        <v>4944.0</v>
      </c>
      <c r="G415" s="2" t="s">
        <v>1536</v>
      </c>
      <c r="H415" s="2" t="s">
        <v>1537</v>
      </c>
      <c r="I415" s="2" t="s">
        <v>1538</v>
      </c>
    </row>
    <row r="416" ht="15.75" customHeight="1">
      <c r="A416" s="4" t="s">
        <v>239</v>
      </c>
      <c r="B416" s="2" t="s">
        <v>60</v>
      </c>
      <c r="C416" s="2" t="s">
        <v>111</v>
      </c>
      <c r="D416" s="2">
        <v>1170.2</v>
      </c>
      <c r="E416" s="2">
        <v>1.0</v>
      </c>
      <c r="F416" s="2">
        <v>1170.2</v>
      </c>
      <c r="G416" s="2" t="s">
        <v>1539</v>
      </c>
      <c r="H416" s="2" t="s">
        <v>1540</v>
      </c>
      <c r="I416" s="2" t="s">
        <v>1541</v>
      </c>
    </row>
    <row r="417" ht="15.75" customHeight="1">
      <c r="A417" s="1" t="s">
        <v>356</v>
      </c>
      <c r="B417" s="2" t="s">
        <v>38</v>
      </c>
      <c r="C417" s="2" t="s">
        <v>11</v>
      </c>
      <c r="D417" s="2">
        <v>2418.11</v>
      </c>
      <c r="E417" s="2">
        <v>1.0</v>
      </c>
      <c r="F417" s="2">
        <v>2418.11</v>
      </c>
      <c r="G417" s="2" t="s">
        <v>1542</v>
      </c>
      <c r="H417" s="2" t="s">
        <v>1543</v>
      </c>
      <c r="I417" s="2" t="s">
        <v>1544</v>
      </c>
    </row>
    <row r="418" ht="15.75" customHeight="1">
      <c r="A418" s="4" t="s">
        <v>949</v>
      </c>
      <c r="B418" s="2" t="s">
        <v>85</v>
      </c>
      <c r="C418" s="2" t="s">
        <v>135</v>
      </c>
      <c r="D418" s="2">
        <v>1639.83</v>
      </c>
      <c r="E418" s="2">
        <v>4.0</v>
      </c>
      <c r="F418" s="2">
        <v>6559.32</v>
      </c>
      <c r="G418" s="2" t="s">
        <v>1545</v>
      </c>
      <c r="H418" s="2" t="s">
        <v>1546</v>
      </c>
      <c r="I418" s="2" t="s">
        <v>1547</v>
      </c>
    </row>
    <row r="419" ht="15.75" customHeight="1">
      <c r="A419" s="1" t="s">
        <v>298</v>
      </c>
      <c r="B419" s="2" t="s">
        <v>16</v>
      </c>
      <c r="C419" s="2" t="s">
        <v>45</v>
      </c>
      <c r="D419" s="2">
        <v>1373.32</v>
      </c>
      <c r="E419" s="2">
        <v>1.0</v>
      </c>
      <c r="F419" s="2">
        <v>1373.32</v>
      </c>
      <c r="G419" s="2" t="s">
        <v>1548</v>
      </c>
      <c r="H419" s="2" t="s">
        <v>1549</v>
      </c>
      <c r="I419" s="2" t="s">
        <v>1550</v>
      </c>
    </row>
    <row r="420" ht="15.75" customHeight="1">
      <c r="A420" s="4" t="s">
        <v>1551</v>
      </c>
      <c r="B420" s="2" t="s">
        <v>27</v>
      </c>
      <c r="C420" s="2" t="s">
        <v>96</v>
      </c>
      <c r="D420" s="2">
        <v>825.4</v>
      </c>
      <c r="E420" s="2">
        <v>4.0</v>
      </c>
      <c r="F420" s="2">
        <v>3301.6</v>
      </c>
      <c r="G420" s="2" t="s">
        <v>1552</v>
      </c>
      <c r="H420" s="2" t="s">
        <v>1553</v>
      </c>
      <c r="I420" s="2" t="s">
        <v>1554</v>
      </c>
    </row>
    <row r="421" ht="15.75" customHeight="1">
      <c r="A421" s="1" t="s">
        <v>877</v>
      </c>
      <c r="B421" s="2" t="s">
        <v>38</v>
      </c>
      <c r="C421" s="2" t="s">
        <v>172</v>
      </c>
      <c r="D421" s="2">
        <v>796.3</v>
      </c>
      <c r="E421" s="2">
        <v>4.0</v>
      </c>
      <c r="F421" s="2">
        <v>3185.2</v>
      </c>
      <c r="G421" s="2" t="s">
        <v>1555</v>
      </c>
      <c r="H421" s="2" t="s">
        <v>1556</v>
      </c>
      <c r="I421" s="2" t="s">
        <v>1557</v>
      </c>
    </row>
    <row r="422" ht="15.75" customHeight="1">
      <c r="A422" s="1" t="s">
        <v>276</v>
      </c>
      <c r="B422" s="2" t="s">
        <v>38</v>
      </c>
      <c r="C422" s="2" t="s">
        <v>186</v>
      </c>
      <c r="D422" s="2">
        <v>2127.13</v>
      </c>
      <c r="E422" s="2">
        <v>1.0</v>
      </c>
      <c r="F422" s="2">
        <v>2127.13</v>
      </c>
      <c r="G422" s="2" t="s">
        <v>1558</v>
      </c>
      <c r="H422" s="2" t="s">
        <v>1559</v>
      </c>
      <c r="I422" s="2" t="s">
        <v>1560</v>
      </c>
    </row>
    <row r="423" ht="15.75" customHeight="1">
      <c r="A423" s="1" t="s">
        <v>15</v>
      </c>
      <c r="B423" s="2" t="s">
        <v>16</v>
      </c>
      <c r="C423" s="2" t="s">
        <v>11</v>
      </c>
      <c r="D423" s="2">
        <v>2009.75</v>
      </c>
      <c r="E423" s="2">
        <v>2.0</v>
      </c>
      <c r="F423" s="2">
        <v>4019.5</v>
      </c>
      <c r="G423" s="2" t="s">
        <v>1561</v>
      </c>
      <c r="H423" s="2" t="s">
        <v>1562</v>
      </c>
      <c r="I423" s="2" t="s">
        <v>1563</v>
      </c>
    </row>
    <row r="424" ht="15.75" customHeight="1">
      <c r="A424" s="5" t="s">
        <v>1311</v>
      </c>
      <c r="B424" s="2" t="s">
        <v>101</v>
      </c>
      <c r="C424" s="2" t="s">
        <v>39</v>
      </c>
      <c r="D424" s="2">
        <v>634.44</v>
      </c>
      <c r="E424" s="2">
        <v>4.0</v>
      </c>
      <c r="F424" s="2">
        <v>2537.76</v>
      </c>
      <c r="G424" s="2" t="s">
        <v>1564</v>
      </c>
      <c r="H424" s="2" t="s">
        <v>1565</v>
      </c>
      <c r="I424" s="2" t="s">
        <v>1566</v>
      </c>
    </row>
    <row r="425" ht="15.75" customHeight="1">
      <c r="A425" s="4" t="s">
        <v>1551</v>
      </c>
      <c r="B425" s="2" t="s">
        <v>16</v>
      </c>
      <c r="C425" s="2" t="s">
        <v>235</v>
      </c>
      <c r="D425" s="2">
        <v>2452.44</v>
      </c>
      <c r="E425" s="2">
        <v>3.0</v>
      </c>
      <c r="F425" s="2">
        <v>7357.32</v>
      </c>
      <c r="G425" s="2" t="s">
        <v>1567</v>
      </c>
      <c r="H425" s="2" t="s">
        <v>1568</v>
      </c>
      <c r="I425" s="2" t="s">
        <v>1569</v>
      </c>
    </row>
    <row r="426" ht="15.75" customHeight="1">
      <c r="A426" s="4" t="s">
        <v>907</v>
      </c>
      <c r="B426" s="2" t="s">
        <v>16</v>
      </c>
      <c r="C426" s="2" t="s">
        <v>70</v>
      </c>
      <c r="D426" s="2">
        <v>460.39</v>
      </c>
      <c r="E426" s="2">
        <v>5.0</v>
      </c>
      <c r="F426" s="2">
        <v>2301.95</v>
      </c>
      <c r="G426" s="2" t="s">
        <v>1570</v>
      </c>
      <c r="H426" s="2" t="s">
        <v>1571</v>
      </c>
      <c r="I426" s="2" t="s">
        <v>1572</v>
      </c>
    </row>
    <row r="427" ht="15.75" customHeight="1">
      <c r="A427" s="4" t="s">
        <v>1551</v>
      </c>
      <c r="B427" s="2" t="s">
        <v>38</v>
      </c>
      <c r="C427" s="2" t="s">
        <v>360</v>
      </c>
      <c r="E427" s="2">
        <v>3.0</v>
      </c>
      <c r="F427" s="2">
        <v>796.92</v>
      </c>
      <c r="G427" s="2" t="s">
        <v>1573</v>
      </c>
      <c r="H427" s="2" t="s">
        <v>1574</v>
      </c>
      <c r="I427" s="2" t="s">
        <v>1575</v>
      </c>
    </row>
    <row r="428" ht="15.75" customHeight="1">
      <c r="A428" s="1" t="s">
        <v>272</v>
      </c>
      <c r="B428" s="2" t="s">
        <v>27</v>
      </c>
      <c r="C428" s="2" t="s">
        <v>65</v>
      </c>
      <c r="D428" s="2">
        <v>564.58</v>
      </c>
      <c r="E428" s="2">
        <v>4.0</v>
      </c>
      <c r="F428" s="2">
        <v>2258.32</v>
      </c>
      <c r="G428" s="2" t="s">
        <v>1576</v>
      </c>
      <c r="H428" s="2" t="s">
        <v>1577</v>
      </c>
      <c r="I428" s="2" t="s">
        <v>1578</v>
      </c>
    </row>
    <row r="429" ht="15.75" customHeight="1">
      <c r="A429" s="4" t="s">
        <v>1579</v>
      </c>
      <c r="B429" s="2" t="s">
        <v>27</v>
      </c>
      <c r="C429" s="2" t="s">
        <v>201</v>
      </c>
      <c r="D429" s="2">
        <v>1265.56</v>
      </c>
      <c r="E429" s="2">
        <v>5.0</v>
      </c>
      <c r="F429" s="2">
        <v>6327.8</v>
      </c>
      <c r="G429" s="2" t="s">
        <v>1580</v>
      </c>
      <c r="H429" s="2" t="s">
        <v>1581</v>
      </c>
      <c r="I429" s="2" t="s">
        <v>1582</v>
      </c>
    </row>
    <row r="430" ht="15.75" customHeight="1">
      <c r="A430" s="4" t="s">
        <v>49</v>
      </c>
      <c r="B430" s="2" t="s">
        <v>27</v>
      </c>
      <c r="C430" s="2" t="s">
        <v>172</v>
      </c>
      <c r="D430" s="2">
        <v>85.19</v>
      </c>
      <c r="E430" s="2">
        <v>1.0</v>
      </c>
      <c r="F430" s="2">
        <v>85.19</v>
      </c>
      <c r="G430" s="2" t="s">
        <v>1583</v>
      </c>
      <c r="H430" s="2" t="s">
        <v>1584</v>
      </c>
      <c r="I430" s="2" t="s">
        <v>1585</v>
      </c>
    </row>
    <row r="431" ht="15.75" customHeight="1">
      <c r="A431" s="1" t="s">
        <v>347</v>
      </c>
      <c r="B431" s="2" t="s">
        <v>50</v>
      </c>
      <c r="C431" s="2" t="s">
        <v>385</v>
      </c>
      <c r="D431" s="2">
        <v>1468.39</v>
      </c>
      <c r="E431" s="2">
        <v>1.0</v>
      </c>
      <c r="F431" s="2">
        <v>1468.39</v>
      </c>
      <c r="G431" s="2" t="s">
        <v>1586</v>
      </c>
      <c r="H431" s="2" t="s">
        <v>1587</v>
      </c>
      <c r="I431" s="2" t="s">
        <v>1588</v>
      </c>
    </row>
    <row r="432" ht="15.75" customHeight="1">
      <c r="A432" s="4" t="s">
        <v>1589</v>
      </c>
      <c r="B432" s="2" t="s">
        <v>16</v>
      </c>
      <c r="C432" s="2" t="s">
        <v>147</v>
      </c>
      <c r="D432" s="2">
        <v>1450.82</v>
      </c>
      <c r="E432" s="2">
        <v>1.0</v>
      </c>
      <c r="F432" s="2">
        <v>1450.82</v>
      </c>
      <c r="G432" s="2" t="s">
        <v>1590</v>
      </c>
      <c r="H432" s="2" t="s">
        <v>1591</v>
      </c>
      <c r="I432" s="2" t="s">
        <v>1592</v>
      </c>
    </row>
    <row r="433" ht="15.75" customHeight="1">
      <c r="A433" s="1" t="s">
        <v>195</v>
      </c>
      <c r="B433" s="2" t="s">
        <v>85</v>
      </c>
      <c r="C433" s="2" t="s">
        <v>75</v>
      </c>
      <c r="D433" s="2">
        <v>429.21</v>
      </c>
      <c r="E433" s="2">
        <v>5.0</v>
      </c>
      <c r="F433" s="2">
        <v>2146.05</v>
      </c>
      <c r="G433" s="2" t="s">
        <v>1593</v>
      </c>
      <c r="H433" s="2" t="s">
        <v>1594</v>
      </c>
      <c r="I433" s="2" t="s">
        <v>1595</v>
      </c>
    </row>
    <row r="434" ht="15.75" customHeight="1">
      <c r="A434" s="4" t="s">
        <v>859</v>
      </c>
      <c r="B434" s="2" t="s">
        <v>60</v>
      </c>
      <c r="C434" s="2" t="s">
        <v>80</v>
      </c>
      <c r="D434" s="2">
        <v>724.28</v>
      </c>
      <c r="E434" s="2">
        <v>3.0</v>
      </c>
      <c r="F434" s="2">
        <v>2172.84</v>
      </c>
      <c r="G434" s="2" t="s">
        <v>1596</v>
      </c>
      <c r="H434" s="2" t="s">
        <v>1597</v>
      </c>
      <c r="I434" s="2" t="s">
        <v>1598</v>
      </c>
    </row>
    <row r="435" ht="15.75" customHeight="1">
      <c r="A435" s="1" t="s">
        <v>160</v>
      </c>
      <c r="B435" s="2" t="s">
        <v>101</v>
      </c>
      <c r="C435" s="2" t="s">
        <v>1015</v>
      </c>
      <c r="D435" s="2">
        <v>1654.16</v>
      </c>
      <c r="E435" s="2">
        <v>1.0</v>
      </c>
      <c r="F435" s="2">
        <v>1654.16</v>
      </c>
      <c r="G435" s="2" t="s">
        <v>1599</v>
      </c>
      <c r="H435" s="2" t="s">
        <v>1600</v>
      </c>
      <c r="I435" s="2" t="s">
        <v>1601</v>
      </c>
    </row>
    <row r="436" ht="15.75" customHeight="1">
      <c r="A436" s="1" t="s">
        <v>826</v>
      </c>
      <c r="B436" s="2" t="s">
        <v>38</v>
      </c>
      <c r="C436" s="2" t="s">
        <v>250</v>
      </c>
      <c r="D436" s="2">
        <v>1834.12</v>
      </c>
      <c r="E436" s="2">
        <v>1.0</v>
      </c>
      <c r="F436" s="2">
        <v>1834.12</v>
      </c>
      <c r="G436" s="2" t="s">
        <v>1602</v>
      </c>
      <c r="H436" s="2" t="s">
        <v>1603</v>
      </c>
      <c r="I436" s="2" t="s">
        <v>1604</v>
      </c>
    </row>
    <row r="437" ht="15.75" customHeight="1">
      <c r="A437" s="4" t="s">
        <v>994</v>
      </c>
      <c r="B437" s="2" t="s">
        <v>16</v>
      </c>
      <c r="C437" s="2" t="s">
        <v>360</v>
      </c>
      <c r="D437" s="2">
        <v>2148.04</v>
      </c>
      <c r="E437" s="2">
        <v>1.0</v>
      </c>
      <c r="F437" s="2">
        <v>2148.04</v>
      </c>
      <c r="G437" s="2" t="s">
        <v>1605</v>
      </c>
      <c r="H437" s="2" t="s">
        <v>1606</v>
      </c>
      <c r="I437" s="2" t="s">
        <v>1607</v>
      </c>
    </row>
    <row r="438" ht="15.75" customHeight="1">
      <c r="A438" s="4" t="s">
        <v>974</v>
      </c>
      <c r="B438" s="2" t="s">
        <v>85</v>
      </c>
      <c r="C438" s="2" t="s">
        <v>235</v>
      </c>
      <c r="D438" s="2">
        <v>1325.42</v>
      </c>
      <c r="E438" s="2">
        <v>3.0</v>
      </c>
      <c r="F438" s="2">
        <v>3976.26</v>
      </c>
      <c r="G438" s="2" t="s">
        <v>1608</v>
      </c>
      <c r="H438" s="2" t="s">
        <v>1609</v>
      </c>
      <c r="I438" s="2" t="s">
        <v>1610</v>
      </c>
    </row>
    <row r="439" ht="15.75" customHeight="1">
      <c r="A439" s="4" t="s">
        <v>1462</v>
      </c>
      <c r="B439" s="2" t="s">
        <v>85</v>
      </c>
      <c r="C439" s="2" t="s">
        <v>65</v>
      </c>
      <c r="D439" s="2">
        <v>1148.65</v>
      </c>
      <c r="E439" s="2">
        <v>2.0</v>
      </c>
      <c r="F439" s="2">
        <v>2297.3</v>
      </c>
      <c r="G439" s="2" t="s">
        <v>1611</v>
      </c>
      <c r="H439" s="2" t="s">
        <v>1612</v>
      </c>
      <c r="I439" s="2" t="s">
        <v>1613</v>
      </c>
    </row>
    <row r="440" ht="15.75" customHeight="1">
      <c r="A440" s="1" t="s">
        <v>1091</v>
      </c>
      <c r="B440" s="2" t="s">
        <v>101</v>
      </c>
      <c r="C440" s="2" t="s">
        <v>452</v>
      </c>
      <c r="D440" s="2">
        <v>932.02</v>
      </c>
      <c r="E440" s="2">
        <v>4.0</v>
      </c>
      <c r="F440" s="2">
        <v>3728.08</v>
      </c>
      <c r="G440" s="2" t="s">
        <v>1614</v>
      </c>
      <c r="H440" s="2" t="s">
        <v>1615</v>
      </c>
      <c r="I440" s="2" t="s">
        <v>1616</v>
      </c>
    </row>
    <row r="441" ht="15.75" customHeight="1">
      <c r="A441" s="4" t="s">
        <v>915</v>
      </c>
      <c r="B441" s="2" t="s">
        <v>50</v>
      </c>
      <c r="C441" s="2" t="s">
        <v>500</v>
      </c>
      <c r="D441" s="2">
        <v>1806.33</v>
      </c>
      <c r="E441" s="2">
        <v>1.0</v>
      </c>
      <c r="F441" s="2">
        <v>1806.33</v>
      </c>
      <c r="G441" s="2" t="s">
        <v>1617</v>
      </c>
      <c r="H441" s="2" t="s">
        <v>1618</v>
      </c>
      <c r="I441" s="2" t="s">
        <v>1619</v>
      </c>
    </row>
    <row r="442" ht="15.75" customHeight="1">
      <c r="A442" s="4" t="s">
        <v>1462</v>
      </c>
      <c r="B442" s="2" t="s">
        <v>27</v>
      </c>
      <c r="C442" s="2" t="s">
        <v>86</v>
      </c>
      <c r="D442" s="2">
        <v>2187.34</v>
      </c>
      <c r="E442" s="2">
        <v>1.0</v>
      </c>
      <c r="F442" s="2">
        <v>2187.34</v>
      </c>
      <c r="G442" s="2" t="s">
        <v>1620</v>
      </c>
      <c r="H442" s="2" t="s">
        <v>1621</v>
      </c>
      <c r="I442" s="2" t="s">
        <v>1622</v>
      </c>
    </row>
    <row r="443" ht="15.75" customHeight="1">
      <c r="A443" s="4" t="s">
        <v>859</v>
      </c>
      <c r="B443" s="2" t="s">
        <v>38</v>
      </c>
      <c r="C443" s="2" t="s">
        <v>39</v>
      </c>
      <c r="D443" s="2">
        <v>1859.58</v>
      </c>
      <c r="E443" s="2">
        <v>3.0</v>
      </c>
      <c r="F443" s="2">
        <v>5578.74</v>
      </c>
      <c r="G443" s="2" t="s">
        <v>1623</v>
      </c>
      <c r="H443" s="2" t="s">
        <v>1624</v>
      </c>
      <c r="I443" s="2" t="s">
        <v>1625</v>
      </c>
    </row>
    <row r="444" ht="15.75" customHeight="1">
      <c r="A444" s="1" t="s">
        <v>146</v>
      </c>
      <c r="B444" s="2" t="s">
        <v>16</v>
      </c>
      <c r="C444" s="2" t="s">
        <v>385</v>
      </c>
      <c r="D444" s="2">
        <v>306.11</v>
      </c>
      <c r="E444" s="2">
        <v>2.0</v>
      </c>
      <c r="F444" s="2">
        <v>612.22</v>
      </c>
      <c r="G444" s="2" t="s">
        <v>1626</v>
      </c>
      <c r="H444" s="2" t="s">
        <v>1627</v>
      </c>
      <c r="I444" s="2" t="s">
        <v>1628</v>
      </c>
    </row>
    <row r="445" ht="15.75" customHeight="1">
      <c r="A445" s="4" t="s">
        <v>1388</v>
      </c>
      <c r="B445" s="2" t="s">
        <v>27</v>
      </c>
      <c r="C445" s="2" t="s">
        <v>245</v>
      </c>
      <c r="D445" s="2">
        <v>233.33</v>
      </c>
      <c r="E445" s="2">
        <v>5.0</v>
      </c>
      <c r="F445" s="2">
        <v>1166.65</v>
      </c>
      <c r="G445" s="2" t="s">
        <v>1629</v>
      </c>
      <c r="H445" s="2" t="s">
        <v>1630</v>
      </c>
      <c r="I445" s="2" t="s">
        <v>1631</v>
      </c>
    </row>
    <row r="446" ht="15.75" customHeight="1">
      <c r="A446" s="4" t="s">
        <v>1551</v>
      </c>
      <c r="B446" s="2" t="s">
        <v>50</v>
      </c>
      <c r="C446" s="2" t="s">
        <v>196</v>
      </c>
      <c r="D446" s="2">
        <v>1429.62</v>
      </c>
      <c r="E446" s="2">
        <v>2.0</v>
      </c>
      <c r="F446" s="2">
        <v>2859.24</v>
      </c>
      <c r="G446" s="2" t="s">
        <v>1632</v>
      </c>
      <c r="H446" s="2" t="s">
        <v>1633</v>
      </c>
      <c r="I446" s="3" t="s">
        <v>1634</v>
      </c>
    </row>
    <row r="447" ht="15.75" customHeight="1">
      <c r="A447" s="4" t="s">
        <v>922</v>
      </c>
      <c r="B447" s="2" t="s">
        <v>85</v>
      </c>
      <c r="C447" s="2" t="s">
        <v>22</v>
      </c>
      <c r="D447" s="2">
        <v>1788.74</v>
      </c>
      <c r="E447" s="2">
        <v>2.0</v>
      </c>
      <c r="F447" s="2">
        <v>3577.48</v>
      </c>
      <c r="G447" s="2" t="s">
        <v>1635</v>
      </c>
      <c r="H447" s="2" t="s">
        <v>1636</v>
      </c>
      <c r="I447" s="2" t="s">
        <v>1637</v>
      </c>
    </row>
    <row r="448" ht="15.75" customHeight="1">
      <c r="A448" s="4" t="s">
        <v>884</v>
      </c>
      <c r="B448" s="2" t="s">
        <v>38</v>
      </c>
      <c r="C448" s="2" t="s">
        <v>226</v>
      </c>
      <c r="D448" s="2">
        <v>2199.82</v>
      </c>
      <c r="E448" s="2">
        <v>4.0</v>
      </c>
      <c r="F448" s="2">
        <v>8799.28</v>
      </c>
      <c r="G448" s="2" t="s">
        <v>1638</v>
      </c>
      <c r="H448" s="2" t="s">
        <v>1639</v>
      </c>
      <c r="I448" s="2" t="s">
        <v>1640</v>
      </c>
    </row>
    <row r="449" ht="15.75" customHeight="1">
      <c r="A449" s="1" t="s">
        <v>69</v>
      </c>
      <c r="B449" s="2" t="s">
        <v>368</v>
      </c>
      <c r="C449" s="2" t="s">
        <v>70</v>
      </c>
      <c r="D449" s="2">
        <v>2476.21</v>
      </c>
      <c r="E449" s="2">
        <v>5.0</v>
      </c>
      <c r="F449" s="2">
        <v>12381.05</v>
      </c>
      <c r="G449" s="2" t="s">
        <v>1641</v>
      </c>
      <c r="H449" s="2" t="s">
        <v>1642</v>
      </c>
      <c r="I449" s="2" t="s">
        <v>1643</v>
      </c>
    </row>
    <row r="450" ht="15.75" customHeight="1">
      <c r="A450" s="1" t="s">
        <v>1249</v>
      </c>
      <c r="B450" s="2" t="s">
        <v>50</v>
      </c>
      <c r="C450" s="2" t="s">
        <v>172</v>
      </c>
      <c r="D450" s="2">
        <v>2261.12</v>
      </c>
      <c r="E450" s="2">
        <v>4.0</v>
      </c>
      <c r="F450" s="2">
        <v>9044.48</v>
      </c>
      <c r="G450" s="2" t="s">
        <v>1644</v>
      </c>
      <c r="H450" s="2" t="s">
        <v>1645</v>
      </c>
      <c r="I450" s="2" t="s">
        <v>1646</v>
      </c>
    </row>
    <row r="451" ht="15.75" customHeight="1">
      <c r="A451" s="1" t="s">
        <v>866</v>
      </c>
      <c r="B451" s="2" t="s">
        <v>27</v>
      </c>
      <c r="C451" s="2" t="s">
        <v>55</v>
      </c>
      <c r="D451" s="2">
        <v>1247.08</v>
      </c>
      <c r="E451" s="2">
        <v>1.0</v>
      </c>
      <c r="F451" s="2">
        <v>1247.08</v>
      </c>
      <c r="G451" s="2" t="s">
        <v>1647</v>
      </c>
      <c r="H451" s="2" t="s">
        <v>1648</v>
      </c>
      <c r="I451" s="2" t="s">
        <v>1649</v>
      </c>
    </row>
    <row r="452" ht="15.75" customHeight="1">
      <c r="A452" s="4" t="s">
        <v>899</v>
      </c>
      <c r="B452" s="2" t="s">
        <v>85</v>
      </c>
      <c r="C452" s="2" t="s">
        <v>196</v>
      </c>
      <c r="D452" s="2">
        <v>479.96</v>
      </c>
      <c r="E452" s="2">
        <v>4.0</v>
      </c>
      <c r="F452" s="2">
        <v>1919.84</v>
      </c>
      <c r="G452" s="2" t="s">
        <v>1650</v>
      </c>
      <c r="H452" s="2" t="s">
        <v>1651</v>
      </c>
      <c r="I452" s="2" t="s">
        <v>1652</v>
      </c>
    </row>
    <row r="453" ht="15.75" customHeight="1">
      <c r="A453" s="1" t="s">
        <v>69</v>
      </c>
      <c r="B453" s="2" t="s">
        <v>101</v>
      </c>
      <c r="C453" s="2" t="s">
        <v>1653</v>
      </c>
      <c r="D453" s="2">
        <v>1155.26</v>
      </c>
      <c r="E453" s="2">
        <v>4.0</v>
      </c>
      <c r="F453" s="2">
        <v>4621.04</v>
      </c>
      <c r="G453" s="2" t="s">
        <v>1654</v>
      </c>
      <c r="H453" s="2" t="s">
        <v>1655</v>
      </c>
      <c r="I453" s="2" t="s">
        <v>1656</v>
      </c>
    </row>
    <row r="454" ht="15.75" customHeight="1">
      <c r="A454" s="1" t="s">
        <v>160</v>
      </c>
      <c r="B454" s="2" t="s">
        <v>101</v>
      </c>
      <c r="C454" s="2" t="s">
        <v>111</v>
      </c>
      <c r="D454" s="2">
        <v>563.92</v>
      </c>
      <c r="E454" s="2">
        <v>2.0</v>
      </c>
      <c r="F454" s="2">
        <v>1127.84</v>
      </c>
      <c r="G454" s="2" t="s">
        <v>1657</v>
      </c>
      <c r="H454" s="2" t="s">
        <v>1658</v>
      </c>
      <c r="I454" s="2" t="s">
        <v>1659</v>
      </c>
    </row>
    <row r="455" ht="15.75" customHeight="1">
      <c r="A455" s="1" t="s">
        <v>69</v>
      </c>
      <c r="B455" s="2" t="s">
        <v>50</v>
      </c>
      <c r="C455" s="2" t="s">
        <v>75</v>
      </c>
      <c r="D455" s="2">
        <v>1022.39</v>
      </c>
      <c r="E455" s="2">
        <v>2.0</v>
      </c>
      <c r="F455" s="2">
        <v>2044.78</v>
      </c>
      <c r="G455" s="2" t="s">
        <v>1660</v>
      </c>
      <c r="H455" s="2" t="s">
        <v>1661</v>
      </c>
      <c r="I455" s="2" t="s">
        <v>1662</v>
      </c>
    </row>
    <row r="456" ht="15.75" customHeight="1">
      <c r="A456" s="4" t="s">
        <v>1663</v>
      </c>
      <c r="B456" s="2" t="s">
        <v>38</v>
      </c>
      <c r="C456" s="2" t="s">
        <v>452</v>
      </c>
      <c r="D456" s="2">
        <v>1527.87</v>
      </c>
      <c r="E456" s="2">
        <v>2.0</v>
      </c>
      <c r="F456" s="2">
        <v>3055.74</v>
      </c>
      <c r="G456" s="2" t="s">
        <v>1664</v>
      </c>
      <c r="H456" s="2" t="s">
        <v>1665</v>
      </c>
      <c r="I456" s="2" t="s">
        <v>1666</v>
      </c>
    </row>
    <row r="457" ht="15.75" customHeight="1">
      <c r="A457" s="1" t="s">
        <v>895</v>
      </c>
      <c r="B457" s="2" t="s">
        <v>50</v>
      </c>
      <c r="C457" s="2" t="s">
        <v>176</v>
      </c>
      <c r="D457" s="2">
        <v>1804.11</v>
      </c>
      <c r="E457" s="2">
        <v>4.0</v>
      </c>
      <c r="F457" s="2">
        <v>7216.44</v>
      </c>
      <c r="G457" s="2" t="s">
        <v>1667</v>
      </c>
      <c r="H457" s="2" t="s">
        <v>1668</v>
      </c>
      <c r="I457" s="2" t="s">
        <v>1669</v>
      </c>
    </row>
    <row r="458" ht="15.75" customHeight="1">
      <c r="A458" s="4" t="s">
        <v>949</v>
      </c>
      <c r="B458" s="2" t="s">
        <v>27</v>
      </c>
      <c r="C458" s="2" t="s">
        <v>80</v>
      </c>
      <c r="D458" s="2">
        <v>70.91</v>
      </c>
      <c r="E458" s="2">
        <v>3.0</v>
      </c>
      <c r="F458" s="2">
        <v>212.73</v>
      </c>
      <c r="G458" s="2" t="s">
        <v>1670</v>
      </c>
      <c r="H458" s="2" t="s">
        <v>1671</v>
      </c>
      <c r="I458" s="2" t="s">
        <v>1672</v>
      </c>
    </row>
    <row r="459" ht="15.75" customHeight="1">
      <c r="A459" s="1" t="s">
        <v>1058</v>
      </c>
      <c r="B459" s="2" t="s">
        <v>50</v>
      </c>
      <c r="C459" s="2" t="s">
        <v>181</v>
      </c>
      <c r="D459" s="2">
        <v>1768.85</v>
      </c>
      <c r="E459" s="2">
        <v>5.0</v>
      </c>
      <c r="F459" s="2">
        <v>8844.25</v>
      </c>
      <c r="G459" s="2" t="s">
        <v>1673</v>
      </c>
      <c r="H459" s="2" t="s">
        <v>1674</v>
      </c>
      <c r="I459" s="2" t="s">
        <v>1675</v>
      </c>
    </row>
    <row r="460" ht="15.75" customHeight="1">
      <c r="A460" s="1" t="s">
        <v>1209</v>
      </c>
      <c r="B460" s="2" t="s">
        <v>85</v>
      </c>
      <c r="C460" s="2" t="s">
        <v>1676</v>
      </c>
      <c r="D460" s="2">
        <v>446.49</v>
      </c>
      <c r="E460" s="2">
        <v>3.0</v>
      </c>
      <c r="F460" s="2">
        <v>1339.47</v>
      </c>
      <c r="G460" s="2" t="s">
        <v>1677</v>
      </c>
      <c r="H460" s="2" t="s">
        <v>1678</v>
      </c>
      <c r="I460" s="2" t="s">
        <v>1679</v>
      </c>
    </row>
    <row r="461" ht="15.75" customHeight="1">
      <c r="A461" s="1" t="s">
        <v>1035</v>
      </c>
      <c r="B461" s="2" t="s">
        <v>101</v>
      </c>
      <c r="C461" s="2" t="s">
        <v>250</v>
      </c>
      <c r="D461" s="2">
        <v>416.81</v>
      </c>
      <c r="E461" s="2">
        <v>2.0</v>
      </c>
      <c r="F461" s="2">
        <v>833.62</v>
      </c>
      <c r="G461" s="2" t="s">
        <v>1680</v>
      </c>
      <c r="H461" s="2" t="s">
        <v>1681</v>
      </c>
      <c r="I461" s="2" t="s">
        <v>1682</v>
      </c>
    </row>
    <row r="462" ht="15.75" customHeight="1">
      <c r="A462" s="1" t="s">
        <v>1683</v>
      </c>
      <c r="B462" s="2" t="s">
        <v>50</v>
      </c>
      <c r="C462" s="2" t="s">
        <v>807</v>
      </c>
      <c r="D462" s="2">
        <v>1437.75</v>
      </c>
      <c r="E462" s="2">
        <v>5.0</v>
      </c>
      <c r="F462" s="2">
        <v>7188.75</v>
      </c>
      <c r="G462" s="2" t="s">
        <v>1684</v>
      </c>
      <c r="H462" s="2" t="s">
        <v>1685</v>
      </c>
      <c r="I462" s="2" t="s">
        <v>1686</v>
      </c>
    </row>
    <row r="463" ht="15.75" customHeight="1">
      <c r="A463" s="4" t="s">
        <v>1498</v>
      </c>
      <c r="B463" s="2" t="s">
        <v>85</v>
      </c>
      <c r="C463" s="2" t="s">
        <v>360</v>
      </c>
      <c r="D463" s="2">
        <v>2078.48</v>
      </c>
      <c r="E463" s="2">
        <v>3.0</v>
      </c>
      <c r="F463" s="2">
        <v>6235.44</v>
      </c>
      <c r="G463" s="2" t="s">
        <v>1687</v>
      </c>
      <c r="H463" s="2" t="s">
        <v>1688</v>
      </c>
      <c r="I463" s="2" t="s">
        <v>1689</v>
      </c>
    </row>
    <row r="464" ht="15.75" customHeight="1">
      <c r="A464" s="1" t="s">
        <v>1189</v>
      </c>
      <c r="B464" s="2" t="s">
        <v>27</v>
      </c>
      <c r="C464" s="2" t="s">
        <v>181</v>
      </c>
      <c r="D464" s="2">
        <v>1292.9</v>
      </c>
      <c r="E464" s="2">
        <v>2.0</v>
      </c>
      <c r="F464" s="2">
        <v>2585.8</v>
      </c>
      <c r="G464" s="2" t="s">
        <v>1690</v>
      </c>
      <c r="H464" s="2" t="s">
        <v>1691</v>
      </c>
      <c r="I464" s="2" t="s">
        <v>1692</v>
      </c>
    </row>
    <row r="465" ht="15.75" customHeight="1">
      <c r="A465" s="1" t="s">
        <v>257</v>
      </c>
      <c r="B465" s="2" t="s">
        <v>85</v>
      </c>
      <c r="C465" s="2" t="s">
        <v>311</v>
      </c>
      <c r="D465" s="2">
        <v>1703.47</v>
      </c>
      <c r="E465" s="2">
        <v>2.0</v>
      </c>
      <c r="F465" s="2">
        <v>3406.94</v>
      </c>
      <c r="G465" s="2" t="s">
        <v>1693</v>
      </c>
      <c r="H465" s="2" t="s">
        <v>1694</v>
      </c>
      <c r="I465" s="2" t="s">
        <v>1695</v>
      </c>
    </row>
    <row r="466" ht="15.75" customHeight="1">
      <c r="A466" s="4" t="s">
        <v>49</v>
      </c>
      <c r="B466" s="2" t="s">
        <v>101</v>
      </c>
      <c r="C466" s="2" t="s">
        <v>201</v>
      </c>
      <c r="D466" s="2">
        <v>240.45</v>
      </c>
      <c r="E466" s="2">
        <v>4.0</v>
      </c>
      <c r="F466" s="2">
        <v>961.8</v>
      </c>
      <c r="G466" s="2" t="s">
        <v>1696</v>
      </c>
      <c r="H466" s="2" t="s">
        <v>1697</v>
      </c>
      <c r="I466" s="2" t="s">
        <v>1698</v>
      </c>
    </row>
    <row r="467" ht="15.75" customHeight="1">
      <c r="A467" s="1" t="s">
        <v>851</v>
      </c>
      <c r="B467" s="2" t="s">
        <v>38</v>
      </c>
      <c r="C467" s="2" t="s">
        <v>33</v>
      </c>
      <c r="D467" s="2">
        <v>1700.41</v>
      </c>
      <c r="E467" s="2">
        <v>4.0</v>
      </c>
      <c r="F467" s="2">
        <v>6801.64</v>
      </c>
      <c r="G467" s="2" t="s">
        <v>1699</v>
      </c>
      <c r="H467" s="2" t="s">
        <v>1700</v>
      </c>
      <c r="I467" s="2" t="s">
        <v>1701</v>
      </c>
    </row>
    <row r="468" ht="15.75" customHeight="1">
      <c r="A468" s="4" t="s">
        <v>1342</v>
      </c>
      <c r="B468" s="2" t="s">
        <v>50</v>
      </c>
      <c r="C468" s="2" t="s">
        <v>206</v>
      </c>
      <c r="D468" s="2">
        <v>460.62</v>
      </c>
      <c r="E468" s="2">
        <v>4.0</v>
      </c>
      <c r="F468" s="2">
        <v>1842.48</v>
      </c>
      <c r="G468" s="2" t="s">
        <v>1702</v>
      </c>
      <c r="H468" s="2" t="s">
        <v>1703</v>
      </c>
      <c r="I468" s="2" t="s">
        <v>1704</v>
      </c>
    </row>
    <row r="469" ht="15.75" customHeight="1">
      <c r="A469" s="1" t="s">
        <v>1683</v>
      </c>
      <c r="B469" s="2" t="s">
        <v>16</v>
      </c>
      <c r="C469" s="2" t="s">
        <v>75</v>
      </c>
      <c r="D469" s="2">
        <v>1092.45</v>
      </c>
      <c r="E469" s="2">
        <v>3.0</v>
      </c>
      <c r="F469" s="2">
        <v>3277.35</v>
      </c>
      <c r="G469" s="2" t="s">
        <v>1705</v>
      </c>
      <c r="H469" s="2" t="s">
        <v>1706</v>
      </c>
      <c r="I469" s="2" t="s">
        <v>1707</v>
      </c>
    </row>
    <row r="470" ht="15.75" customHeight="1">
      <c r="A470" s="5" t="s">
        <v>1311</v>
      </c>
      <c r="B470" s="2" t="s">
        <v>27</v>
      </c>
      <c r="C470" s="2" t="s">
        <v>17</v>
      </c>
      <c r="D470" s="2">
        <v>1270.75</v>
      </c>
      <c r="E470" s="2">
        <v>5.0</v>
      </c>
      <c r="F470" s="2">
        <v>6353.75</v>
      </c>
      <c r="G470" s="2" t="s">
        <v>1708</v>
      </c>
      <c r="H470" s="2" t="s">
        <v>1709</v>
      </c>
      <c r="I470" s="2" t="s">
        <v>1710</v>
      </c>
    </row>
    <row r="471" ht="15.75" customHeight="1">
      <c r="A471" s="4" t="s">
        <v>915</v>
      </c>
      <c r="B471" s="2" t="s">
        <v>38</v>
      </c>
      <c r="C471" s="2" t="s">
        <v>1015</v>
      </c>
      <c r="D471" s="2">
        <v>583.68</v>
      </c>
      <c r="E471" s="2">
        <v>4.0</v>
      </c>
      <c r="F471" s="2">
        <v>2334.72</v>
      </c>
      <c r="G471" s="2" t="s">
        <v>1711</v>
      </c>
      <c r="H471" s="2" t="s">
        <v>1712</v>
      </c>
      <c r="I471" s="2" t="s">
        <v>1713</v>
      </c>
    </row>
    <row r="472" ht="15.75" customHeight="1">
      <c r="A472" s="4" t="s">
        <v>1714</v>
      </c>
      <c r="B472" s="2" t="s">
        <v>27</v>
      </c>
      <c r="C472" s="2" t="s">
        <v>348</v>
      </c>
      <c r="D472" s="2">
        <v>1284.18</v>
      </c>
      <c r="E472" s="2">
        <v>3.0</v>
      </c>
      <c r="F472" s="2">
        <v>3852.54</v>
      </c>
      <c r="G472" s="2" t="s">
        <v>1715</v>
      </c>
      <c r="H472" s="2" t="s">
        <v>1716</v>
      </c>
      <c r="I472" s="2" t="s">
        <v>1717</v>
      </c>
    </row>
    <row r="473" ht="15.75" customHeight="1">
      <c r="A473" s="4" t="s">
        <v>327</v>
      </c>
      <c r="B473" s="2" t="s">
        <v>27</v>
      </c>
      <c r="C473" s="2" t="s">
        <v>22</v>
      </c>
      <c r="D473" s="2">
        <v>569.56</v>
      </c>
      <c r="E473" s="2">
        <v>4.0</v>
      </c>
      <c r="F473" s="2">
        <v>2278.24</v>
      </c>
      <c r="G473" s="2" t="s">
        <v>1718</v>
      </c>
      <c r="H473" s="2" t="s">
        <v>1719</v>
      </c>
      <c r="I473" s="2" t="s">
        <v>1720</v>
      </c>
    </row>
    <row r="474" ht="15.75" customHeight="1">
      <c r="A474" s="1" t="s">
        <v>214</v>
      </c>
      <c r="B474" s="2" t="s">
        <v>50</v>
      </c>
      <c r="C474" s="2" t="s">
        <v>235</v>
      </c>
      <c r="D474" s="2">
        <v>1808.18</v>
      </c>
      <c r="E474" s="2">
        <v>5.0</v>
      </c>
      <c r="F474" s="2">
        <v>9040.9</v>
      </c>
      <c r="G474" s="2" t="s">
        <v>1721</v>
      </c>
      <c r="H474" s="2" t="s">
        <v>1722</v>
      </c>
      <c r="I474" s="2" t="s">
        <v>1723</v>
      </c>
    </row>
    <row r="475" ht="15.75" customHeight="1">
      <c r="A475" s="1" t="s">
        <v>276</v>
      </c>
      <c r="B475" s="2" t="s">
        <v>50</v>
      </c>
      <c r="C475" s="2" t="s">
        <v>96</v>
      </c>
      <c r="D475" s="2">
        <v>2255.29</v>
      </c>
      <c r="E475" s="2">
        <v>3.0</v>
      </c>
      <c r="F475" s="2">
        <v>6765.87</v>
      </c>
      <c r="G475" s="2" t="s">
        <v>1724</v>
      </c>
      <c r="H475" s="2" t="s">
        <v>1725</v>
      </c>
      <c r="I475" s="2" t="s">
        <v>1726</v>
      </c>
    </row>
    <row r="476" ht="15.75" customHeight="1">
      <c r="A476" s="1" t="s">
        <v>195</v>
      </c>
      <c r="B476" s="2" t="s">
        <v>38</v>
      </c>
      <c r="C476" s="2" t="s">
        <v>116</v>
      </c>
      <c r="D476" s="2">
        <v>847.32</v>
      </c>
      <c r="E476" s="2">
        <v>5.0</v>
      </c>
      <c r="F476" s="2">
        <v>4236.6</v>
      </c>
      <c r="G476" s="2" t="s">
        <v>1727</v>
      </c>
      <c r="H476" s="2" t="s">
        <v>1728</v>
      </c>
      <c r="I476" s="2" t="s">
        <v>1729</v>
      </c>
    </row>
    <row r="477" ht="15.75" customHeight="1">
      <c r="A477" s="1" t="s">
        <v>195</v>
      </c>
      <c r="B477" s="2" t="s">
        <v>50</v>
      </c>
      <c r="C477" s="2" t="s">
        <v>75</v>
      </c>
      <c r="D477" s="2">
        <v>509.58</v>
      </c>
      <c r="E477" s="2">
        <v>3.0</v>
      </c>
      <c r="F477" s="2">
        <v>1528.74</v>
      </c>
      <c r="G477" s="2" t="s">
        <v>1730</v>
      </c>
      <c r="H477" s="2" t="s">
        <v>1731</v>
      </c>
      <c r="I477" s="2" t="s">
        <v>1732</v>
      </c>
    </row>
    <row r="478" ht="15.75" customHeight="1">
      <c r="A478" s="4" t="s">
        <v>1007</v>
      </c>
      <c r="B478" s="2" t="s">
        <v>16</v>
      </c>
      <c r="C478" s="2" t="s">
        <v>369</v>
      </c>
      <c r="D478" s="2">
        <v>578.14</v>
      </c>
      <c r="E478" s="2">
        <v>5.0</v>
      </c>
      <c r="F478" s="2">
        <v>2890.7</v>
      </c>
      <c r="G478" s="2" t="s">
        <v>1733</v>
      </c>
      <c r="H478" s="2" t="s">
        <v>1734</v>
      </c>
      <c r="I478" s="2" t="s">
        <v>1735</v>
      </c>
    </row>
    <row r="479" ht="15.75" customHeight="1">
      <c r="A479" s="1" t="s">
        <v>1209</v>
      </c>
      <c r="B479" s="2" t="s">
        <v>27</v>
      </c>
      <c r="C479" s="2" t="s">
        <v>245</v>
      </c>
      <c r="D479" s="2">
        <v>879.78</v>
      </c>
      <c r="E479" s="2">
        <v>1.0</v>
      </c>
      <c r="F479" s="2">
        <v>879.78</v>
      </c>
      <c r="G479" s="2" t="s">
        <v>1736</v>
      </c>
      <c r="H479" s="2" t="s">
        <v>1737</v>
      </c>
      <c r="I479" s="2" t="s">
        <v>1738</v>
      </c>
    </row>
    <row r="480" ht="15.75" customHeight="1">
      <c r="A480" s="1" t="s">
        <v>257</v>
      </c>
      <c r="B480" s="2" t="s">
        <v>85</v>
      </c>
      <c r="C480" s="2" t="s">
        <v>75</v>
      </c>
      <c r="D480" s="2">
        <v>205.25</v>
      </c>
      <c r="E480" s="2">
        <v>3.0</v>
      </c>
      <c r="F480" s="2">
        <v>615.75</v>
      </c>
      <c r="G480" s="2" t="s">
        <v>1739</v>
      </c>
      <c r="H480" s="2" t="s">
        <v>1740</v>
      </c>
      <c r="I480" s="2" t="s">
        <v>1741</v>
      </c>
    </row>
    <row r="481" ht="15.75" customHeight="1">
      <c r="A481" s="1" t="s">
        <v>836</v>
      </c>
      <c r="B481" s="2" t="s">
        <v>27</v>
      </c>
      <c r="C481" s="2" t="s">
        <v>65</v>
      </c>
      <c r="D481" s="2">
        <v>2309.76</v>
      </c>
      <c r="E481" s="2">
        <v>5.0</v>
      </c>
      <c r="F481" s="2">
        <v>11548.8</v>
      </c>
      <c r="G481" s="2" t="s">
        <v>1742</v>
      </c>
      <c r="H481" s="2" t="s">
        <v>1743</v>
      </c>
      <c r="I481" s="2" t="s">
        <v>1744</v>
      </c>
    </row>
    <row r="482" ht="15.75" customHeight="1">
      <c r="A482" s="4" t="s">
        <v>1745</v>
      </c>
      <c r="B482" s="2" t="s">
        <v>16</v>
      </c>
      <c r="C482" s="2" t="s">
        <v>147</v>
      </c>
      <c r="D482" s="2">
        <v>1540.33</v>
      </c>
      <c r="E482" s="2">
        <v>1.0</v>
      </c>
      <c r="F482" s="2">
        <v>1540.33</v>
      </c>
      <c r="G482" s="2" t="s">
        <v>1746</v>
      </c>
      <c r="H482" s="2" t="s">
        <v>1747</v>
      </c>
      <c r="I482" s="2" t="s">
        <v>1748</v>
      </c>
    </row>
    <row r="483" ht="15.75" customHeight="1">
      <c r="A483" s="4" t="s">
        <v>1068</v>
      </c>
      <c r="B483" s="2" t="s">
        <v>38</v>
      </c>
      <c r="C483" s="2" t="s">
        <v>17</v>
      </c>
      <c r="D483" s="2">
        <v>1018.4</v>
      </c>
      <c r="E483" s="2">
        <v>5.0</v>
      </c>
      <c r="F483" s="2">
        <v>5092.0</v>
      </c>
      <c r="G483" s="2" t="s">
        <v>1749</v>
      </c>
      <c r="H483" s="2" t="s">
        <v>1750</v>
      </c>
      <c r="I483" s="2" t="s">
        <v>1751</v>
      </c>
    </row>
    <row r="484" ht="15.75" customHeight="1">
      <c r="A484" s="4" t="s">
        <v>1498</v>
      </c>
      <c r="B484" s="2" t="s">
        <v>27</v>
      </c>
      <c r="C484" s="2" t="s">
        <v>807</v>
      </c>
      <c r="D484" s="2">
        <v>1058.81</v>
      </c>
      <c r="E484" s="2">
        <v>3.0</v>
      </c>
      <c r="F484" s="2">
        <v>3176.43</v>
      </c>
      <c r="G484" s="2" t="s">
        <v>1752</v>
      </c>
      <c r="H484" s="2" t="s">
        <v>1753</v>
      </c>
      <c r="I484" s="2" t="s">
        <v>1754</v>
      </c>
    </row>
    <row r="485" ht="15.75" customHeight="1">
      <c r="A485" s="1" t="s">
        <v>230</v>
      </c>
      <c r="B485" s="2" t="s">
        <v>27</v>
      </c>
      <c r="C485" s="2" t="s">
        <v>176</v>
      </c>
      <c r="D485" s="2">
        <v>890.66</v>
      </c>
      <c r="E485" s="2">
        <v>1.0</v>
      </c>
      <c r="F485" s="2">
        <v>890.66</v>
      </c>
      <c r="G485" s="2" t="s">
        <v>1755</v>
      </c>
      <c r="H485" s="2" t="s">
        <v>1756</v>
      </c>
      <c r="I485" s="2" t="s">
        <v>1757</v>
      </c>
    </row>
    <row r="486" ht="15.75" customHeight="1">
      <c r="A486" s="1" t="s">
        <v>866</v>
      </c>
      <c r="B486" s="2" t="s">
        <v>16</v>
      </c>
      <c r="C486" s="2" t="s">
        <v>162</v>
      </c>
      <c r="D486" s="2">
        <v>252.24</v>
      </c>
      <c r="E486" s="2">
        <v>5.0</v>
      </c>
      <c r="F486" s="2">
        <v>1261.2</v>
      </c>
      <c r="G486" s="2" t="s">
        <v>1758</v>
      </c>
      <c r="H486" s="2" t="s">
        <v>1759</v>
      </c>
      <c r="I486" s="2" t="s">
        <v>1760</v>
      </c>
    </row>
    <row r="487" ht="15.75" customHeight="1">
      <c r="A487" s="4" t="s">
        <v>1663</v>
      </c>
      <c r="B487" s="2" t="s">
        <v>101</v>
      </c>
      <c r="C487" s="2" t="s">
        <v>311</v>
      </c>
      <c r="D487" s="2">
        <v>1705.74</v>
      </c>
      <c r="E487" s="2">
        <v>4.0</v>
      </c>
      <c r="F487" s="2">
        <v>6822.96</v>
      </c>
      <c r="G487" s="2" t="s">
        <v>1761</v>
      </c>
      <c r="H487" s="2" t="s">
        <v>1762</v>
      </c>
      <c r="I487" s="2" t="s">
        <v>1763</v>
      </c>
    </row>
    <row r="488" ht="15.75" customHeight="1">
      <c r="A488" s="1" t="s">
        <v>15</v>
      </c>
      <c r="B488" s="2" t="s">
        <v>85</v>
      </c>
      <c r="C488" s="2" t="s">
        <v>65</v>
      </c>
      <c r="D488" s="2">
        <v>2289.42</v>
      </c>
      <c r="E488" s="2">
        <v>4.0</v>
      </c>
      <c r="F488" s="2">
        <v>9157.68</v>
      </c>
      <c r="G488" s="2" t="s">
        <v>1764</v>
      </c>
      <c r="H488" s="2" t="s">
        <v>1765</v>
      </c>
      <c r="I488" s="2" t="s">
        <v>1766</v>
      </c>
    </row>
    <row r="489" ht="15.75" customHeight="1">
      <c r="A489" s="1" t="s">
        <v>474</v>
      </c>
      <c r="B489" s="2" t="s">
        <v>85</v>
      </c>
      <c r="C489" s="2" t="s">
        <v>181</v>
      </c>
      <c r="D489" s="2">
        <v>2281.01</v>
      </c>
      <c r="E489" s="2">
        <v>4.0</v>
      </c>
      <c r="F489" s="2">
        <v>9124.04</v>
      </c>
      <c r="G489" s="2" t="s">
        <v>1767</v>
      </c>
      <c r="H489" s="2" t="s">
        <v>1768</v>
      </c>
      <c r="I489" s="2" t="s">
        <v>1769</v>
      </c>
    </row>
    <row r="490" ht="15.75" customHeight="1">
      <c r="A490" s="1" t="s">
        <v>781</v>
      </c>
      <c r="B490" s="2" t="s">
        <v>50</v>
      </c>
      <c r="C490" s="2" t="s">
        <v>70</v>
      </c>
      <c r="D490" s="2">
        <v>1093.69</v>
      </c>
      <c r="E490" s="2">
        <v>1.0</v>
      </c>
      <c r="F490" s="2">
        <v>1093.69</v>
      </c>
      <c r="G490" s="2" t="s">
        <v>1770</v>
      </c>
      <c r="H490" s="2" t="s">
        <v>1771</v>
      </c>
      <c r="I490" s="2" t="s">
        <v>1772</v>
      </c>
    </row>
    <row r="491" ht="15.75" customHeight="1">
      <c r="A491" s="1" t="s">
        <v>1683</v>
      </c>
      <c r="B491" s="2" t="s">
        <v>50</v>
      </c>
      <c r="C491" s="2" t="s">
        <v>147</v>
      </c>
      <c r="D491" s="2">
        <v>233.85</v>
      </c>
      <c r="E491" s="2">
        <v>3.0</v>
      </c>
      <c r="F491" s="2">
        <v>701.55</v>
      </c>
      <c r="G491" s="2" t="s">
        <v>1773</v>
      </c>
      <c r="H491" s="2" t="s">
        <v>1774</v>
      </c>
      <c r="I491" s="2" t="s">
        <v>1775</v>
      </c>
    </row>
    <row r="492" ht="15.75" customHeight="1">
      <c r="A492" s="1" t="s">
        <v>826</v>
      </c>
      <c r="B492" s="2" t="s">
        <v>101</v>
      </c>
      <c r="C492" s="2" t="s">
        <v>508</v>
      </c>
      <c r="D492" s="2">
        <v>1779.34</v>
      </c>
      <c r="E492" s="2">
        <v>3.0</v>
      </c>
      <c r="F492" s="2">
        <v>5338.02</v>
      </c>
      <c r="G492" s="2" t="s">
        <v>1776</v>
      </c>
      <c r="H492" s="2" t="s">
        <v>1777</v>
      </c>
      <c r="I492" s="2" t="s">
        <v>1778</v>
      </c>
    </row>
    <row r="493" ht="15.75" customHeight="1">
      <c r="A493" s="4" t="s">
        <v>974</v>
      </c>
      <c r="B493" s="2" t="s">
        <v>16</v>
      </c>
      <c r="C493" s="2" t="s">
        <v>1015</v>
      </c>
      <c r="D493" s="2">
        <v>1490.57</v>
      </c>
      <c r="E493" s="2">
        <v>3.0</v>
      </c>
      <c r="F493" s="2">
        <v>4471.71</v>
      </c>
      <c r="G493" s="2" t="s">
        <v>1779</v>
      </c>
      <c r="H493" s="2" t="s">
        <v>1780</v>
      </c>
      <c r="I493" s="2" t="s">
        <v>1781</v>
      </c>
    </row>
    <row r="494" ht="15.75" customHeight="1">
      <c r="A494" s="1" t="s">
        <v>939</v>
      </c>
      <c r="B494" s="2" t="s">
        <v>101</v>
      </c>
      <c r="C494" s="2" t="s">
        <v>135</v>
      </c>
      <c r="D494" s="2">
        <v>1696.63</v>
      </c>
      <c r="E494" s="2">
        <v>4.0</v>
      </c>
      <c r="F494" s="2">
        <v>6786.52</v>
      </c>
      <c r="G494" s="2" t="s">
        <v>1782</v>
      </c>
      <c r="H494" s="2" t="s">
        <v>1783</v>
      </c>
      <c r="I494" s="2" t="s">
        <v>1784</v>
      </c>
    </row>
    <row r="495" ht="15.75" customHeight="1">
      <c r="A495" s="4" t="s">
        <v>1520</v>
      </c>
      <c r="B495" s="2" t="s">
        <v>27</v>
      </c>
      <c r="C495" s="2" t="s">
        <v>698</v>
      </c>
      <c r="D495" s="2">
        <v>942.47</v>
      </c>
      <c r="E495" s="2">
        <v>2.0</v>
      </c>
      <c r="F495" s="2">
        <v>1884.94</v>
      </c>
      <c r="G495" s="2" t="s">
        <v>1785</v>
      </c>
      <c r="H495" s="2" t="s">
        <v>1786</v>
      </c>
      <c r="I495" s="2" t="s">
        <v>1787</v>
      </c>
    </row>
    <row r="496" ht="15.75" customHeight="1">
      <c r="A496" s="1" t="s">
        <v>1135</v>
      </c>
      <c r="B496" s="2" t="s">
        <v>38</v>
      </c>
      <c r="C496" s="2" t="s">
        <v>191</v>
      </c>
      <c r="D496" s="2">
        <v>2064.92</v>
      </c>
      <c r="E496" s="2">
        <v>3.0</v>
      </c>
      <c r="F496" s="2">
        <v>6194.76</v>
      </c>
      <c r="G496" s="2" t="s">
        <v>1788</v>
      </c>
      <c r="H496" s="2" t="s">
        <v>1789</v>
      </c>
      <c r="I496" s="3" t="s">
        <v>1790</v>
      </c>
    </row>
    <row r="497" ht="15.75" customHeight="1">
      <c r="A497" s="4" t="s">
        <v>105</v>
      </c>
      <c r="B497" s="2" t="s">
        <v>85</v>
      </c>
      <c r="C497" s="2" t="s">
        <v>152</v>
      </c>
      <c r="D497" s="2">
        <v>2182.77</v>
      </c>
      <c r="E497" s="2">
        <v>3.0</v>
      </c>
      <c r="F497" s="2">
        <v>6548.31</v>
      </c>
      <c r="G497" s="2" t="s">
        <v>1791</v>
      </c>
      <c r="H497" s="2" t="s">
        <v>1792</v>
      </c>
      <c r="I497" s="2" t="s">
        <v>1793</v>
      </c>
    </row>
    <row r="498" ht="15.75" customHeight="1">
      <c r="A498" s="1" t="s">
        <v>579</v>
      </c>
      <c r="B498" s="2" t="s">
        <v>38</v>
      </c>
      <c r="C498" s="2" t="s">
        <v>385</v>
      </c>
      <c r="D498" s="2">
        <v>1402.66</v>
      </c>
      <c r="E498" s="2">
        <v>5.0</v>
      </c>
      <c r="F498" s="2">
        <v>7013.3</v>
      </c>
      <c r="G498" s="2" t="s">
        <v>1794</v>
      </c>
      <c r="H498" s="2" t="s">
        <v>1795</v>
      </c>
      <c r="I498" s="2" t="s">
        <v>1796</v>
      </c>
    </row>
    <row r="499" ht="15.75" customHeight="1">
      <c r="A499" s="1" t="s">
        <v>409</v>
      </c>
      <c r="B499" s="2" t="s">
        <v>85</v>
      </c>
      <c r="C499" s="2" t="s">
        <v>33</v>
      </c>
      <c r="D499" s="2">
        <v>2420.41</v>
      </c>
      <c r="E499" s="2">
        <v>2.0</v>
      </c>
      <c r="F499" s="2">
        <v>4840.82</v>
      </c>
      <c r="G499" s="2" t="s">
        <v>1797</v>
      </c>
      <c r="H499" s="2" t="s">
        <v>1798</v>
      </c>
      <c r="I499" s="2" t="s">
        <v>1799</v>
      </c>
    </row>
    <row r="500" ht="15.75" customHeight="1">
      <c r="A500" s="4" t="s">
        <v>1368</v>
      </c>
      <c r="B500" s="2" t="s">
        <v>27</v>
      </c>
      <c r="C500" s="2" t="s">
        <v>11</v>
      </c>
      <c r="D500" s="2">
        <v>2084.89</v>
      </c>
      <c r="E500" s="2">
        <v>5.0</v>
      </c>
      <c r="F500" s="2">
        <v>10424.45</v>
      </c>
      <c r="G500" s="2" t="s">
        <v>1800</v>
      </c>
      <c r="H500" s="2" t="s">
        <v>1801</v>
      </c>
      <c r="I500" s="2" t="s">
        <v>1802</v>
      </c>
    </row>
    <row r="501" ht="15.75" customHeight="1">
      <c r="A501" s="1" t="s">
        <v>1189</v>
      </c>
      <c r="B501" s="2" t="s">
        <v>16</v>
      </c>
      <c r="C501" s="2" t="s">
        <v>500</v>
      </c>
      <c r="D501" s="2">
        <v>173.04</v>
      </c>
      <c r="E501" s="2">
        <v>2.0</v>
      </c>
      <c r="F501" s="2">
        <v>346.08</v>
      </c>
      <c r="G501" s="2" t="s">
        <v>1803</v>
      </c>
      <c r="H501" s="2" t="s">
        <v>1804</v>
      </c>
      <c r="I501" s="2" t="s">
        <v>1805</v>
      </c>
    </row>
    <row r="502" ht="15.75" customHeight="1">
      <c r="A502" s="1" t="s">
        <v>797</v>
      </c>
      <c r="B502" s="2" t="s">
        <v>16</v>
      </c>
      <c r="C502" s="2" t="s">
        <v>172</v>
      </c>
      <c r="D502" s="2">
        <v>1831.56</v>
      </c>
      <c r="E502" s="2">
        <v>2.0</v>
      </c>
      <c r="F502" s="2">
        <v>3663.12</v>
      </c>
      <c r="G502" s="2" t="s">
        <v>1806</v>
      </c>
      <c r="H502" s="2" t="s">
        <v>1807</v>
      </c>
      <c r="I502" s="2" t="s">
        <v>1808</v>
      </c>
    </row>
    <row r="503" ht="15.75" customHeight="1">
      <c r="A503" s="1" t="s">
        <v>298</v>
      </c>
      <c r="B503" s="2" t="s">
        <v>85</v>
      </c>
      <c r="C503" s="2" t="s">
        <v>508</v>
      </c>
      <c r="D503" s="2">
        <v>1899.66</v>
      </c>
      <c r="E503" s="2">
        <v>2.0</v>
      </c>
      <c r="F503" s="2">
        <v>3799.32</v>
      </c>
      <c r="G503" s="2" t="s">
        <v>1809</v>
      </c>
      <c r="H503" s="2" t="s">
        <v>1810</v>
      </c>
      <c r="I503" s="3" t="s">
        <v>1811</v>
      </c>
    </row>
    <row r="504" ht="15.75" customHeight="1">
      <c r="A504" s="1" t="s">
        <v>579</v>
      </c>
      <c r="B504" s="2" t="s">
        <v>50</v>
      </c>
      <c r="C504" s="2" t="s">
        <v>360</v>
      </c>
      <c r="D504" s="2">
        <v>197.09</v>
      </c>
      <c r="E504" s="2">
        <v>3.0</v>
      </c>
      <c r="F504" s="2">
        <v>591.27</v>
      </c>
      <c r="G504" s="2" t="s">
        <v>1812</v>
      </c>
      <c r="H504" s="2" t="s">
        <v>1813</v>
      </c>
      <c r="I504" s="2" t="s">
        <v>1814</v>
      </c>
    </row>
    <row r="505" ht="15.75" customHeight="1">
      <c r="A505" s="1" t="s">
        <v>1249</v>
      </c>
      <c r="B505" s="2" t="s">
        <v>101</v>
      </c>
      <c r="C505" s="2" t="s">
        <v>70</v>
      </c>
      <c r="D505" s="2">
        <v>1577.5</v>
      </c>
      <c r="E505" s="2">
        <v>4.0</v>
      </c>
      <c r="F505" s="2">
        <v>6310.0</v>
      </c>
      <c r="G505" s="2" t="s">
        <v>1815</v>
      </c>
      <c r="H505" s="2" t="s">
        <v>1816</v>
      </c>
      <c r="I505" s="2" t="s">
        <v>1817</v>
      </c>
    </row>
    <row r="506" ht="15.75" customHeight="1">
      <c r="A506" s="1" t="s">
        <v>1683</v>
      </c>
      <c r="B506" s="2" t="s">
        <v>27</v>
      </c>
      <c r="C506" s="2" t="s">
        <v>360</v>
      </c>
      <c r="D506" s="2">
        <v>832.37</v>
      </c>
      <c r="E506" s="2">
        <v>2.0</v>
      </c>
      <c r="F506" s="2">
        <v>1664.74</v>
      </c>
      <c r="G506" s="2" t="s">
        <v>1818</v>
      </c>
      <c r="H506" s="2" t="s">
        <v>1819</v>
      </c>
      <c r="I506" s="2" t="s">
        <v>1820</v>
      </c>
    </row>
    <row r="507" ht="15.75" customHeight="1">
      <c r="A507" s="1" t="s">
        <v>866</v>
      </c>
      <c r="B507" s="2" t="s">
        <v>50</v>
      </c>
      <c r="C507" s="2" t="s">
        <v>116</v>
      </c>
      <c r="D507" s="2">
        <v>1519.67</v>
      </c>
      <c r="E507" s="2">
        <v>4.0</v>
      </c>
      <c r="F507" s="2">
        <v>6078.68</v>
      </c>
      <c r="G507" s="2" t="s">
        <v>1821</v>
      </c>
      <c r="H507" s="2" t="s">
        <v>1822</v>
      </c>
      <c r="I507" s="2" t="s">
        <v>1823</v>
      </c>
    </row>
    <row r="508" ht="15.75" customHeight="1">
      <c r="A508" s="4" t="s">
        <v>907</v>
      </c>
      <c r="B508" s="2" t="s">
        <v>130</v>
      </c>
      <c r="C508" s="2" t="s">
        <v>162</v>
      </c>
      <c r="D508" s="2">
        <v>1947.2</v>
      </c>
      <c r="E508" s="2">
        <v>5.0</v>
      </c>
      <c r="F508" s="2">
        <v>9736.0</v>
      </c>
      <c r="G508" s="2" t="s">
        <v>1824</v>
      </c>
      <c r="H508" s="2" t="s">
        <v>1825</v>
      </c>
      <c r="I508" s="2" t="s">
        <v>1826</v>
      </c>
    </row>
    <row r="509" ht="15.75" customHeight="1">
      <c r="A509" s="1" t="s">
        <v>367</v>
      </c>
      <c r="B509" s="2" t="s">
        <v>85</v>
      </c>
      <c r="C509" s="2" t="s">
        <v>28</v>
      </c>
      <c r="D509" s="2">
        <v>793.75</v>
      </c>
      <c r="E509" s="2">
        <v>1.0</v>
      </c>
      <c r="F509" s="2">
        <v>793.75</v>
      </c>
      <c r="G509" s="2" t="s">
        <v>1827</v>
      </c>
      <c r="H509" s="2" t="s">
        <v>1828</v>
      </c>
      <c r="I509" s="2" t="s">
        <v>1829</v>
      </c>
    </row>
    <row r="510" ht="15.75" customHeight="1">
      <c r="A510" s="1" t="s">
        <v>1209</v>
      </c>
      <c r="B510" s="2" t="s">
        <v>27</v>
      </c>
      <c r="C510" s="2" t="s">
        <v>360</v>
      </c>
      <c r="D510" s="2">
        <v>1001.15</v>
      </c>
      <c r="E510" s="2">
        <v>4.0</v>
      </c>
      <c r="F510" s="2">
        <v>4004.6</v>
      </c>
      <c r="G510" s="2" t="s">
        <v>1830</v>
      </c>
      <c r="H510" s="2" t="s">
        <v>1831</v>
      </c>
      <c r="I510" s="2" t="s">
        <v>1832</v>
      </c>
    </row>
    <row r="511" ht="15.75" customHeight="1">
      <c r="A511" s="4" t="s">
        <v>884</v>
      </c>
      <c r="B511" s="2" t="s">
        <v>27</v>
      </c>
      <c r="C511" s="2" t="s">
        <v>65</v>
      </c>
      <c r="D511" s="2">
        <v>1492.69</v>
      </c>
      <c r="E511" s="2">
        <v>5.0</v>
      </c>
      <c r="F511" s="2">
        <v>7463.45</v>
      </c>
      <c r="G511" s="2" t="s">
        <v>1833</v>
      </c>
      <c r="H511" s="2" t="s">
        <v>1834</v>
      </c>
      <c r="I511" s="2" t="s">
        <v>1835</v>
      </c>
    </row>
    <row r="512" ht="15.75" customHeight="1">
      <c r="A512" s="4" t="s">
        <v>1388</v>
      </c>
      <c r="B512" s="2" t="s">
        <v>85</v>
      </c>
      <c r="C512" s="2" t="s">
        <v>250</v>
      </c>
      <c r="D512" s="2">
        <v>1228.88</v>
      </c>
      <c r="E512" s="2">
        <v>3.0</v>
      </c>
      <c r="F512" s="2">
        <v>3686.64</v>
      </c>
      <c r="G512" s="2" t="s">
        <v>1836</v>
      </c>
      <c r="H512" s="2" t="s">
        <v>1837</v>
      </c>
      <c r="I512" s="2" t="s">
        <v>1838</v>
      </c>
    </row>
    <row r="513" ht="15.75" customHeight="1">
      <c r="A513" s="1" t="s">
        <v>953</v>
      </c>
      <c r="B513" s="2" t="s">
        <v>50</v>
      </c>
      <c r="C513" s="2" t="s">
        <v>452</v>
      </c>
      <c r="D513" s="2">
        <v>2068.09</v>
      </c>
      <c r="E513" s="2">
        <v>2.0</v>
      </c>
      <c r="F513" s="2">
        <v>4136.18</v>
      </c>
      <c r="G513" s="2" t="s">
        <v>1839</v>
      </c>
      <c r="H513" s="2" t="s">
        <v>1840</v>
      </c>
      <c r="I513" s="2" t="s">
        <v>1841</v>
      </c>
    </row>
    <row r="514" ht="15.75" customHeight="1">
      <c r="A514" s="1" t="s">
        <v>257</v>
      </c>
      <c r="B514" s="2" t="s">
        <v>38</v>
      </c>
      <c r="C514" s="2" t="s">
        <v>17</v>
      </c>
      <c r="D514" s="2">
        <v>1882.22</v>
      </c>
      <c r="E514" s="2">
        <v>3.0</v>
      </c>
      <c r="F514" s="2">
        <v>5646.66</v>
      </c>
      <c r="G514" s="2" t="s">
        <v>1842</v>
      </c>
      <c r="H514" s="2" t="s">
        <v>1843</v>
      </c>
      <c r="I514" s="2" t="s">
        <v>1844</v>
      </c>
    </row>
    <row r="515" ht="15.75" customHeight="1">
      <c r="A515" s="1" t="s">
        <v>1488</v>
      </c>
      <c r="B515" s="2" t="s">
        <v>27</v>
      </c>
      <c r="C515" s="2" t="s">
        <v>181</v>
      </c>
      <c r="D515" s="2">
        <v>2266.71</v>
      </c>
      <c r="E515" s="2">
        <v>2.0</v>
      </c>
      <c r="F515" s="2">
        <v>4533.42</v>
      </c>
      <c r="G515" s="2" t="s">
        <v>1845</v>
      </c>
      <c r="H515" s="2" t="s">
        <v>1846</v>
      </c>
      <c r="I515" s="2" t="s">
        <v>1847</v>
      </c>
    </row>
    <row r="516" ht="15.75" customHeight="1">
      <c r="A516" s="1" t="s">
        <v>851</v>
      </c>
      <c r="B516" s="2" t="s">
        <v>50</v>
      </c>
      <c r="C516" s="2" t="s">
        <v>167</v>
      </c>
      <c r="D516" s="2">
        <v>1035.07</v>
      </c>
      <c r="E516" s="2">
        <v>1.0</v>
      </c>
      <c r="F516" s="2">
        <v>1035.07</v>
      </c>
      <c r="G516" s="2" t="s">
        <v>1848</v>
      </c>
      <c r="H516" s="2" t="s">
        <v>1849</v>
      </c>
      <c r="I516" s="2" t="s">
        <v>1850</v>
      </c>
    </row>
    <row r="517" ht="15.75" customHeight="1">
      <c r="A517" s="4" t="s">
        <v>1342</v>
      </c>
      <c r="B517" s="2" t="s">
        <v>16</v>
      </c>
      <c r="C517" s="2" t="s">
        <v>348</v>
      </c>
      <c r="D517" s="2">
        <v>1958.41</v>
      </c>
      <c r="E517" s="2">
        <v>4.0</v>
      </c>
      <c r="F517" s="2">
        <v>7833.64</v>
      </c>
      <c r="G517" s="2" t="s">
        <v>1851</v>
      </c>
      <c r="H517" s="2" t="s">
        <v>1852</v>
      </c>
      <c r="I517" s="2" t="s">
        <v>1853</v>
      </c>
    </row>
    <row r="518" ht="15.75" customHeight="1">
      <c r="A518" s="4" t="s">
        <v>1068</v>
      </c>
      <c r="B518" s="2" t="s">
        <v>101</v>
      </c>
      <c r="C518" s="2" t="s">
        <v>1015</v>
      </c>
      <c r="D518" s="2">
        <v>1222.82</v>
      </c>
      <c r="E518" s="2">
        <v>1.0</v>
      </c>
      <c r="F518" s="2">
        <v>1222.82</v>
      </c>
      <c r="G518" s="2" t="s">
        <v>1854</v>
      </c>
      <c r="H518" s="2" t="s">
        <v>1855</v>
      </c>
      <c r="I518" s="2" t="s">
        <v>1856</v>
      </c>
    </row>
    <row r="519" ht="15.75" customHeight="1">
      <c r="A519" s="4" t="s">
        <v>974</v>
      </c>
      <c r="B519" s="2" t="s">
        <v>16</v>
      </c>
      <c r="C519" s="2" t="s">
        <v>147</v>
      </c>
      <c r="D519" s="2">
        <v>66.58</v>
      </c>
      <c r="E519" s="2">
        <v>4.0</v>
      </c>
      <c r="F519" s="2">
        <v>266.32</v>
      </c>
      <c r="G519" s="2" t="s">
        <v>1857</v>
      </c>
      <c r="H519" s="2" t="s">
        <v>1858</v>
      </c>
      <c r="I519" s="2" t="s">
        <v>1859</v>
      </c>
    </row>
    <row r="520" ht="15.75" customHeight="1">
      <c r="A520" s="4" t="s">
        <v>1714</v>
      </c>
      <c r="B520" s="2" t="s">
        <v>38</v>
      </c>
      <c r="C520" s="2" t="s">
        <v>152</v>
      </c>
      <c r="D520" s="2">
        <v>2287.41</v>
      </c>
      <c r="E520" s="2">
        <v>2.0</v>
      </c>
      <c r="F520" s="2">
        <v>4574.82</v>
      </c>
      <c r="G520" s="2" t="s">
        <v>1860</v>
      </c>
      <c r="H520" s="2" t="s">
        <v>1861</v>
      </c>
      <c r="I520" s="2" t="s">
        <v>1862</v>
      </c>
    </row>
    <row r="521" ht="15.75" customHeight="1">
      <c r="A521" s="1" t="s">
        <v>272</v>
      </c>
      <c r="B521" s="2" t="s">
        <v>85</v>
      </c>
      <c r="C521" s="2" t="s">
        <v>55</v>
      </c>
      <c r="D521" s="2">
        <v>2310.61</v>
      </c>
      <c r="E521" s="2">
        <v>3.0</v>
      </c>
      <c r="F521" s="2">
        <v>6931.83</v>
      </c>
      <c r="G521" s="2" t="s">
        <v>1863</v>
      </c>
      <c r="H521" s="2" t="s">
        <v>1864</v>
      </c>
      <c r="I521" s="2" t="s">
        <v>1865</v>
      </c>
    </row>
    <row r="522" ht="15.75" customHeight="1">
      <c r="A522" s="4" t="s">
        <v>1714</v>
      </c>
      <c r="B522" s="2" t="s">
        <v>85</v>
      </c>
      <c r="C522" s="2" t="s">
        <v>45</v>
      </c>
      <c r="D522" s="2">
        <v>1332.22</v>
      </c>
      <c r="E522" s="2">
        <v>5.0</v>
      </c>
      <c r="F522" s="2">
        <v>6661.1</v>
      </c>
      <c r="G522" s="2" t="s">
        <v>1866</v>
      </c>
      <c r="H522" s="2" t="s">
        <v>1867</v>
      </c>
      <c r="I522" s="2" t="s">
        <v>1868</v>
      </c>
    </row>
    <row r="523" ht="15.75" customHeight="1">
      <c r="A523" s="1" t="s">
        <v>579</v>
      </c>
      <c r="B523" s="2" t="s">
        <v>27</v>
      </c>
      <c r="C523" s="2" t="s">
        <v>33</v>
      </c>
      <c r="D523" s="2">
        <v>2135.79</v>
      </c>
      <c r="E523" s="2">
        <v>1.0</v>
      </c>
      <c r="F523" s="2">
        <v>2135.79</v>
      </c>
      <c r="G523" s="2" t="s">
        <v>1869</v>
      </c>
      <c r="H523" s="2" t="s">
        <v>1870</v>
      </c>
      <c r="I523" s="2" t="s">
        <v>1871</v>
      </c>
    </row>
    <row r="524" ht="15.75" customHeight="1">
      <c r="A524" s="1" t="s">
        <v>622</v>
      </c>
      <c r="B524" s="2" t="s">
        <v>16</v>
      </c>
      <c r="C524" s="2" t="s">
        <v>698</v>
      </c>
      <c r="D524" s="2">
        <v>1868.91</v>
      </c>
      <c r="E524" s="2">
        <v>5.0</v>
      </c>
      <c r="F524" s="2">
        <v>9344.55</v>
      </c>
      <c r="G524" s="2" t="s">
        <v>1872</v>
      </c>
      <c r="H524" s="2" t="s">
        <v>1873</v>
      </c>
      <c r="I524" s="2" t="s">
        <v>1874</v>
      </c>
    </row>
    <row r="525" ht="15.75" customHeight="1">
      <c r="A525" s="1" t="s">
        <v>781</v>
      </c>
      <c r="B525" s="2" t="s">
        <v>101</v>
      </c>
      <c r="C525" s="2" t="s">
        <v>80</v>
      </c>
      <c r="D525" s="2">
        <v>2063.13</v>
      </c>
      <c r="E525" s="2">
        <v>4.0</v>
      </c>
      <c r="F525" s="2">
        <v>8252.52</v>
      </c>
      <c r="G525" s="2" t="s">
        <v>1875</v>
      </c>
      <c r="H525" s="2" t="s">
        <v>1876</v>
      </c>
      <c r="I525" s="2" t="s">
        <v>1877</v>
      </c>
    </row>
    <row r="526" ht="15.75" customHeight="1">
      <c r="A526" s="4" t="s">
        <v>1520</v>
      </c>
      <c r="B526" s="2" t="s">
        <v>27</v>
      </c>
      <c r="C526" s="2" t="s">
        <v>186</v>
      </c>
      <c r="D526" s="2">
        <v>1772.58</v>
      </c>
      <c r="E526" s="2">
        <v>2.0</v>
      </c>
      <c r="F526" s="2">
        <v>3545.16</v>
      </c>
      <c r="G526" s="2" t="s">
        <v>1878</v>
      </c>
      <c r="H526" s="2" t="s">
        <v>1879</v>
      </c>
      <c r="I526" s="2" t="s">
        <v>1880</v>
      </c>
    </row>
    <row r="527" ht="15.75" customHeight="1">
      <c r="A527" s="1" t="s">
        <v>1209</v>
      </c>
      <c r="B527" s="2" t="s">
        <v>101</v>
      </c>
      <c r="C527" s="2" t="s">
        <v>75</v>
      </c>
      <c r="D527" s="2">
        <v>2224.61</v>
      </c>
      <c r="E527" s="2">
        <v>4.0</v>
      </c>
      <c r="F527" s="2">
        <v>8898.44</v>
      </c>
      <c r="G527" s="2" t="s">
        <v>1881</v>
      </c>
      <c r="H527" s="2" t="s">
        <v>1882</v>
      </c>
      <c r="I527" s="2" t="s">
        <v>1883</v>
      </c>
    </row>
    <row r="528" ht="15.75" customHeight="1">
      <c r="A528" s="1" t="s">
        <v>257</v>
      </c>
      <c r="B528" s="2" t="s">
        <v>16</v>
      </c>
      <c r="C528" s="2" t="s">
        <v>311</v>
      </c>
      <c r="D528" s="2">
        <v>419.18</v>
      </c>
      <c r="E528" s="2">
        <v>4.0</v>
      </c>
      <c r="F528" s="2">
        <v>1676.72</v>
      </c>
      <c r="G528" s="2" t="s">
        <v>1884</v>
      </c>
      <c r="H528" s="2" t="s">
        <v>1885</v>
      </c>
      <c r="I528" s="2" t="s">
        <v>1886</v>
      </c>
    </row>
    <row r="529" ht="15.75" customHeight="1">
      <c r="A529" s="1" t="s">
        <v>1135</v>
      </c>
      <c r="B529" s="2" t="s">
        <v>101</v>
      </c>
      <c r="C529" s="2" t="s">
        <v>500</v>
      </c>
      <c r="D529" s="2">
        <v>2149.59</v>
      </c>
      <c r="E529" s="2">
        <v>4.0</v>
      </c>
      <c r="F529" s="2">
        <v>8598.36</v>
      </c>
      <c r="G529" s="2" t="s">
        <v>1887</v>
      </c>
      <c r="H529" s="2" t="s">
        <v>1888</v>
      </c>
      <c r="I529" s="2" t="s">
        <v>1889</v>
      </c>
    </row>
    <row r="530" ht="15.75" customHeight="1">
      <c r="A530" s="1" t="s">
        <v>558</v>
      </c>
      <c r="B530" s="2" t="s">
        <v>16</v>
      </c>
      <c r="C530" s="2" t="s">
        <v>201</v>
      </c>
      <c r="D530" s="2">
        <v>709.65</v>
      </c>
      <c r="E530" s="2">
        <v>3.0</v>
      </c>
      <c r="F530" s="2">
        <v>2128.95</v>
      </c>
      <c r="G530" s="2" t="s">
        <v>1890</v>
      </c>
      <c r="H530" s="2" t="s">
        <v>1891</v>
      </c>
      <c r="I530" s="2" t="s">
        <v>1892</v>
      </c>
    </row>
    <row r="531" ht="15.75" customHeight="1">
      <c r="A531" s="1" t="s">
        <v>797</v>
      </c>
      <c r="B531" s="2" t="s">
        <v>85</v>
      </c>
      <c r="C531" s="2" t="s">
        <v>191</v>
      </c>
      <c r="D531" s="2">
        <v>1191.71</v>
      </c>
      <c r="E531" s="2">
        <v>4.0</v>
      </c>
      <c r="F531" s="2">
        <v>4766.84</v>
      </c>
      <c r="G531" s="2" t="s">
        <v>1893</v>
      </c>
      <c r="H531" s="2" t="s">
        <v>1894</v>
      </c>
      <c r="I531" s="2" t="s">
        <v>1895</v>
      </c>
    </row>
    <row r="532" ht="15.75" customHeight="1">
      <c r="A532" s="1" t="s">
        <v>214</v>
      </c>
      <c r="B532" s="2" t="s">
        <v>38</v>
      </c>
      <c r="C532" s="2" t="s">
        <v>45</v>
      </c>
      <c r="D532" s="2">
        <v>914.84</v>
      </c>
      <c r="E532" s="2">
        <v>4.0</v>
      </c>
      <c r="F532" s="2">
        <v>3659.36</v>
      </c>
      <c r="G532" s="2" t="s">
        <v>1896</v>
      </c>
      <c r="H532" s="2" t="s">
        <v>1897</v>
      </c>
      <c r="I532" s="3" t="s">
        <v>1898</v>
      </c>
    </row>
    <row r="533" ht="15.75" customHeight="1">
      <c r="A533" s="1" t="s">
        <v>9</v>
      </c>
      <c r="B533" s="2" t="s">
        <v>50</v>
      </c>
      <c r="C533" s="2" t="s">
        <v>500</v>
      </c>
      <c r="D533" s="2">
        <v>2419.81</v>
      </c>
      <c r="E533" s="2">
        <v>5.0</v>
      </c>
      <c r="F533" s="2">
        <v>12099.05</v>
      </c>
      <c r="G533" s="2" t="s">
        <v>1899</v>
      </c>
      <c r="H533" s="2" t="s">
        <v>1900</v>
      </c>
      <c r="I533" s="2" t="s">
        <v>1901</v>
      </c>
    </row>
    <row r="534" ht="15.75" customHeight="1">
      <c r="A534" s="1" t="s">
        <v>558</v>
      </c>
      <c r="B534" s="2" t="s">
        <v>16</v>
      </c>
      <c r="C534" s="2" t="s">
        <v>250</v>
      </c>
      <c r="D534" s="2">
        <v>1750.63</v>
      </c>
      <c r="E534" s="2">
        <v>5.0</v>
      </c>
      <c r="F534" s="2">
        <v>8753.15</v>
      </c>
      <c r="G534" s="2" t="s">
        <v>1902</v>
      </c>
      <c r="H534" s="2" t="s">
        <v>1903</v>
      </c>
      <c r="I534" s="2" t="s">
        <v>1904</v>
      </c>
    </row>
    <row r="535" ht="15.75" customHeight="1">
      <c r="A535" s="1" t="s">
        <v>781</v>
      </c>
      <c r="B535" s="2" t="s">
        <v>38</v>
      </c>
      <c r="C535" s="2" t="s">
        <v>348</v>
      </c>
      <c r="D535" s="2">
        <v>1091.59</v>
      </c>
      <c r="E535" s="2">
        <v>5.0</v>
      </c>
      <c r="F535" s="2">
        <v>5457.95</v>
      </c>
      <c r="G535" s="2" t="s">
        <v>1905</v>
      </c>
      <c r="H535" s="2" t="s">
        <v>1906</v>
      </c>
      <c r="I535" s="2" t="s">
        <v>1907</v>
      </c>
    </row>
    <row r="536" ht="15.75" customHeight="1">
      <c r="A536" s="1" t="s">
        <v>702</v>
      </c>
      <c r="B536" s="2" t="s">
        <v>85</v>
      </c>
      <c r="C536" s="2" t="s">
        <v>250</v>
      </c>
      <c r="D536" s="2">
        <v>2182.83</v>
      </c>
      <c r="E536" s="2">
        <v>4.0</v>
      </c>
      <c r="F536" s="2">
        <v>8731.32</v>
      </c>
      <c r="G536" s="2" t="s">
        <v>1908</v>
      </c>
      <c r="H536" s="2" t="s">
        <v>1909</v>
      </c>
      <c r="I536" s="2" t="s">
        <v>1910</v>
      </c>
    </row>
    <row r="537" ht="15.75" customHeight="1">
      <c r="A537" s="1" t="s">
        <v>367</v>
      </c>
      <c r="B537" s="2" t="s">
        <v>38</v>
      </c>
      <c r="C537" s="2" t="s">
        <v>250</v>
      </c>
      <c r="D537" s="2">
        <v>919.27</v>
      </c>
      <c r="E537" s="2">
        <v>2.0</v>
      </c>
      <c r="F537" s="2">
        <v>1838.54</v>
      </c>
      <c r="G537" s="2" t="s">
        <v>1911</v>
      </c>
      <c r="H537" s="2" t="s">
        <v>1912</v>
      </c>
      <c r="I537" s="2" t="s">
        <v>1913</v>
      </c>
    </row>
    <row r="538" ht="15.75" customHeight="1">
      <c r="A538" s="1" t="s">
        <v>9</v>
      </c>
      <c r="B538" s="2" t="s">
        <v>27</v>
      </c>
      <c r="C538" s="2" t="s">
        <v>75</v>
      </c>
      <c r="D538" s="2">
        <v>145.9</v>
      </c>
      <c r="E538" s="2">
        <v>5.0</v>
      </c>
      <c r="F538" s="2">
        <v>729.5</v>
      </c>
      <c r="G538" s="2" t="s">
        <v>1914</v>
      </c>
      <c r="H538" s="2" t="s">
        <v>1915</v>
      </c>
      <c r="I538" s="2" t="s">
        <v>1916</v>
      </c>
    </row>
    <row r="539" ht="15.75" customHeight="1">
      <c r="A539" s="1" t="s">
        <v>230</v>
      </c>
      <c r="B539" s="2" t="s">
        <v>38</v>
      </c>
      <c r="C539" s="2" t="s">
        <v>698</v>
      </c>
      <c r="D539" s="2">
        <v>1208.42</v>
      </c>
      <c r="E539" s="2">
        <v>3.0</v>
      </c>
      <c r="F539" s="2">
        <v>3625.26</v>
      </c>
      <c r="G539" s="2" t="s">
        <v>1917</v>
      </c>
      <c r="H539" s="2" t="s">
        <v>1918</v>
      </c>
      <c r="I539" s="2" t="s">
        <v>1919</v>
      </c>
    </row>
    <row r="540" ht="15.75" customHeight="1">
      <c r="A540" s="4" t="s">
        <v>1714</v>
      </c>
      <c r="B540" s="2" t="s">
        <v>85</v>
      </c>
      <c r="C540" s="2" t="s">
        <v>39</v>
      </c>
      <c r="D540" s="2">
        <v>1990.56</v>
      </c>
      <c r="E540" s="2">
        <v>2.0</v>
      </c>
      <c r="F540" s="2">
        <v>3981.12</v>
      </c>
      <c r="G540" s="2" t="s">
        <v>1920</v>
      </c>
      <c r="H540" s="2" t="s">
        <v>1921</v>
      </c>
      <c r="I540" s="2" t="s">
        <v>1922</v>
      </c>
    </row>
    <row r="541" ht="15.75" customHeight="1">
      <c r="A541" s="1" t="s">
        <v>1035</v>
      </c>
      <c r="B541" s="2" t="s">
        <v>101</v>
      </c>
      <c r="C541" s="2" t="s">
        <v>11</v>
      </c>
      <c r="D541" s="2">
        <v>347.49</v>
      </c>
      <c r="E541" s="2">
        <v>5.0</v>
      </c>
      <c r="F541" s="2">
        <v>1737.45</v>
      </c>
      <c r="G541" s="2" t="s">
        <v>1923</v>
      </c>
      <c r="H541" s="2" t="s">
        <v>1924</v>
      </c>
      <c r="I541" s="2" t="s">
        <v>1925</v>
      </c>
    </row>
    <row r="542" ht="15.75" customHeight="1">
      <c r="A542" s="1" t="s">
        <v>851</v>
      </c>
      <c r="B542" s="2" t="s">
        <v>38</v>
      </c>
      <c r="C542" s="2" t="s">
        <v>201</v>
      </c>
      <c r="D542" s="2">
        <v>771.57</v>
      </c>
      <c r="E542" s="2">
        <v>5.0</v>
      </c>
      <c r="F542" s="2">
        <v>3857.85</v>
      </c>
      <c r="G542" s="2" t="s">
        <v>1926</v>
      </c>
      <c r="H542" s="2" t="s">
        <v>1927</v>
      </c>
      <c r="I542" s="2" t="s">
        <v>1928</v>
      </c>
    </row>
    <row r="543" ht="15.75" customHeight="1">
      <c r="A543" s="1" t="s">
        <v>1035</v>
      </c>
      <c r="B543" s="2" t="s">
        <v>85</v>
      </c>
      <c r="C543" s="2" t="s">
        <v>55</v>
      </c>
      <c r="D543" s="2">
        <v>1346.1</v>
      </c>
      <c r="E543" s="2">
        <v>1.0</v>
      </c>
      <c r="F543" s="2">
        <v>1346.1</v>
      </c>
      <c r="G543" s="2" t="s">
        <v>1929</v>
      </c>
      <c r="H543" s="2" t="s">
        <v>1930</v>
      </c>
      <c r="I543" s="2" t="s">
        <v>1931</v>
      </c>
    </row>
    <row r="544" ht="15.75" customHeight="1">
      <c r="A544" s="4" t="s">
        <v>907</v>
      </c>
      <c r="B544" s="2" t="s">
        <v>16</v>
      </c>
      <c r="C544" s="2" t="s">
        <v>698</v>
      </c>
      <c r="D544" s="2">
        <v>1806.45</v>
      </c>
      <c r="E544" s="2">
        <v>4.0</v>
      </c>
      <c r="F544" s="2">
        <v>7225.8</v>
      </c>
      <c r="G544" s="2" t="s">
        <v>1932</v>
      </c>
      <c r="H544" s="2" t="s">
        <v>1933</v>
      </c>
      <c r="I544" s="2" t="s">
        <v>1934</v>
      </c>
    </row>
    <row r="545" ht="15.75" customHeight="1">
      <c r="A545" s="1" t="s">
        <v>195</v>
      </c>
      <c r="B545" s="2" t="s">
        <v>85</v>
      </c>
      <c r="C545" s="2" t="s">
        <v>172</v>
      </c>
      <c r="D545" s="2">
        <v>2248.35</v>
      </c>
      <c r="E545" s="2">
        <v>5.0</v>
      </c>
      <c r="F545" s="2">
        <v>11241.75</v>
      </c>
      <c r="G545" s="2" t="s">
        <v>1935</v>
      </c>
      <c r="H545" s="2" t="s">
        <v>1936</v>
      </c>
      <c r="I545" s="2" t="s">
        <v>1937</v>
      </c>
    </row>
    <row r="546" ht="15.75" customHeight="1">
      <c r="A546" s="1" t="s">
        <v>1372</v>
      </c>
      <c r="B546" s="2" t="s">
        <v>85</v>
      </c>
      <c r="C546" s="2" t="s">
        <v>698</v>
      </c>
      <c r="D546" s="2">
        <v>817.31</v>
      </c>
      <c r="E546" s="2">
        <v>2.0</v>
      </c>
      <c r="F546" s="2">
        <v>1634.62</v>
      </c>
      <c r="G546" s="2" t="s">
        <v>1938</v>
      </c>
      <c r="H546" s="2" t="s">
        <v>1939</v>
      </c>
      <c r="I546" s="2" t="s">
        <v>1940</v>
      </c>
    </row>
    <row r="547" ht="15.75" customHeight="1">
      <c r="A547" s="1" t="s">
        <v>826</v>
      </c>
      <c r="B547" s="2" t="s">
        <v>50</v>
      </c>
      <c r="C547" s="2" t="s">
        <v>250</v>
      </c>
      <c r="D547" s="2">
        <v>2484.65</v>
      </c>
      <c r="E547" s="2">
        <v>2.0</v>
      </c>
      <c r="F547" s="2">
        <v>4969.3</v>
      </c>
      <c r="G547" s="2" t="s">
        <v>1941</v>
      </c>
      <c r="H547" s="2" t="s">
        <v>1942</v>
      </c>
      <c r="I547" s="2" t="s">
        <v>1943</v>
      </c>
    </row>
    <row r="548" ht="15.75" customHeight="1">
      <c r="A548" s="1" t="s">
        <v>1372</v>
      </c>
      <c r="B548" s="2" t="s">
        <v>16</v>
      </c>
      <c r="C548" s="2" t="s">
        <v>1015</v>
      </c>
      <c r="D548" s="2">
        <v>101.1</v>
      </c>
      <c r="E548" s="2">
        <v>3.0</v>
      </c>
      <c r="F548" s="2">
        <v>303.3</v>
      </c>
      <c r="G548" s="2" t="s">
        <v>1944</v>
      </c>
      <c r="H548" s="2" t="s">
        <v>1945</v>
      </c>
      <c r="I548" s="2" t="s">
        <v>1946</v>
      </c>
    </row>
    <row r="549" ht="15.75" customHeight="1">
      <c r="A549" s="4" t="s">
        <v>1663</v>
      </c>
      <c r="B549" s="2" t="s">
        <v>16</v>
      </c>
      <c r="C549" s="2" t="s">
        <v>397</v>
      </c>
      <c r="D549" s="2">
        <v>1311.78</v>
      </c>
      <c r="E549" s="2">
        <v>5.0</v>
      </c>
      <c r="F549" s="2">
        <v>6558.9</v>
      </c>
      <c r="G549" s="2" t="s">
        <v>1947</v>
      </c>
      <c r="H549" s="2" t="s">
        <v>1948</v>
      </c>
      <c r="I549" s="2" t="s">
        <v>1949</v>
      </c>
    </row>
    <row r="550" ht="15.75" customHeight="1">
      <c r="A550" s="1" t="s">
        <v>781</v>
      </c>
      <c r="B550" s="2" t="s">
        <v>16</v>
      </c>
      <c r="C550" s="2" t="s">
        <v>807</v>
      </c>
      <c r="D550" s="2">
        <v>271.81</v>
      </c>
      <c r="E550" s="2">
        <v>2.0</v>
      </c>
      <c r="G550" s="2" t="s">
        <v>1950</v>
      </c>
      <c r="H550" s="2" t="s">
        <v>1951</v>
      </c>
      <c r="I550" s="2" t="s">
        <v>1952</v>
      </c>
    </row>
    <row r="551" ht="15.75" customHeight="1">
      <c r="A551" s="1" t="s">
        <v>826</v>
      </c>
      <c r="B551" s="2" t="s">
        <v>27</v>
      </c>
      <c r="C551" s="2" t="s">
        <v>593</v>
      </c>
      <c r="D551" s="2">
        <v>371.09</v>
      </c>
      <c r="E551" s="2">
        <v>4.0</v>
      </c>
      <c r="F551" s="2">
        <v>1484.36</v>
      </c>
      <c r="G551" s="2" t="s">
        <v>1953</v>
      </c>
      <c r="H551" s="2" t="s">
        <v>1954</v>
      </c>
      <c r="I551" s="2" t="s">
        <v>1955</v>
      </c>
    </row>
    <row r="552" ht="15.75" customHeight="1">
      <c r="A552" s="1" t="s">
        <v>15</v>
      </c>
      <c r="B552" s="2" t="s">
        <v>101</v>
      </c>
      <c r="C552" s="2" t="s">
        <v>369</v>
      </c>
      <c r="D552" s="2">
        <v>1414.97</v>
      </c>
      <c r="E552" s="2">
        <v>1.0</v>
      </c>
      <c r="F552" s="2">
        <v>1414.97</v>
      </c>
      <c r="G552" s="2" t="s">
        <v>1956</v>
      </c>
      <c r="H552" s="2" t="s">
        <v>1957</v>
      </c>
      <c r="I552" s="2" t="s">
        <v>1958</v>
      </c>
    </row>
    <row r="553" ht="15.75" customHeight="1">
      <c r="A553" s="1" t="s">
        <v>347</v>
      </c>
      <c r="B553" s="2" t="s">
        <v>27</v>
      </c>
      <c r="C553" s="2" t="s">
        <v>369</v>
      </c>
      <c r="D553" s="2">
        <v>1823.15</v>
      </c>
      <c r="E553" s="2">
        <v>5.0</v>
      </c>
      <c r="F553" s="2">
        <v>9115.75</v>
      </c>
      <c r="G553" s="2" t="s">
        <v>1959</v>
      </c>
      <c r="H553" s="2" t="s">
        <v>1960</v>
      </c>
      <c r="I553" s="2" t="s">
        <v>1961</v>
      </c>
    </row>
    <row r="554" ht="15.75" customHeight="1">
      <c r="A554" s="4" t="s">
        <v>1301</v>
      </c>
      <c r="B554" s="2" t="s">
        <v>85</v>
      </c>
      <c r="C554" s="2" t="s">
        <v>201</v>
      </c>
      <c r="D554" s="2">
        <v>1118.74</v>
      </c>
      <c r="E554" s="2">
        <v>4.0</v>
      </c>
      <c r="F554" s="2">
        <v>4474.96</v>
      </c>
      <c r="G554" s="2" t="s">
        <v>1962</v>
      </c>
      <c r="H554" s="2" t="s">
        <v>1963</v>
      </c>
      <c r="I554" s="2" t="s">
        <v>1964</v>
      </c>
    </row>
    <row r="555" ht="15.75" customHeight="1">
      <c r="A555" s="1" t="s">
        <v>257</v>
      </c>
      <c r="B555" s="2" t="s">
        <v>27</v>
      </c>
      <c r="C555" s="2" t="s">
        <v>196</v>
      </c>
      <c r="D555" s="2">
        <v>1511.08</v>
      </c>
      <c r="E555" s="2">
        <v>2.0</v>
      </c>
      <c r="F555" s="2">
        <v>3022.16</v>
      </c>
      <c r="G555" s="2" t="s">
        <v>1965</v>
      </c>
      <c r="H555" s="2" t="s">
        <v>1966</v>
      </c>
      <c r="I555" s="2" t="s">
        <v>1967</v>
      </c>
    </row>
    <row r="556" ht="15.75" customHeight="1">
      <c r="A556" s="1" t="s">
        <v>214</v>
      </c>
      <c r="B556" s="2" t="s">
        <v>85</v>
      </c>
      <c r="C556" s="2" t="s">
        <v>91</v>
      </c>
      <c r="D556" s="2">
        <v>210.37</v>
      </c>
      <c r="E556" s="2">
        <v>1.0</v>
      </c>
      <c r="F556" s="2">
        <v>210.37</v>
      </c>
      <c r="G556" s="2" t="s">
        <v>1968</v>
      </c>
      <c r="H556" s="2" t="s">
        <v>1969</v>
      </c>
      <c r="I556" s="2" t="s">
        <v>1970</v>
      </c>
    </row>
    <row r="557" ht="15.75" customHeight="1">
      <c r="A557" s="1" t="s">
        <v>409</v>
      </c>
      <c r="B557" s="2" t="s">
        <v>85</v>
      </c>
      <c r="C557" s="2" t="s">
        <v>593</v>
      </c>
      <c r="D557" s="2">
        <v>495.51</v>
      </c>
      <c r="E557" s="2">
        <v>2.0</v>
      </c>
      <c r="F557" s="2">
        <v>991.02</v>
      </c>
      <c r="G557" s="2" t="s">
        <v>1971</v>
      </c>
      <c r="H557" s="2" t="s">
        <v>1972</v>
      </c>
      <c r="I557" s="2" t="s">
        <v>1973</v>
      </c>
    </row>
    <row r="558" ht="15.75" customHeight="1">
      <c r="A558" s="1" t="s">
        <v>877</v>
      </c>
      <c r="B558" s="2" t="s">
        <v>101</v>
      </c>
      <c r="C558" s="2" t="s">
        <v>55</v>
      </c>
      <c r="D558" s="2">
        <v>1327.27</v>
      </c>
      <c r="E558" s="2">
        <v>2.0</v>
      </c>
      <c r="F558" s="2">
        <v>2654.54</v>
      </c>
      <c r="G558" s="2" t="s">
        <v>1974</v>
      </c>
      <c r="H558" s="2" t="s">
        <v>1975</v>
      </c>
      <c r="I558" s="3" t="s">
        <v>1976</v>
      </c>
    </row>
    <row r="559" ht="15.75" customHeight="1">
      <c r="A559" s="1" t="s">
        <v>1035</v>
      </c>
      <c r="B559" s="2" t="s">
        <v>85</v>
      </c>
      <c r="C559" s="2" t="s">
        <v>135</v>
      </c>
      <c r="D559" s="2">
        <v>1101.82</v>
      </c>
      <c r="E559" s="2">
        <v>5.0</v>
      </c>
      <c r="F559" s="2">
        <v>5509.1</v>
      </c>
      <c r="G559" s="2" t="s">
        <v>1977</v>
      </c>
      <c r="H559" s="2" t="s">
        <v>1978</v>
      </c>
      <c r="I559" s="2" t="s">
        <v>1979</v>
      </c>
    </row>
    <row r="560" ht="15.75" customHeight="1">
      <c r="A560" s="1" t="s">
        <v>214</v>
      </c>
      <c r="B560" s="2" t="s">
        <v>27</v>
      </c>
      <c r="C560" s="2" t="s">
        <v>181</v>
      </c>
      <c r="D560" s="2">
        <v>1767.16</v>
      </c>
      <c r="E560" s="2">
        <v>1.0</v>
      </c>
      <c r="F560" s="2">
        <v>1767.16</v>
      </c>
      <c r="G560" s="2" t="s">
        <v>1980</v>
      </c>
      <c r="H560" s="2" t="s">
        <v>1981</v>
      </c>
      <c r="I560" s="2" t="s">
        <v>1982</v>
      </c>
    </row>
    <row r="561" ht="15.75" customHeight="1">
      <c r="A561" s="1" t="s">
        <v>895</v>
      </c>
      <c r="B561" s="2" t="s">
        <v>16</v>
      </c>
      <c r="C561" s="2" t="s">
        <v>167</v>
      </c>
      <c r="D561" s="2">
        <v>764.41</v>
      </c>
      <c r="E561" s="2">
        <v>3.0</v>
      </c>
      <c r="F561" s="2">
        <v>2293.23</v>
      </c>
      <c r="G561" s="2" t="s">
        <v>1983</v>
      </c>
      <c r="H561" s="2" t="s">
        <v>1984</v>
      </c>
      <c r="I561" s="2" t="s">
        <v>1985</v>
      </c>
    </row>
    <row r="562" ht="15.75" customHeight="1">
      <c r="A562" s="1" t="s">
        <v>230</v>
      </c>
      <c r="B562" s="2" t="s">
        <v>101</v>
      </c>
      <c r="C562" s="2" t="s">
        <v>1986</v>
      </c>
      <c r="D562" s="2">
        <v>2148.99</v>
      </c>
      <c r="E562" s="2">
        <v>5.0</v>
      </c>
      <c r="F562" s="2">
        <v>10744.95</v>
      </c>
      <c r="G562" s="2" t="s">
        <v>1987</v>
      </c>
      <c r="H562" s="2" t="s">
        <v>1988</v>
      </c>
      <c r="I562" s="2" t="s">
        <v>1989</v>
      </c>
    </row>
    <row r="563" ht="15.75" customHeight="1">
      <c r="A563" s="1" t="s">
        <v>939</v>
      </c>
      <c r="B563" s="2" t="s">
        <v>50</v>
      </c>
      <c r="C563" s="2" t="s">
        <v>22</v>
      </c>
      <c r="D563" s="2">
        <v>1663.22</v>
      </c>
      <c r="E563" s="2">
        <v>5.0</v>
      </c>
      <c r="F563" s="2">
        <v>8316.1</v>
      </c>
      <c r="G563" s="2" t="s">
        <v>1990</v>
      </c>
      <c r="H563" s="2" t="s">
        <v>1991</v>
      </c>
      <c r="I563" s="2" t="s">
        <v>1992</v>
      </c>
    </row>
    <row r="564" ht="15.75" customHeight="1">
      <c r="A564" s="1" t="s">
        <v>1481</v>
      </c>
      <c r="B564" s="2" t="s">
        <v>16</v>
      </c>
      <c r="C564" s="2" t="s">
        <v>360</v>
      </c>
      <c r="D564" s="2">
        <v>1898.24</v>
      </c>
      <c r="E564" s="2">
        <v>1.0</v>
      </c>
      <c r="F564" s="2">
        <v>1898.24</v>
      </c>
      <c r="G564" s="2" t="s">
        <v>1993</v>
      </c>
      <c r="H564" s="2" t="s">
        <v>1994</v>
      </c>
      <c r="I564" s="2" t="s">
        <v>1995</v>
      </c>
    </row>
    <row r="565" ht="15.75" customHeight="1">
      <c r="A565" s="4" t="s">
        <v>239</v>
      </c>
      <c r="B565" s="2" t="s">
        <v>50</v>
      </c>
      <c r="C565" s="2" t="s">
        <v>55</v>
      </c>
      <c r="D565" s="2">
        <v>569.35</v>
      </c>
      <c r="E565" s="2">
        <v>4.0</v>
      </c>
      <c r="F565" s="2">
        <v>2277.4</v>
      </c>
      <c r="G565" s="2" t="s">
        <v>1996</v>
      </c>
      <c r="H565" s="2" t="s">
        <v>1997</v>
      </c>
      <c r="I565" s="2" t="s">
        <v>1998</v>
      </c>
    </row>
    <row r="566" ht="15.75" customHeight="1">
      <c r="A566" s="4" t="s">
        <v>1498</v>
      </c>
      <c r="B566" s="2" t="s">
        <v>16</v>
      </c>
      <c r="C566" s="2" t="s">
        <v>96</v>
      </c>
      <c r="D566" s="2">
        <v>2312.7</v>
      </c>
      <c r="E566" s="2">
        <v>3.0</v>
      </c>
      <c r="F566" s="2">
        <v>6938.1</v>
      </c>
      <c r="G566" s="2" t="s">
        <v>1999</v>
      </c>
      <c r="H566" s="2" t="s">
        <v>2000</v>
      </c>
      <c r="I566" s="2" t="s">
        <v>2001</v>
      </c>
    </row>
    <row r="567" ht="15.75" customHeight="1">
      <c r="A567" s="4" t="s">
        <v>120</v>
      </c>
      <c r="B567" s="2" t="s">
        <v>38</v>
      </c>
      <c r="C567" s="2" t="s">
        <v>65</v>
      </c>
      <c r="D567" s="2">
        <v>360.98</v>
      </c>
      <c r="E567" s="2">
        <v>3.0</v>
      </c>
      <c r="F567" s="2">
        <v>1082.94</v>
      </c>
      <c r="G567" s="2" t="s">
        <v>2002</v>
      </c>
      <c r="H567" s="2" t="s">
        <v>2003</v>
      </c>
      <c r="I567" s="2" t="s">
        <v>2004</v>
      </c>
    </row>
    <row r="568" ht="15.75" customHeight="1">
      <c r="A568" s="1" t="s">
        <v>562</v>
      </c>
      <c r="B568" s="2" t="s">
        <v>85</v>
      </c>
      <c r="C568" s="2" t="s">
        <v>70</v>
      </c>
      <c r="D568" s="2">
        <v>320.64</v>
      </c>
      <c r="E568" s="2">
        <v>5.0</v>
      </c>
      <c r="F568" s="2">
        <v>1603.2</v>
      </c>
      <c r="G568" s="2" t="s">
        <v>2005</v>
      </c>
      <c r="H568" s="2" t="s">
        <v>2006</v>
      </c>
      <c r="I568" s="2" t="s">
        <v>2007</v>
      </c>
    </row>
    <row r="569" ht="15.75" customHeight="1">
      <c r="A569" s="1" t="s">
        <v>1035</v>
      </c>
      <c r="B569" s="2" t="s">
        <v>85</v>
      </c>
      <c r="C569" s="2" t="s">
        <v>45</v>
      </c>
      <c r="D569" s="2">
        <v>1843.37</v>
      </c>
      <c r="E569" s="2">
        <v>3.0</v>
      </c>
      <c r="F569" s="2">
        <v>5530.11</v>
      </c>
      <c r="G569" s="2" t="s">
        <v>2008</v>
      </c>
      <c r="H569" s="2" t="s">
        <v>2009</v>
      </c>
      <c r="I569" s="2" t="s">
        <v>2010</v>
      </c>
    </row>
    <row r="570" ht="15.75" customHeight="1">
      <c r="A570" s="5" t="s">
        <v>1011</v>
      </c>
      <c r="B570" s="2" t="s">
        <v>38</v>
      </c>
      <c r="C570" s="2" t="s">
        <v>80</v>
      </c>
      <c r="D570" s="2">
        <v>833.39</v>
      </c>
      <c r="E570" s="2">
        <v>1.0</v>
      </c>
      <c r="F570" s="2">
        <v>833.39</v>
      </c>
      <c r="G570" s="2" t="s">
        <v>2011</v>
      </c>
      <c r="H570" s="2" t="s">
        <v>2012</v>
      </c>
      <c r="I570" s="2" t="s">
        <v>2013</v>
      </c>
    </row>
    <row r="571" ht="15.75" customHeight="1">
      <c r="A571" s="4" t="s">
        <v>1395</v>
      </c>
      <c r="B571" s="2" t="s">
        <v>38</v>
      </c>
      <c r="C571" s="2" t="s">
        <v>80</v>
      </c>
      <c r="D571" s="2">
        <v>1321.79</v>
      </c>
      <c r="E571" s="2">
        <v>5.0</v>
      </c>
      <c r="F571" s="2">
        <v>6608.95</v>
      </c>
      <c r="G571" s="2" t="s">
        <v>2014</v>
      </c>
      <c r="H571" s="2" t="s">
        <v>2015</v>
      </c>
      <c r="I571" s="2" t="s">
        <v>2016</v>
      </c>
    </row>
    <row r="572" ht="15.75" customHeight="1">
      <c r="A572" s="4" t="s">
        <v>1498</v>
      </c>
      <c r="B572" s="2" t="s">
        <v>38</v>
      </c>
      <c r="C572" s="2" t="s">
        <v>147</v>
      </c>
      <c r="D572" s="2">
        <v>1286.13</v>
      </c>
      <c r="E572" s="2">
        <v>4.0</v>
      </c>
      <c r="F572" s="2">
        <v>5144.52</v>
      </c>
      <c r="G572" s="2" t="s">
        <v>2017</v>
      </c>
      <c r="H572" s="2" t="s">
        <v>2018</v>
      </c>
      <c r="I572" s="2" t="s">
        <v>2019</v>
      </c>
    </row>
    <row r="573" ht="15.75" customHeight="1">
      <c r="A573" s="4" t="s">
        <v>120</v>
      </c>
      <c r="B573" s="2" t="s">
        <v>101</v>
      </c>
      <c r="C573" s="2" t="s">
        <v>360</v>
      </c>
      <c r="D573" s="2">
        <v>1447.41</v>
      </c>
      <c r="E573" s="2">
        <v>4.0</v>
      </c>
      <c r="F573" s="2">
        <v>5789.64</v>
      </c>
      <c r="G573" s="2" t="s">
        <v>2020</v>
      </c>
      <c r="H573" s="2" t="s">
        <v>2021</v>
      </c>
      <c r="I573" s="2" t="s">
        <v>2022</v>
      </c>
    </row>
    <row r="574" ht="15.75" customHeight="1">
      <c r="A574" s="4" t="s">
        <v>1745</v>
      </c>
      <c r="B574" s="2" t="s">
        <v>85</v>
      </c>
      <c r="C574" s="2" t="s">
        <v>807</v>
      </c>
      <c r="D574" s="2">
        <v>1456.11</v>
      </c>
      <c r="E574" s="2">
        <v>5.0</v>
      </c>
      <c r="F574" s="2">
        <v>7280.55</v>
      </c>
      <c r="G574" s="2" t="s">
        <v>2023</v>
      </c>
      <c r="H574" s="2" t="s">
        <v>2024</v>
      </c>
      <c r="I574" s="2" t="s">
        <v>2025</v>
      </c>
    </row>
    <row r="575" ht="15.75" customHeight="1">
      <c r="A575" s="4" t="s">
        <v>1551</v>
      </c>
      <c r="B575" s="2" t="s">
        <v>50</v>
      </c>
      <c r="C575" s="2" t="s">
        <v>96</v>
      </c>
      <c r="D575" s="2">
        <v>1286.15</v>
      </c>
      <c r="E575" s="2">
        <v>2.0</v>
      </c>
      <c r="F575" s="2">
        <v>2572.3</v>
      </c>
      <c r="G575" s="2" t="s">
        <v>2026</v>
      </c>
      <c r="H575" s="2" t="s">
        <v>2027</v>
      </c>
      <c r="I575" s="2" t="s">
        <v>2028</v>
      </c>
    </row>
    <row r="576" ht="15.75" customHeight="1">
      <c r="A576" s="4" t="s">
        <v>1745</v>
      </c>
      <c r="B576" s="2" t="s">
        <v>38</v>
      </c>
      <c r="C576" s="2" t="s">
        <v>121</v>
      </c>
      <c r="D576" s="2">
        <v>2483.87</v>
      </c>
      <c r="E576" s="2">
        <v>5.0</v>
      </c>
      <c r="F576" s="2">
        <v>12419.35</v>
      </c>
      <c r="G576" s="2" t="s">
        <v>2029</v>
      </c>
      <c r="H576" s="2" t="s">
        <v>2030</v>
      </c>
      <c r="I576" s="2" t="s">
        <v>2031</v>
      </c>
    </row>
    <row r="577" ht="15.75" customHeight="1">
      <c r="A577" s="1" t="s">
        <v>1011</v>
      </c>
      <c r="B577" s="2" t="s">
        <v>16</v>
      </c>
      <c r="C577" s="2" t="s">
        <v>116</v>
      </c>
      <c r="E577" s="2">
        <v>5.0</v>
      </c>
      <c r="F577" s="2">
        <v>11708.85</v>
      </c>
      <c r="G577" s="2" t="s">
        <v>2032</v>
      </c>
      <c r="H577" s="2" t="s">
        <v>2033</v>
      </c>
      <c r="I577" s="2" t="s">
        <v>2034</v>
      </c>
    </row>
    <row r="578" ht="15.75" customHeight="1">
      <c r="A578" s="1" t="s">
        <v>356</v>
      </c>
      <c r="B578" s="2" t="s">
        <v>50</v>
      </c>
      <c r="C578" s="2" t="s">
        <v>235</v>
      </c>
      <c r="D578" s="2">
        <v>2499.77</v>
      </c>
      <c r="E578" s="2">
        <v>3.0</v>
      </c>
      <c r="F578" s="2">
        <v>7499.31</v>
      </c>
      <c r="G578" s="2" t="s">
        <v>2035</v>
      </c>
      <c r="H578" s="2" t="s">
        <v>2036</v>
      </c>
      <c r="I578" s="2" t="s">
        <v>2037</v>
      </c>
    </row>
    <row r="579" ht="15.75" customHeight="1">
      <c r="A579" s="4" t="s">
        <v>49</v>
      </c>
      <c r="B579" s="2" t="s">
        <v>38</v>
      </c>
      <c r="C579" s="2" t="s">
        <v>121</v>
      </c>
      <c r="D579" s="2">
        <v>1284.54</v>
      </c>
      <c r="E579" s="2">
        <v>3.0</v>
      </c>
      <c r="F579" s="2">
        <v>3853.62</v>
      </c>
      <c r="G579" s="2" t="s">
        <v>2038</v>
      </c>
      <c r="H579" s="2" t="s">
        <v>2039</v>
      </c>
      <c r="I579" s="2" t="s">
        <v>2040</v>
      </c>
    </row>
    <row r="580" ht="15.75" customHeight="1">
      <c r="A580" s="4" t="s">
        <v>859</v>
      </c>
      <c r="B580" s="2" t="s">
        <v>27</v>
      </c>
      <c r="C580" s="2" t="s">
        <v>348</v>
      </c>
      <c r="D580" s="2">
        <v>218.17</v>
      </c>
      <c r="E580" s="2">
        <v>4.0</v>
      </c>
      <c r="F580" s="2">
        <v>872.68</v>
      </c>
      <c r="G580" s="2" t="s">
        <v>2041</v>
      </c>
      <c r="H580" s="2" t="s">
        <v>2042</v>
      </c>
      <c r="I580" s="2" t="s">
        <v>2043</v>
      </c>
    </row>
    <row r="581" ht="15.75" customHeight="1">
      <c r="A581" s="4" t="s">
        <v>922</v>
      </c>
      <c r="B581" s="2" t="s">
        <v>38</v>
      </c>
      <c r="C581" s="2" t="s">
        <v>91</v>
      </c>
      <c r="D581" s="2">
        <v>1597.75</v>
      </c>
      <c r="E581" s="2">
        <v>2.0</v>
      </c>
      <c r="F581" s="2">
        <v>3195.5</v>
      </c>
      <c r="G581" s="2" t="s">
        <v>2044</v>
      </c>
      <c r="H581" s="2" t="s">
        <v>2045</v>
      </c>
      <c r="I581" s="2" t="s">
        <v>2046</v>
      </c>
    </row>
    <row r="582" ht="15.75" customHeight="1">
      <c r="A582" s="1" t="s">
        <v>257</v>
      </c>
      <c r="B582" s="2" t="s">
        <v>101</v>
      </c>
      <c r="C582" s="2" t="s">
        <v>162</v>
      </c>
      <c r="D582" s="2">
        <v>1736.9</v>
      </c>
      <c r="E582" s="2">
        <v>5.0</v>
      </c>
      <c r="F582" s="2">
        <v>8684.5</v>
      </c>
      <c r="G582" s="2" t="s">
        <v>2047</v>
      </c>
      <c r="H582" s="2" t="s">
        <v>2048</v>
      </c>
      <c r="I582" s="2" t="s">
        <v>2049</v>
      </c>
    </row>
    <row r="583" ht="15.75" customHeight="1">
      <c r="A583" s="4" t="s">
        <v>1579</v>
      </c>
      <c r="B583" s="2" t="s">
        <v>85</v>
      </c>
      <c r="C583" s="2" t="s">
        <v>116</v>
      </c>
      <c r="D583" s="2">
        <v>1542.12</v>
      </c>
      <c r="E583" s="2">
        <v>4.0</v>
      </c>
      <c r="F583" s="2">
        <v>6168.48</v>
      </c>
      <c r="G583" s="2" t="s">
        <v>2050</v>
      </c>
      <c r="H583" s="2" t="s">
        <v>2051</v>
      </c>
      <c r="I583" s="2" t="s">
        <v>2052</v>
      </c>
    </row>
    <row r="584" ht="15.75" customHeight="1">
      <c r="A584" s="1" t="s">
        <v>939</v>
      </c>
      <c r="B584" s="2" t="s">
        <v>101</v>
      </c>
      <c r="C584" s="2" t="s">
        <v>245</v>
      </c>
      <c r="D584" s="2">
        <v>1991.97</v>
      </c>
      <c r="E584" s="2">
        <v>3.0</v>
      </c>
      <c r="F584" s="2">
        <v>5975.91</v>
      </c>
      <c r="G584" s="2" t="s">
        <v>2053</v>
      </c>
      <c r="H584" s="2" t="s">
        <v>2054</v>
      </c>
      <c r="I584" s="2" t="s">
        <v>2055</v>
      </c>
    </row>
    <row r="585" ht="15.75" customHeight="1">
      <c r="A585" s="4" t="s">
        <v>884</v>
      </c>
      <c r="B585" s="2" t="s">
        <v>85</v>
      </c>
      <c r="C585" s="2" t="s">
        <v>121</v>
      </c>
      <c r="D585" s="2">
        <v>769.77</v>
      </c>
      <c r="E585" s="2">
        <v>4.0</v>
      </c>
      <c r="F585" s="2">
        <v>3079.08</v>
      </c>
      <c r="G585" s="2" t="s">
        <v>2056</v>
      </c>
      <c r="H585" s="2" t="s">
        <v>2057</v>
      </c>
      <c r="I585" s="2" t="s">
        <v>2058</v>
      </c>
    </row>
    <row r="586" ht="15.75" customHeight="1">
      <c r="A586" s="1" t="s">
        <v>1045</v>
      </c>
      <c r="B586" s="2" t="s">
        <v>101</v>
      </c>
      <c r="C586" s="2" t="s">
        <v>201</v>
      </c>
      <c r="D586" s="2">
        <v>173.94</v>
      </c>
      <c r="E586" s="2">
        <v>5.0</v>
      </c>
      <c r="F586" s="2">
        <v>869.7</v>
      </c>
      <c r="G586" s="2" t="s">
        <v>2059</v>
      </c>
      <c r="H586" s="2" t="s">
        <v>2060</v>
      </c>
      <c r="I586" s="2" t="s">
        <v>2061</v>
      </c>
    </row>
    <row r="587" ht="15.75" customHeight="1">
      <c r="A587" s="4" t="s">
        <v>994</v>
      </c>
      <c r="B587" s="2" t="s">
        <v>85</v>
      </c>
      <c r="C587" s="2" t="s">
        <v>91</v>
      </c>
      <c r="D587" s="2">
        <v>1118.35</v>
      </c>
      <c r="E587" s="2">
        <v>4.0</v>
      </c>
      <c r="F587" s="2">
        <v>4473.4</v>
      </c>
      <c r="G587" s="2" t="s">
        <v>2062</v>
      </c>
      <c r="H587" s="2" t="s">
        <v>2063</v>
      </c>
      <c r="I587" s="2" t="s">
        <v>2064</v>
      </c>
    </row>
    <row r="588" ht="15.75" customHeight="1">
      <c r="A588" s="1" t="s">
        <v>380</v>
      </c>
      <c r="B588" s="2" t="s">
        <v>101</v>
      </c>
      <c r="C588" s="2" t="s">
        <v>55</v>
      </c>
      <c r="E588" s="2">
        <v>3.0</v>
      </c>
      <c r="F588" s="2">
        <v>1086.51</v>
      </c>
      <c r="G588" s="2" t="s">
        <v>2065</v>
      </c>
      <c r="H588" s="2" t="s">
        <v>2066</v>
      </c>
      <c r="I588" s="2" t="s">
        <v>2067</v>
      </c>
    </row>
    <row r="589" ht="15.75" customHeight="1">
      <c r="A589" s="4" t="s">
        <v>1714</v>
      </c>
      <c r="B589" s="2" t="s">
        <v>85</v>
      </c>
      <c r="C589" s="2" t="s">
        <v>245</v>
      </c>
      <c r="D589" s="2">
        <v>232.18</v>
      </c>
      <c r="E589" s="2">
        <v>3.0</v>
      </c>
      <c r="F589" s="2">
        <v>696.54</v>
      </c>
      <c r="G589" s="2" t="s">
        <v>2068</v>
      </c>
      <c r="H589" s="2" t="s">
        <v>2069</v>
      </c>
      <c r="I589" s="2" t="s">
        <v>2070</v>
      </c>
    </row>
    <row r="590" ht="15.75" customHeight="1">
      <c r="A590" s="1" t="s">
        <v>785</v>
      </c>
      <c r="B590" s="2" t="s">
        <v>38</v>
      </c>
      <c r="C590" s="2" t="s">
        <v>17</v>
      </c>
      <c r="D590" s="2">
        <v>1217.56</v>
      </c>
      <c r="E590" s="2">
        <v>3.0</v>
      </c>
      <c r="F590" s="2">
        <v>3652.68</v>
      </c>
      <c r="G590" s="2" t="s">
        <v>2071</v>
      </c>
      <c r="H590" s="2" t="s">
        <v>2072</v>
      </c>
      <c r="I590" s="2" t="s">
        <v>2073</v>
      </c>
    </row>
    <row r="591" ht="15.75" customHeight="1">
      <c r="A591" s="1" t="s">
        <v>1372</v>
      </c>
      <c r="B591" s="2" t="s">
        <v>101</v>
      </c>
      <c r="C591" s="2" t="s">
        <v>593</v>
      </c>
      <c r="D591" s="2">
        <v>303.05</v>
      </c>
      <c r="E591" s="2">
        <v>1.0</v>
      </c>
      <c r="F591" s="2">
        <v>303.05</v>
      </c>
      <c r="G591" s="2" t="s">
        <v>2074</v>
      </c>
      <c r="H591" s="2" t="s">
        <v>2075</v>
      </c>
      <c r="I591" s="2" t="s">
        <v>2076</v>
      </c>
    </row>
    <row r="592" ht="15.75" customHeight="1">
      <c r="A592" s="1" t="s">
        <v>367</v>
      </c>
      <c r="B592" s="2" t="s">
        <v>38</v>
      </c>
      <c r="C592" s="2" t="s">
        <v>397</v>
      </c>
      <c r="D592" s="2">
        <v>807.71</v>
      </c>
      <c r="E592" s="2">
        <v>3.0</v>
      </c>
      <c r="F592" s="2">
        <v>2423.13</v>
      </c>
      <c r="G592" s="2" t="s">
        <v>2077</v>
      </c>
      <c r="H592" s="2" t="s">
        <v>2078</v>
      </c>
      <c r="I592" s="2" t="s">
        <v>2079</v>
      </c>
    </row>
    <row r="593" ht="15.75" customHeight="1">
      <c r="A593" s="4" t="s">
        <v>994</v>
      </c>
      <c r="B593" s="2" t="s">
        <v>27</v>
      </c>
      <c r="C593" s="2" t="s">
        <v>807</v>
      </c>
      <c r="D593" s="2">
        <v>794.49</v>
      </c>
      <c r="E593" s="2">
        <v>2.0</v>
      </c>
      <c r="F593" s="2">
        <v>1588.98</v>
      </c>
      <c r="G593" s="2" t="s">
        <v>2080</v>
      </c>
      <c r="H593" s="2" t="s">
        <v>2081</v>
      </c>
      <c r="I593" s="2" t="s">
        <v>2082</v>
      </c>
    </row>
    <row r="594" ht="15.75" customHeight="1">
      <c r="A594" s="1" t="s">
        <v>195</v>
      </c>
      <c r="B594" s="2" t="s">
        <v>50</v>
      </c>
      <c r="C594" s="2" t="s">
        <v>369</v>
      </c>
      <c r="D594" s="2">
        <v>2388.79</v>
      </c>
      <c r="E594" s="2">
        <v>2.0</v>
      </c>
      <c r="F594" s="2">
        <v>4777.58</v>
      </c>
      <c r="G594" s="2" t="s">
        <v>2083</v>
      </c>
      <c r="H594" s="2" t="s">
        <v>2084</v>
      </c>
      <c r="I594" s="2" t="s">
        <v>2085</v>
      </c>
    </row>
    <row r="595" ht="15.75" customHeight="1">
      <c r="A595" s="1" t="s">
        <v>367</v>
      </c>
      <c r="B595" s="2" t="s">
        <v>16</v>
      </c>
      <c r="C595" s="2" t="s">
        <v>167</v>
      </c>
      <c r="D595" s="2">
        <v>1768.49</v>
      </c>
      <c r="E595" s="2">
        <v>2.0</v>
      </c>
      <c r="F595" s="2">
        <v>3536.98</v>
      </c>
      <c r="G595" s="2" t="s">
        <v>2086</v>
      </c>
      <c r="H595" s="2" t="s">
        <v>2087</v>
      </c>
      <c r="I595" s="2" t="s">
        <v>2088</v>
      </c>
    </row>
    <row r="596" ht="15.75" customHeight="1">
      <c r="A596" s="1" t="s">
        <v>298</v>
      </c>
      <c r="B596" s="2" t="s">
        <v>38</v>
      </c>
      <c r="C596" s="2" t="s">
        <v>28</v>
      </c>
      <c r="D596" s="2">
        <v>1873.69</v>
      </c>
      <c r="E596" s="2">
        <v>2.0</v>
      </c>
      <c r="F596" s="2">
        <v>3747.38</v>
      </c>
      <c r="G596" s="2" t="s">
        <v>2089</v>
      </c>
      <c r="H596" s="2" t="s">
        <v>2090</v>
      </c>
      <c r="I596" s="2" t="s">
        <v>2091</v>
      </c>
    </row>
    <row r="597" ht="15.75" customHeight="1">
      <c r="A597" s="1" t="s">
        <v>579</v>
      </c>
      <c r="B597" s="2" t="s">
        <v>50</v>
      </c>
      <c r="C597" s="2" t="s">
        <v>452</v>
      </c>
      <c r="D597" s="2">
        <v>752.56</v>
      </c>
      <c r="E597" s="2">
        <v>2.0</v>
      </c>
      <c r="F597" s="2">
        <v>1505.12</v>
      </c>
      <c r="G597" s="2" t="s">
        <v>2092</v>
      </c>
      <c r="H597" s="2" t="s">
        <v>2093</v>
      </c>
      <c r="I597" s="2" t="s">
        <v>2094</v>
      </c>
    </row>
    <row r="598" ht="15.75" customHeight="1">
      <c r="A598" s="1" t="s">
        <v>1135</v>
      </c>
      <c r="B598" s="2" t="s">
        <v>27</v>
      </c>
      <c r="C598" s="2" t="s">
        <v>75</v>
      </c>
      <c r="D598" s="2">
        <v>619.4</v>
      </c>
      <c r="E598" s="2">
        <v>1.0</v>
      </c>
      <c r="F598" s="2">
        <v>619.4</v>
      </c>
      <c r="G598" s="2" t="s">
        <v>2095</v>
      </c>
      <c r="H598" s="2" t="s">
        <v>2096</v>
      </c>
      <c r="I598" s="2" t="s">
        <v>2097</v>
      </c>
    </row>
    <row r="599" ht="15.75" customHeight="1">
      <c r="A599" s="4" t="s">
        <v>789</v>
      </c>
      <c r="B599" s="2" t="s">
        <v>50</v>
      </c>
      <c r="C599" s="2" t="s">
        <v>121</v>
      </c>
      <c r="D599" s="2">
        <v>834.63</v>
      </c>
      <c r="E599" s="2">
        <v>4.0</v>
      </c>
      <c r="F599" s="2">
        <v>3338.52</v>
      </c>
      <c r="G599" s="2" t="s">
        <v>2098</v>
      </c>
      <c r="H599" s="2" t="s">
        <v>2099</v>
      </c>
      <c r="I599" s="2" t="s">
        <v>2100</v>
      </c>
    </row>
    <row r="600" ht="15.75" customHeight="1">
      <c r="A600" s="1" t="s">
        <v>1249</v>
      </c>
      <c r="B600" s="2" t="s">
        <v>27</v>
      </c>
      <c r="C600" s="2" t="s">
        <v>152</v>
      </c>
      <c r="D600" s="2">
        <v>211.08</v>
      </c>
      <c r="E600" s="2">
        <v>4.0</v>
      </c>
      <c r="F600" s="2">
        <v>844.32</v>
      </c>
      <c r="G600" s="2" t="s">
        <v>2101</v>
      </c>
      <c r="H600" s="2" t="s">
        <v>2102</v>
      </c>
      <c r="I600" s="2" t="s">
        <v>2103</v>
      </c>
    </row>
    <row r="601" ht="15.75" customHeight="1">
      <c r="A601" s="1" t="s">
        <v>1058</v>
      </c>
      <c r="B601" s="2" t="s">
        <v>38</v>
      </c>
      <c r="C601" s="2" t="s">
        <v>116</v>
      </c>
      <c r="D601" s="2">
        <v>103.69</v>
      </c>
      <c r="E601" s="2">
        <v>5.0</v>
      </c>
      <c r="F601" s="2">
        <v>518.45</v>
      </c>
      <c r="G601" s="2" t="s">
        <v>2104</v>
      </c>
      <c r="H601" s="2" t="s">
        <v>2105</v>
      </c>
      <c r="I601" s="2" t="s">
        <v>2106</v>
      </c>
    </row>
    <row r="602" ht="15.75" customHeight="1">
      <c r="A602" s="4" t="s">
        <v>1520</v>
      </c>
      <c r="B602" s="2" t="s">
        <v>368</v>
      </c>
      <c r="C602" s="2" t="s">
        <v>593</v>
      </c>
      <c r="D602" s="2">
        <v>1137.77</v>
      </c>
      <c r="E602" s="2">
        <v>5.0</v>
      </c>
      <c r="F602" s="2">
        <v>5688.85</v>
      </c>
      <c r="G602" s="2" t="s">
        <v>2107</v>
      </c>
      <c r="H602" s="2" t="s">
        <v>2108</v>
      </c>
      <c r="I602" s="2" t="s">
        <v>2109</v>
      </c>
    </row>
    <row r="603" ht="15.75" customHeight="1">
      <c r="A603" s="1" t="s">
        <v>367</v>
      </c>
      <c r="B603" s="2" t="s">
        <v>27</v>
      </c>
      <c r="C603" s="2" t="s">
        <v>70</v>
      </c>
      <c r="D603" s="2">
        <v>2009.76</v>
      </c>
      <c r="E603" s="2">
        <v>1.0</v>
      </c>
      <c r="F603" s="2">
        <v>2009.76</v>
      </c>
      <c r="G603" s="2" t="s">
        <v>2110</v>
      </c>
      <c r="H603" s="2" t="s">
        <v>2111</v>
      </c>
      <c r="I603" s="2" t="s">
        <v>2112</v>
      </c>
    </row>
    <row r="604" ht="15.75" customHeight="1">
      <c r="A604" s="1" t="s">
        <v>1683</v>
      </c>
      <c r="B604" s="2" t="s">
        <v>27</v>
      </c>
      <c r="C604" s="2" t="s">
        <v>181</v>
      </c>
      <c r="D604" s="2">
        <v>755.38</v>
      </c>
      <c r="E604" s="2">
        <v>4.0</v>
      </c>
      <c r="F604" s="2">
        <v>3021.52</v>
      </c>
      <c r="G604" s="2" t="s">
        <v>2113</v>
      </c>
      <c r="H604" s="2" t="s">
        <v>2114</v>
      </c>
      <c r="I604" s="2" t="s">
        <v>2115</v>
      </c>
    </row>
    <row r="605" ht="15.75" customHeight="1">
      <c r="A605" s="1" t="s">
        <v>1488</v>
      </c>
      <c r="B605" s="2" t="s">
        <v>16</v>
      </c>
      <c r="C605" s="2" t="s">
        <v>235</v>
      </c>
      <c r="D605" s="2">
        <v>287.48</v>
      </c>
      <c r="E605" s="2">
        <v>4.0</v>
      </c>
      <c r="F605" s="2">
        <v>1149.92</v>
      </c>
      <c r="G605" s="2" t="s">
        <v>2116</v>
      </c>
      <c r="H605" s="2" t="s">
        <v>2117</v>
      </c>
      <c r="I605" s="2" t="s">
        <v>2118</v>
      </c>
    </row>
    <row r="606" ht="15.75" customHeight="1">
      <c r="A606" s="1" t="s">
        <v>276</v>
      </c>
      <c r="B606" s="2" t="s">
        <v>38</v>
      </c>
      <c r="C606" s="2" t="s">
        <v>235</v>
      </c>
      <c r="D606" s="2">
        <v>808.48</v>
      </c>
      <c r="E606" s="2">
        <v>4.0</v>
      </c>
      <c r="F606" s="2">
        <v>3233.92</v>
      </c>
      <c r="G606" s="2" t="s">
        <v>2119</v>
      </c>
      <c r="H606" s="2" t="s">
        <v>2120</v>
      </c>
      <c r="I606" s="2" t="s">
        <v>2121</v>
      </c>
    </row>
    <row r="607" ht="15.75" customHeight="1">
      <c r="A607" s="1" t="s">
        <v>298</v>
      </c>
      <c r="B607" s="2" t="s">
        <v>85</v>
      </c>
      <c r="C607" s="2" t="s">
        <v>385</v>
      </c>
      <c r="D607" s="2">
        <v>181.51</v>
      </c>
      <c r="E607" s="2">
        <v>5.0</v>
      </c>
      <c r="F607" s="2">
        <v>907.55</v>
      </c>
      <c r="G607" s="2" t="s">
        <v>2122</v>
      </c>
      <c r="H607" s="2" t="s">
        <v>2123</v>
      </c>
      <c r="I607" s="2" t="s">
        <v>2124</v>
      </c>
    </row>
    <row r="608" ht="15.75" customHeight="1">
      <c r="A608" s="1" t="s">
        <v>543</v>
      </c>
      <c r="B608" s="2" t="s">
        <v>38</v>
      </c>
      <c r="C608" s="2" t="s">
        <v>235</v>
      </c>
      <c r="D608" s="2">
        <v>2246.65</v>
      </c>
      <c r="E608" s="2">
        <v>2.0</v>
      </c>
      <c r="F608" s="2">
        <v>4493.3</v>
      </c>
      <c r="G608" s="2" t="s">
        <v>2125</v>
      </c>
      <c r="H608" s="2" t="s">
        <v>2126</v>
      </c>
      <c r="I608" s="2" t="s">
        <v>2127</v>
      </c>
    </row>
    <row r="609" ht="15.75" customHeight="1">
      <c r="A609" s="1" t="s">
        <v>298</v>
      </c>
      <c r="B609" s="2" t="s">
        <v>16</v>
      </c>
      <c r="C609" s="2" t="s">
        <v>1015</v>
      </c>
      <c r="D609" s="2">
        <v>1029.22</v>
      </c>
      <c r="E609" s="2">
        <v>5.0</v>
      </c>
      <c r="F609" s="2">
        <v>5146.1</v>
      </c>
      <c r="G609" s="2" t="s">
        <v>2128</v>
      </c>
      <c r="H609" s="2" t="s">
        <v>2129</v>
      </c>
      <c r="I609" s="2" t="s">
        <v>2130</v>
      </c>
    </row>
    <row r="610" ht="15.75" customHeight="1">
      <c r="A610" s="1" t="s">
        <v>895</v>
      </c>
      <c r="B610" s="2" t="s">
        <v>101</v>
      </c>
      <c r="C610" s="2" t="s">
        <v>11</v>
      </c>
      <c r="D610" s="2">
        <v>1713.18</v>
      </c>
      <c r="E610" s="2">
        <v>2.0</v>
      </c>
      <c r="F610" s="2">
        <v>3426.36</v>
      </c>
      <c r="G610" s="2" t="s">
        <v>2131</v>
      </c>
      <c r="H610" s="2" t="s">
        <v>2132</v>
      </c>
      <c r="I610" s="2" t="s">
        <v>2133</v>
      </c>
    </row>
    <row r="611" ht="15.75" customHeight="1">
      <c r="A611" s="4" t="s">
        <v>859</v>
      </c>
      <c r="B611" s="2" t="s">
        <v>50</v>
      </c>
      <c r="C611" s="2" t="s">
        <v>75</v>
      </c>
      <c r="D611" s="2">
        <v>1375.85</v>
      </c>
      <c r="E611" s="2">
        <v>1.0</v>
      </c>
      <c r="F611" s="2">
        <v>1375.85</v>
      </c>
      <c r="G611" s="2" t="s">
        <v>2134</v>
      </c>
      <c r="H611" s="2" t="s">
        <v>2135</v>
      </c>
      <c r="I611" s="2" t="s">
        <v>2136</v>
      </c>
    </row>
    <row r="612" ht="15.75" customHeight="1">
      <c r="A612" s="4" t="s">
        <v>789</v>
      </c>
      <c r="B612" s="2" t="s">
        <v>85</v>
      </c>
      <c r="C612" s="2" t="s">
        <v>206</v>
      </c>
      <c r="D612" s="2">
        <v>1268.59</v>
      </c>
      <c r="E612" s="2">
        <v>4.0</v>
      </c>
      <c r="F612" s="2">
        <v>5074.36</v>
      </c>
      <c r="G612" s="2" t="s">
        <v>2137</v>
      </c>
      <c r="H612" s="2" t="s">
        <v>2138</v>
      </c>
      <c r="I612" s="2" t="s">
        <v>2139</v>
      </c>
    </row>
    <row r="613" ht="15.75" customHeight="1">
      <c r="A613" s="1" t="s">
        <v>836</v>
      </c>
      <c r="B613" s="2" t="s">
        <v>27</v>
      </c>
      <c r="C613" s="2" t="s">
        <v>807</v>
      </c>
      <c r="D613" s="2">
        <v>633.29</v>
      </c>
      <c r="E613" s="2">
        <v>1.0</v>
      </c>
      <c r="F613" s="2">
        <v>633.29</v>
      </c>
      <c r="G613" s="2" t="s">
        <v>2140</v>
      </c>
      <c r="H613" s="2" t="s">
        <v>2141</v>
      </c>
      <c r="I613" s="2" t="s">
        <v>2142</v>
      </c>
    </row>
    <row r="614" ht="15.75" customHeight="1">
      <c r="A614" s="4" t="s">
        <v>239</v>
      </c>
      <c r="B614" s="2" t="s">
        <v>101</v>
      </c>
      <c r="C614" s="2" t="s">
        <v>235</v>
      </c>
      <c r="D614" s="2">
        <v>664.19</v>
      </c>
      <c r="E614" s="2">
        <v>4.0</v>
      </c>
      <c r="F614" s="2">
        <v>2656.76</v>
      </c>
      <c r="G614" s="2" t="s">
        <v>2143</v>
      </c>
      <c r="H614" s="2" t="s">
        <v>2144</v>
      </c>
      <c r="I614" s="2" t="s">
        <v>2145</v>
      </c>
    </row>
    <row r="615" ht="15.75" customHeight="1">
      <c r="A615" s="1" t="s">
        <v>579</v>
      </c>
      <c r="B615" s="2" t="s">
        <v>16</v>
      </c>
      <c r="C615" s="2" t="s">
        <v>80</v>
      </c>
      <c r="D615" s="2">
        <v>2198.02</v>
      </c>
      <c r="E615" s="2">
        <v>1.0</v>
      </c>
      <c r="F615" s="2">
        <v>2198.02</v>
      </c>
      <c r="G615" s="2" t="s">
        <v>2146</v>
      </c>
      <c r="H615" s="2" t="s">
        <v>2147</v>
      </c>
      <c r="I615" s="2" t="s">
        <v>2148</v>
      </c>
    </row>
    <row r="616" ht="15.75" customHeight="1">
      <c r="A616" s="4" t="s">
        <v>1551</v>
      </c>
      <c r="B616" s="2" t="s">
        <v>27</v>
      </c>
      <c r="C616" s="2" t="s">
        <v>186</v>
      </c>
      <c r="D616" s="2">
        <v>1406.32</v>
      </c>
      <c r="E616" s="2">
        <v>4.0</v>
      </c>
      <c r="F616" s="2">
        <v>5625.28</v>
      </c>
      <c r="G616" s="2" t="s">
        <v>2149</v>
      </c>
      <c r="H616" s="2" t="s">
        <v>2150</v>
      </c>
      <c r="I616" s="2" t="s">
        <v>2151</v>
      </c>
    </row>
    <row r="617" ht="15.75" customHeight="1">
      <c r="A617" s="4" t="s">
        <v>859</v>
      </c>
      <c r="B617" s="2" t="s">
        <v>85</v>
      </c>
      <c r="C617" s="2" t="s">
        <v>28</v>
      </c>
      <c r="D617" s="2">
        <v>421.59</v>
      </c>
      <c r="E617" s="2">
        <v>2.0</v>
      </c>
      <c r="F617" s="2">
        <v>843.18</v>
      </c>
      <c r="G617" s="2" t="s">
        <v>2152</v>
      </c>
      <c r="H617" s="2" t="s">
        <v>2153</v>
      </c>
      <c r="I617" s="2" t="s">
        <v>2154</v>
      </c>
    </row>
    <row r="618" ht="15.75" customHeight="1">
      <c r="A618" s="1" t="s">
        <v>895</v>
      </c>
      <c r="B618" s="2" t="s">
        <v>50</v>
      </c>
      <c r="C618" s="2" t="s">
        <v>235</v>
      </c>
      <c r="D618" s="2">
        <v>1160.86</v>
      </c>
      <c r="E618" s="2">
        <v>4.0</v>
      </c>
      <c r="F618" s="2">
        <v>4643.44</v>
      </c>
      <c r="G618" s="2" t="s">
        <v>2155</v>
      </c>
      <c r="H618" s="2" t="s">
        <v>2156</v>
      </c>
      <c r="I618" s="2" t="s">
        <v>2157</v>
      </c>
    </row>
    <row r="619" ht="15.75" customHeight="1">
      <c r="A619" s="4" t="s">
        <v>1663</v>
      </c>
      <c r="B619" s="2" t="s">
        <v>27</v>
      </c>
      <c r="C619" s="2" t="s">
        <v>45</v>
      </c>
      <c r="D619" s="2">
        <v>340.31</v>
      </c>
      <c r="E619" s="2">
        <v>2.0</v>
      </c>
      <c r="F619" s="2">
        <v>680.62</v>
      </c>
      <c r="G619" s="2" t="s">
        <v>2158</v>
      </c>
      <c r="H619" s="2" t="s">
        <v>2159</v>
      </c>
      <c r="I619" s="2" t="s">
        <v>2160</v>
      </c>
    </row>
    <row r="620" ht="15.75" customHeight="1">
      <c r="A620" s="4" t="s">
        <v>974</v>
      </c>
      <c r="B620" s="2" t="s">
        <v>27</v>
      </c>
      <c r="C620" s="2" t="s">
        <v>500</v>
      </c>
      <c r="D620" s="2">
        <v>1916.11</v>
      </c>
      <c r="E620" s="2">
        <v>4.0</v>
      </c>
      <c r="F620" s="2">
        <v>7664.44</v>
      </c>
      <c r="G620" s="2" t="s">
        <v>2161</v>
      </c>
      <c r="H620" s="2" t="s">
        <v>2162</v>
      </c>
      <c r="I620" s="2" t="s">
        <v>2163</v>
      </c>
    </row>
    <row r="621" ht="15.75" customHeight="1">
      <c r="A621" s="1" t="s">
        <v>903</v>
      </c>
      <c r="B621" s="2" t="s">
        <v>50</v>
      </c>
      <c r="C621" s="2" t="s">
        <v>311</v>
      </c>
      <c r="D621" s="2">
        <v>970.38</v>
      </c>
      <c r="E621" s="2">
        <v>5.0</v>
      </c>
      <c r="F621" s="2">
        <v>4851.9</v>
      </c>
      <c r="G621" s="2" t="s">
        <v>2164</v>
      </c>
      <c r="H621" s="2" t="s">
        <v>2165</v>
      </c>
      <c r="I621" s="2" t="s">
        <v>2166</v>
      </c>
    </row>
    <row r="622" ht="15.75" customHeight="1">
      <c r="A622" s="4" t="s">
        <v>1714</v>
      </c>
      <c r="B622" s="2" t="s">
        <v>101</v>
      </c>
      <c r="C622" s="2" t="s">
        <v>196</v>
      </c>
      <c r="D622" s="2">
        <v>378.98</v>
      </c>
      <c r="E622" s="2">
        <v>1.0</v>
      </c>
      <c r="F622" s="2">
        <v>378.98</v>
      </c>
      <c r="G622" s="2" t="s">
        <v>2167</v>
      </c>
      <c r="H622" s="2" t="s">
        <v>2168</v>
      </c>
      <c r="I622" s="2" t="s">
        <v>2169</v>
      </c>
    </row>
    <row r="623" ht="15.75" customHeight="1">
      <c r="A623" s="1" t="s">
        <v>1058</v>
      </c>
      <c r="B623" s="2" t="s">
        <v>16</v>
      </c>
      <c r="C623" s="2" t="s">
        <v>45</v>
      </c>
      <c r="D623" s="2">
        <v>2028.12</v>
      </c>
      <c r="E623" s="2">
        <v>5.0</v>
      </c>
      <c r="F623" s="2">
        <v>10140.6</v>
      </c>
      <c r="G623" s="2" t="s">
        <v>2170</v>
      </c>
      <c r="H623" s="2" t="s">
        <v>2171</v>
      </c>
      <c r="I623" s="2" t="s">
        <v>2172</v>
      </c>
    </row>
    <row r="624" ht="15.75" customHeight="1">
      <c r="A624" s="1" t="s">
        <v>146</v>
      </c>
      <c r="B624" s="2" t="s">
        <v>50</v>
      </c>
      <c r="C624" s="2" t="s">
        <v>39</v>
      </c>
      <c r="D624" s="2">
        <v>988.44</v>
      </c>
      <c r="E624" s="2">
        <v>2.0</v>
      </c>
      <c r="F624" s="2">
        <v>1976.88</v>
      </c>
      <c r="G624" s="2" t="s">
        <v>2173</v>
      </c>
      <c r="H624" s="2" t="s">
        <v>2174</v>
      </c>
      <c r="I624" s="2" t="s">
        <v>2175</v>
      </c>
    </row>
    <row r="625" ht="15.75" customHeight="1">
      <c r="A625" s="1" t="s">
        <v>214</v>
      </c>
      <c r="B625" s="2" t="s">
        <v>85</v>
      </c>
      <c r="C625" s="2" t="s">
        <v>33</v>
      </c>
      <c r="D625" s="2">
        <v>1832.97</v>
      </c>
      <c r="E625" s="2">
        <v>2.0</v>
      </c>
      <c r="F625" s="2">
        <v>3665.94</v>
      </c>
      <c r="G625" s="2" t="s">
        <v>2176</v>
      </c>
      <c r="H625" s="2" t="s">
        <v>2177</v>
      </c>
      <c r="I625" s="2" t="s">
        <v>2178</v>
      </c>
    </row>
    <row r="626" ht="15.75" customHeight="1">
      <c r="A626" s="1" t="s">
        <v>836</v>
      </c>
      <c r="B626" s="2" t="s">
        <v>27</v>
      </c>
      <c r="C626" s="2" t="s">
        <v>65</v>
      </c>
      <c r="D626" s="2">
        <v>530.94</v>
      </c>
      <c r="E626" s="2">
        <v>5.0</v>
      </c>
      <c r="F626" s="2">
        <v>2654.7</v>
      </c>
      <c r="G626" s="2" t="s">
        <v>2179</v>
      </c>
      <c r="H626" s="2" t="s">
        <v>2180</v>
      </c>
      <c r="I626" s="2" t="s">
        <v>2181</v>
      </c>
    </row>
    <row r="627" ht="15.75" customHeight="1">
      <c r="A627" s="1" t="s">
        <v>911</v>
      </c>
      <c r="B627" s="2" t="s">
        <v>101</v>
      </c>
      <c r="C627" s="2" t="s">
        <v>360</v>
      </c>
      <c r="D627" s="2">
        <v>2254.91</v>
      </c>
      <c r="E627" s="2">
        <v>4.0</v>
      </c>
      <c r="F627" s="2">
        <v>9019.64</v>
      </c>
      <c r="G627" s="2" t="s">
        <v>2182</v>
      </c>
      <c r="H627" s="2" t="s">
        <v>2183</v>
      </c>
      <c r="I627" s="2" t="s">
        <v>2184</v>
      </c>
    </row>
    <row r="628" ht="15.75" customHeight="1">
      <c r="A628" s="1" t="s">
        <v>836</v>
      </c>
      <c r="B628" s="2" t="s">
        <v>27</v>
      </c>
      <c r="C628" s="2" t="s">
        <v>360</v>
      </c>
      <c r="D628" s="2">
        <v>127.35</v>
      </c>
      <c r="E628" s="2">
        <v>1.0</v>
      </c>
      <c r="F628" s="2">
        <v>127.35</v>
      </c>
      <c r="G628" s="2" t="s">
        <v>2185</v>
      </c>
      <c r="H628" s="2" t="s">
        <v>2186</v>
      </c>
      <c r="I628" s="2" t="s">
        <v>2187</v>
      </c>
    </row>
    <row r="629" ht="15.75" customHeight="1">
      <c r="A629" s="1" t="s">
        <v>953</v>
      </c>
      <c r="B629" s="2" t="s">
        <v>50</v>
      </c>
      <c r="C629" s="2" t="s">
        <v>17</v>
      </c>
      <c r="D629" s="2">
        <v>732.27</v>
      </c>
      <c r="E629" s="2">
        <v>4.0</v>
      </c>
      <c r="F629" s="2">
        <v>2929.08</v>
      </c>
      <c r="G629" s="2" t="s">
        <v>2188</v>
      </c>
      <c r="H629" s="2" t="s">
        <v>2189</v>
      </c>
      <c r="I629" s="2" t="s">
        <v>2190</v>
      </c>
    </row>
    <row r="630" ht="15.75" customHeight="1">
      <c r="A630" s="4" t="s">
        <v>1104</v>
      </c>
      <c r="B630" s="2" t="s">
        <v>50</v>
      </c>
      <c r="C630" s="2" t="s">
        <v>75</v>
      </c>
      <c r="D630" s="2">
        <v>2063.96</v>
      </c>
      <c r="E630" s="2">
        <v>2.0</v>
      </c>
      <c r="F630" s="2">
        <v>4127.92</v>
      </c>
      <c r="G630" s="2" t="s">
        <v>2191</v>
      </c>
      <c r="H630" s="2" t="s">
        <v>2192</v>
      </c>
      <c r="I630" s="2" t="s">
        <v>2193</v>
      </c>
    </row>
    <row r="631" ht="15.75" customHeight="1">
      <c r="A631" s="1" t="s">
        <v>1045</v>
      </c>
      <c r="B631" s="2" t="s">
        <v>16</v>
      </c>
      <c r="C631" s="2" t="s">
        <v>152</v>
      </c>
      <c r="D631" s="2">
        <v>2271.98</v>
      </c>
      <c r="E631" s="2">
        <v>5.0</v>
      </c>
      <c r="F631" s="2">
        <v>11359.9</v>
      </c>
      <c r="G631" s="2" t="s">
        <v>2194</v>
      </c>
      <c r="H631" s="2" t="s">
        <v>2195</v>
      </c>
      <c r="I631" s="2" t="s">
        <v>2196</v>
      </c>
    </row>
    <row r="632" ht="15.75" customHeight="1">
      <c r="A632" s="1" t="s">
        <v>1035</v>
      </c>
      <c r="B632" s="2" t="s">
        <v>38</v>
      </c>
      <c r="C632" s="2" t="s">
        <v>96</v>
      </c>
      <c r="D632" s="2">
        <v>627.26</v>
      </c>
      <c r="E632" s="2">
        <v>1.0</v>
      </c>
      <c r="F632" s="2">
        <v>627.26</v>
      </c>
      <c r="G632" s="2" t="s">
        <v>2197</v>
      </c>
      <c r="H632" s="2" t="s">
        <v>2198</v>
      </c>
      <c r="I632" s="2" t="s">
        <v>2199</v>
      </c>
    </row>
    <row r="633" ht="15.75" customHeight="1">
      <c r="A633" s="4" t="s">
        <v>1579</v>
      </c>
      <c r="B633" s="2" t="s">
        <v>85</v>
      </c>
      <c r="C633" s="2" t="s">
        <v>116</v>
      </c>
      <c r="D633" s="2">
        <v>2391.72</v>
      </c>
      <c r="E633" s="2">
        <v>1.0</v>
      </c>
      <c r="F633" s="2">
        <v>2391.72</v>
      </c>
      <c r="G633" s="2" t="s">
        <v>2200</v>
      </c>
      <c r="H633" s="2" t="s">
        <v>2201</v>
      </c>
      <c r="I633" s="2" t="s">
        <v>2202</v>
      </c>
    </row>
    <row r="634" ht="15.75" customHeight="1">
      <c r="A634" s="1" t="s">
        <v>562</v>
      </c>
      <c r="B634" s="2" t="s">
        <v>85</v>
      </c>
      <c r="C634" s="2" t="s">
        <v>147</v>
      </c>
      <c r="D634" s="2">
        <v>318.76</v>
      </c>
      <c r="E634" s="2">
        <v>3.0</v>
      </c>
      <c r="F634" s="2">
        <v>956.28</v>
      </c>
      <c r="G634" s="2" t="s">
        <v>2203</v>
      </c>
      <c r="H634" s="2" t="s">
        <v>2204</v>
      </c>
      <c r="I634" s="2" t="s">
        <v>2205</v>
      </c>
    </row>
    <row r="635" ht="15.75" customHeight="1">
      <c r="A635" s="1" t="s">
        <v>1035</v>
      </c>
      <c r="B635" s="2" t="s">
        <v>16</v>
      </c>
      <c r="C635" s="2" t="s">
        <v>452</v>
      </c>
      <c r="D635" s="2">
        <v>1375.44</v>
      </c>
      <c r="E635" s="2">
        <v>4.0</v>
      </c>
      <c r="F635" s="2">
        <v>5501.76</v>
      </c>
      <c r="G635" s="2" t="s">
        <v>2206</v>
      </c>
      <c r="H635" s="2" t="s">
        <v>2207</v>
      </c>
      <c r="I635" s="2" t="s">
        <v>2208</v>
      </c>
    </row>
    <row r="636" ht="15.75" customHeight="1">
      <c r="A636" s="1" t="s">
        <v>866</v>
      </c>
      <c r="B636" s="2" t="s">
        <v>16</v>
      </c>
      <c r="C636" s="2" t="s">
        <v>807</v>
      </c>
      <c r="D636" s="2">
        <v>488.25</v>
      </c>
      <c r="E636" s="2">
        <v>5.0</v>
      </c>
      <c r="F636" s="2">
        <v>2441.25</v>
      </c>
      <c r="G636" s="2" t="s">
        <v>2209</v>
      </c>
      <c r="H636" s="2" t="s">
        <v>2210</v>
      </c>
      <c r="I636" s="2" t="s">
        <v>2211</v>
      </c>
    </row>
    <row r="637" ht="15.75" customHeight="1">
      <c r="A637" s="4" t="s">
        <v>907</v>
      </c>
      <c r="B637" s="2" t="s">
        <v>85</v>
      </c>
      <c r="C637" s="2" t="s">
        <v>593</v>
      </c>
      <c r="D637" s="2">
        <v>1928.76</v>
      </c>
      <c r="E637" s="2">
        <v>2.0</v>
      </c>
      <c r="F637" s="2">
        <v>3857.52</v>
      </c>
      <c r="G637" s="2" t="s">
        <v>2212</v>
      </c>
      <c r="H637" s="2" t="s">
        <v>2213</v>
      </c>
      <c r="I637" s="2" t="s">
        <v>2214</v>
      </c>
    </row>
    <row r="638" ht="15.75" customHeight="1">
      <c r="A638" s="1" t="s">
        <v>356</v>
      </c>
      <c r="B638" s="2" t="s">
        <v>38</v>
      </c>
      <c r="C638" s="2" t="s">
        <v>39</v>
      </c>
      <c r="D638" s="2">
        <v>1228.74</v>
      </c>
      <c r="E638" s="2">
        <v>2.0</v>
      </c>
      <c r="F638" s="2">
        <v>2457.48</v>
      </c>
      <c r="G638" s="2" t="s">
        <v>2215</v>
      </c>
      <c r="H638" s="2" t="s">
        <v>2216</v>
      </c>
      <c r="I638" s="2" t="s">
        <v>2217</v>
      </c>
    </row>
    <row r="639" ht="15.75" customHeight="1">
      <c r="A639" s="1" t="s">
        <v>877</v>
      </c>
      <c r="B639" s="2" t="s">
        <v>27</v>
      </c>
      <c r="C639" s="2" t="s">
        <v>152</v>
      </c>
      <c r="D639" s="2">
        <v>2384.86</v>
      </c>
      <c r="E639" s="2">
        <v>4.0</v>
      </c>
      <c r="F639" s="2">
        <v>9539.44</v>
      </c>
      <c r="G639" s="2" t="s">
        <v>2218</v>
      </c>
      <c r="H639" s="2" t="s">
        <v>2219</v>
      </c>
      <c r="I639" s="2" t="s">
        <v>2220</v>
      </c>
    </row>
    <row r="640" ht="15.75" customHeight="1">
      <c r="A640" s="1" t="s">
        <v>15</v>
      </c>
      <c r="B640" s="2" t="s">
        <v>38</v>
      </c>
      <c r="C640" s="2" t="s">
        <v>55</v>
      </c>
      <c r="D640" s="2">
        <v>2332.8</v>
      </c>
      <c r="E640" s="2">
        <v>1.0</v>
      </c>
      <c r="F640" s="2">
        <v>2332.8</v>
      </c>
      <c r="G640" s="2" t="s">
        <v>2221</v>
      </c>
      <c r="H640" s="2" t="s">
        <v>2222</v>
      </c>
      <c r="I640" s="2" t="s">
        <v>2223</v>
      </c>
    </row>
    <row r="641" ht="15.75" customHeight="1">
      <c r="A641" s="1" t="s">
        <v>558</v>
      </c>
      <c r="B641" s="2" t="s">
        <v>85</v>
      </c>
      <c r="C641" s="2" t="s">
        <v>397</v>
      </c>
      <c r="E641" s="2">
        <v>4.0</v>
      </c>
      <c r="F641" s="2">
        <v>6259.84</v>
      </c>
      <c r="G641" s="2" t="s">
        <v>2224</v>
      </c>
      <c r="H641" s="2" t="s">
        <v>2225</v>
      </c>
      <c r="I641" s="2" t="s">
        <v>2226</v>
      </c>
    </row>
    <row r="642" ht="15.75" customHeight="1">
      <c r="A642" s="1" t="s">
        <v>380</v>
      </c>
      <c r="B642" s="2" t="s">
        <v>85</v>
      </c>
      <c r="C642" s="2" t="s">
        <v>172</v>
      </c>
      <c r="D642" s="2">
        <v>1274.8</v>
      </c>
      <c r="E642" s="2">
        <v>5.0</v>
      </c>
      <c r="F642" s="2">
        <v>6374.0</v>
      </c>
      <c r="G642" s="2" t="s">
        <v>2227</v>
      </c>
      <c r="H642" s="2" t="s">
        <v>2228</v>
      </c>
      <c r="I642" s="2" t="s">
        <v>2229</v>
      </c>
    </row>
    <row r="643" ht="15.75" customHeight="1">
      <c r="A643" s="4" t="s">
        <v>789</v>
      </c>
      <c r="B643" s="2" t="s">
        <v>85</v>
      </c>
      <c r="C643" s="2" t="s">
        <v>80</v>
      </c>
      <c r="D643" s="2">
        <v>181.16</v>
      </c>
      <c r="E643" s="2">
        <v>4.0</v>
      </c>
      <c r="F643" s="2">
        <v>724.64</v>
      </c>
      <c r="G643" s="2" t="s">
        <v>2230</v>
      </c>
      <c r="H643" s="2" t="s">
        <v>2231</v>
      </c>
      <c r="I643" s="2" t="s">
        <v>2232</v>
      </c>
    </row>
    <row r="644" ht="15.75" customHeight="1">
      <c r="A644" s="1" t="s">
        <v>69</v>
      </c>
      <c r="B644" s="2" t="s">
        <v>50</v>
      </c>
      <c r="C644" s="2" t="s">
        <v>369</v>
      </c>
      <c r="D644" s="2">
        <v>110.53</v>
      </c>
      <c r="E644" s="2">
        <v>5.0</v>
      </c>
      <c r="F644" s="2">
        <v>552.65</v>
      </c>
      <c r="G644" s="2" t="s">
        <v>2233</v>
      </c>
      <c r="H644" s="2" t="s">
        <v>2234</v>
      </c>
      <c r="I644" s="2" t="s">
        <v>2235</v>
      </c>
    </row>
    <row r="645" ht="15.75" customHeight="1">
      <c r="A645" s="1" t="s">
        <v>836</v>
      </c>
      <c r="B645" s="2" t="s">
        <v>101</v>
      </c>
      <c r="C645" s="2" t="s">
        <v>452</v>
      </c>
      <c r="D645" s="2">
        <v>1008.28</v>
      </c>
      <c r="E645" s="2">
        <v>5.0</v>
      </c>
      <c r="F645" s="2">
        <v>5041.4</v>
      </c>
      <c r="G645" s="2" t="s">
        <v>2236</v>
      </c>
      <c r="H645" s="2" t="s">
        <v>2237</v>
      </c>
      <c r="I645" s="2" t="s">
        <v>2238</v>
      </c>
    </row>
    <row r="646" ht="15.75" customHeight="1">
      <c r="A646" s="1" t="s">
        <v>1488</v>
      </c>
      <c r="B646" s="2" t="s">
        <v>38</v>
      </c>
      <c r="C646" s="2" t="s">
        <v>86</v>
      </c>
      <c r="D646" s="2">
        <v>1758.16</v>
      </c>
      <c r="E646" s="2">
        <v>5.0</v>
      </c>
      <c r="F646" s="2">
        <v>8790.8</v>
      </c>
      <c r="G646" s="2" t="s">
        <v>2239</v>
      </c>
      <c r="H646" s="2" t="s">
        <v>2240</v>
      </c>
      <c r="I646" s="2" t="s">
        <v>2241</v>
      </c>
    </row>
    <row r="647" ht="15.75" customHeight="1">
      <c r="A647" s="4" t="s">
        <v>1579</v>
      </c>
      <c r="B647" s="2" t="s">
        <v>27</v>
      </c>
      <c r="C647" s="2" t="s">
        <v>181</v>
      </c>
      <c r="D647" s="2">
        <v>548.67</v>
      </c>
      <c r="E647" s="2">
        <v>2.0</v>
      </c>
      <c r="F647" s="2">
        <v>1097.34</v>
      </c>
      <c r="G647" s="2" t="s">
        <v>2242</v>
      </c>
      <c r="H647" s="2" t="s">
        <v>2243</v>
      </c>
      <c r="I647" s="2" t="s">
        <v>2244</v>
      </c>
    </row>
    <row r="648" ht="15.75" customHeight="1">
      <c r="A648" s="4" t="s">
        <v>2245</v>
      </c>
      <c r="B648" s="2" t="s">
        <v>27</v>
      </c>
      <c r="C648" s="2" t="s">
        <v>201</v>
      </c>
      <c r="D648" s="2">
        <v>664.18</v>
      </c>
      <c r="E648" s="2">
        <v>2.0</v>
      </c>
      <c r="F648" s="2">
        <v>1328.36</v>
      </c>
      <c r="G648" s="2" t="s">
        <v>2246</v>
      </c>
      <c r="H648" s="2" t="s">
        <v>2247</v>
      </c>
      <c r="I648" s="2" t="s">
        <v>2248</v>
      </c>
    </row>
    <row r="649" ht="15.75" customHeight="1">
      <c r="A649" s="1" t="s">
        <v>69</v>
      </c>
      <c r="B649" s="2" t="s">
        <v>27</v>
      </c>
      <c r="C649" s="2" t="s">
        <v>348</v>
      </c>
      <c r="D649" s="2">
        <v>1453.6</v>
      </c>
      <c r="E649" s="2">
        <v>4.0</v>
      </c>
      <c r="F649" s="2">
        <v>5814.4</v>
      </c>
      <c r="G649" s="2" t="s">
        <v>2249</v>
      </c>
      <c r="H649" s="2" t="s">
        <v>2250</v>
      </c>
      <c r="I649" s="2" t="s">
        <v>2251</v>
      </c>
    </row>
    <row r="650" ht="15.75" customHeight="1">
      <c r="A650" s="1" t="s">
        <v>785</v>
      </c>
      <c r="B650" s="2" t="s">
        <v>16</v>
      </c>
      <c r="C650" s="2" t="s">
        <v>91</v>
      </c>
      <c r="D650" s="2">
        <v>2191.24</v>
      </c>
      <c r="E650" s="2">
        <v>5.0</v>
      </c>
      <c r="F650" s="2">
        <v>10956.2</v>
      </c>
      <c r="G650" s="2" t="s">
        <v>2252</v>
      </c>
      <c r="H650" s="2" t="s">
        <v>2253</v>
      </c>
      <c r="I650" s="2" t="s">
        <v>2254</v>
      </c>
    </row>
    <row r="651" ht="15.75" customHeight="1">
      <c r="A651" s="1" t="s">
        <v>903</v>
      </c>
      <c r="B651" s="2" t="s">
        <v>38</v>
      </c>
      <c r="C651" s="2" t="s">
        <v>226</v>
      </c>
      <c r="D651" s="2">
        <v>2101.48</v>
      </c>
      <c r="E651" s="2">
        <v>2.0</v>
      </c>
      <c r="F651" s="2">
        <v>4202.96</v>
      </c>
      <c r="G651" s="2" t="s">
        <v>2255</v>
      </c>
      <c r="H651" s="2" t="s">
        <v>2256</v>
      </c>
      <c r="I651" s="2" t="s">
        <v>2257</v>
      </c>
    </row>
    <row r="652" ht="15.75" customHeight="1">
      <c r="A652" s="1" t="s">
        <v>1045</v>
      </c>
      <c r="B652" s="2" t="s">
        <v>38</v>
      </c>
      <c r="C652" s="2" t="s">
        <v>39</v>
      </c>
      <c r="D652" s="2">
        <v>2461.45</v>
      </c>
      <c r="E652" s="2">
        <v>4.0</v>
      </c>
      <c r="F652" s="2">
        <v>9845.8</v>
      </c>
      <c r="G652" s="2" t="s">
        <v>2258</v>
      </c>
      <c r="H652" s="2" t="s">
        <v>2259</v>
      </c>
      <c r="I652" s="2" t="s">
        <v>2260</v>
      </c>
    </row>
    <row r="653" ht="15.75" customHeight="1">
      <c r="A653" s="1" t="s">
        <v>558</v>
      </c>
      <c r="B653" s="2" t="s">
        <v>27</v>
      </c>
      <c r="C653" s="2" t="s">
        <v>235</v>
      </c>
      <c r="D653" s="2">
        <v>1972.43</v>
      </c>
      <c r="E653" s="2">
        <v>5.0</v>
      </c>
      <c r="F653" s="2">
        <v>9862.15</v>
      </c>
      <c r="G653" s="2" t="s">
        <v>2261</v>
      </c>
      <c r="H653" s="2" t="s">
        <v>2262</v>
      </c>
      <c r="I653" s="2" t="s">
        <v>2263</v>
      </c>
    </row>
    <row r="654" ht="15.75" customHeight="1">
      <c r="A654" s="4" t="s">
        <v>239</v>
      </c>
      <c r="B654" s="2" t="s">
        <v>16</v>
      </c>
      <c r="C654" s="2" t="s">
        <v>172</v>
      </c>
      <c r="D654" s="2">
        <v>214.86</v>
      </c>
      <c r="E654" s="2">
        <v>5.0</v>
      </c>
      <c r="F654" s="2">
        <v>1074.3</v>
      </c>
      <c r="G654" s="2" t="s">
        <v>2264</v>
      </c>
      <c r="H654" s="2" t="s">
        <v>2265</v>
      </c>
      <c r="I654" s="2" t="s">
        <v>2266</v>
      </c>
    </row>
    <row r="655" ht="15.75" customHeight="1">
      <c r="A655" s="1" t="s">
        <v>1011</v>
      </c>
      <c r="B655" s="2" t="s">
        <v>27</v>
      </c>
      <c r="C655" s="2" t="s">
        <v>1015</v>
      </c>
      <c r="D655" s="2">
        <v>397.5</v>
      </c>
      <c r="E655" s="2">
        <v>2.0</v>
      </c>
      <c r="F655" s="2">
        <v>795.0</v>
      </c>
      <c r="G655" s="2" t="s">
        <v>2267</v>
      </c>
      <c r="H655" s="2" t="s">
        <v>2268</v>
      </c>
      <c r="I655" s="2" t="s">
        <v>2269</v>
      </c>
    </row>
    <row r="656" ht="15.75" customHeight="1">
      <c r="A656" s="4" t="s">
        <v>1022</v>
      </c>
      <c r="B656" s="2" t="s">
        <v>85</v>
      </c>
      <c r="C656" s="2" t="s">
        <v>181</v>
      </c>
      <c r="D656" s="2">
        <v>1673.73</v>
      </c>
      <c r="E656" s="2">
        <v>1.0</v>
      </c>
      <c r="F656" s="2">
        <v>1673.73</v>
      </c>
      <c r="G656" s="2" t="s">
        <v>2270</v>
      </c>
      <c r="H656" s="2" t="s">
        <v>2271</v>
      </c>
      <c r="I656" s="2" t="s">
        <v>2272</v>
      </c>
    </row>
    <row r="657" ht="15.75" customHeight="1">
      <c r="A657" s="4" t="s">
        <v>922</v>
      </c>
      <c r="B657" s="2" t="s">
        <v>50</v>
      </c>
      <c r="C657" s="2" t="s">
        <v>80</v>
      </c>
      <c r="D657" s="2">
        <v>1395.95</v>
      </c>
      <c r="E657" s="2">
        <v>3.0</v>
      </c>
      <c r="F657" s="2">
        <v>4187.85</v>
      </c>
      <c r="G657" s="2" t="s">
        <v>2273</v>
      </c>
      <c r="H657" s="2" t="s">
        <v>2274</v>
      </c>
      <c r="I657" s="2" t="s">
        <v>2275</v>
      </c>
    </row>
    <row r="658" ht="15.75" customHeight="1">
      <c r="A658" s="1" t="s">
        <v>1091</v>
      </c>
      <c r="B658" s="2" t="s">
        <v>85</v>
      </c>
      <c r="C658" s="2" t="s">
        <v>698</v>
      </c>
      <c r="D658" s="2">
        <v>2140.33</v>
      </c>
      <c r="E658" s="2">
        <v>5.0</v>
      </c>
      <c r="F658" s="2">
        <v>10701.65</v>
      </c>
      <c r="G658" s="2" t="s">
        <v>2276</v>
      </c>
      <c r="H658" s="2" t="s">
        <v>2277</v>
      </c>
      <c r="I658" s="2" t="s">
        <v>2278</v>
      </c>
    </row>
    <row r="659" ht="15.75" customHeight="1">
      <c r="A659" s="4" t="s">
        <v>907</v>
      </c>
      <c r="B659" s="2" t="s">
        <v>101</v>
      </c>
      <c r="C659" s="2" t="s">
        <v>116</v>
      </c>
      <c r="D659" s="2">
        <v>2167.21</v>
      </c>
      <c r="E659" s="2">
        <v>2.0</v>
      </c>
      <c r="F659" s="2">
        <v>4334.42</v>
      </c>
      <c r="G659" s="2" t="s">
        <v>2279</v>
      </c>
      <c r="H659" s="2" t="s">
        <v>2280</v>
      </c>
      <c r="I659" s="2" t="s">
        <v>2281</v>
      </c>
    </row>
    <row r="660" ht="15.75" customHeight="1">
      <c r="A660" s="1" t="s">
        <v>785</v>
      </c>
      <c r="B660" s="2" t="s">
        <v>16</v>
      </c>
      <c r="C660" s="2" t="s">
        <v>452</v>
      </c>
      <c r="D660" s="2">
        <v>276.58</v>
      </c>
      <c r="E660" s="2">
        <v>1.0</v>
      </c>
      <c r="F660" s="2">
        <v>276.58</v>
      </c>
      <c r="G660" s="2" t="s">
        <v>2282</v>
      </c>
      <c r="H660" s="2" t="s">
        <v>2283</v>
      </c>
      <c r="I660" s="2" t="s">
        <v>2284</v>
      </c>
    </row>
    <row r="661" ht="15.75" customHeight="1">
      <c r="A661" s="1" t="s">
        <v>69</v>
      </c>
      <c r="B661" s="2" t="s">
        <v>27</v>
      </c>
      <c r="C661" s="2" t="s">
        <v>17</v>
      </c>
      <c r="D661" s="2">
        <v>2062.25</v>
      </c>
      <c r="E661" s="2">
        <v>3.0</v>
      </c>
      <c r="F661" s="2">
        <v>6186.75</v>
      </c>
      <c r="G661" s="2" t="s">
        <v>2285</v>
      </c>
      <c r="H661" s="2" t="s">
        <v>2286</v>
      </c>
      <c r="I661" s="2" t="s">
        <v>2287</v>
      </c>
    </row>
    <row r="662" ht="15.75" customHeight="1">
      <c r="A662" s="1" t="s">
        <v>195</v>
      </c>
      <c r="B662" s="2" t="s">
        <v>793</v>
      </c>
      <c r="C662" s="2" t="s">
        <v>593</v>
      </c>
      <c r="D662" s="2">
        <v>2343.81</v>
      </c>
      <c r="E662" s="2">
        <v>4.0</v>
      </c>
      <c r="F662" s="2">
        <v>9375.24</v>
      </c>
      <c r="G662" s="2" t="s">
        <v>2288</v>
      </c>
      <c r="H662" s="2" t="s">
        <v>2289</v>
      </c>
      <c r="I662" s="2" t="s">
        <v>2290</v>
      </c>
    </row>
    <row r="663" ht="15.75" customHeight="1">
      <c r="A663" s="1" t="s">
        <v>1035</v>
      </c>
      <c r="B663" s="2" t="s">
        <v>85</v>
      </c>
      <c r="C663" s="2" t="s">
        <v>96</v>
      </c>
      <c r="D663" s="2">
        <v>1397.49</v>
      </c>
      <c r="E663" s="2">
        <v>3.0</v>
      </c>
      <c r="F663" s="2">
        <v>4192.47</v>
      </c>
      <c r="G663" s="2" t="s">
        <v>2291</v>
      </c>
      <c r="H663" s="2" t="s">
        <v>2292</v>
      </c>
      <c r="I663" s="2" t="s">
        <v>2293</v>
      </c>
    </row>
    <row r="664" ht="15.75" customHeight="1">
      <c r="A664" s="1" t="s">
        <v>214</v>
      </c>
      <c r="B664" s="2" t="s">
        <v>85</v>
      </c>
      <c r="C664" s="2" t="s">
        <v>235</v>
      </c>
      <c r="D664" s="2">
        <v>1159.32</v>
      </c>
      <c r="E664" s="2">
        <v>5.0</v>
      </c>
      <c r="F664" s="2">
        <v>5796.6</v>
      </c>
      <c r="G664" s="2" t="s">
        <v>2294</v>
      </c>
      <c r="H664" s="2" t="s">
        <v>2295</v>
      </c>
      <c r="I664" s="2" t="s">
        <v>2296</v>
      </c>
    </row>
    <row r="665" ht="15.75" customHeight="1">
      <c r="A665" s="1" t="s">
        <v>335</v>
      </c>
      <c r="B665" s="2" t="s">
        <v>130</v>
      </c>
      <c r="C665" s="2" t="s">
        <v>55</v>
      </c>
      <c r="D665" s="2">
        <v>1717.67</v>
      </c>
      <c r="E665" s="2">
        <v>4.0</v>
      </c>
      <c r="F665" s="2">
        <v>6870.68</v>
      </c>
      <c r="G665" s="2" t="s">
        <v>2297</v>
      </c>
      <c r="H665" s="2" t="s">
        <v>2298</v>
      </c>
      <c r="I665" s="2" t="s">
        <v>2299</v>
      </c>
    </row>
    <row r="666" ht="15.75" customHeight="1">
      <c r="A666" s="1" t="s">
        <v>1481</v>
      </c>
      <c r="B666" s="2" t="s">
        <v>38</v>
      </c>
      <c r="C666" s="2" t="s">
        <v>39</v>
      </c>
      <c r="D666" s="2">
        <v>611.99</v>
      </c>
      <c r="E666" s="2">
        <v>2.0</v>
      </c>
      <c r="F666" s="2">
        <v>1223.98</v>
      </c>
      <c r="G666" s="2" t="s">
        <v>2300</v>
      </c>
      <c r="H666" s="2" t="s">
        <v>2301</v>
      </c>
      <c r="I666" s="2" t="s">
        <v>2302</v>
      </c>
    </row>
    <row r="667" ht="15.75" customHeight="1">
      <c r="A667" s="4" t="s">
        <v>1498</v>
      </c>
      <c r="B667" s="2" t="s">
        <v>27</v>
      </c>
      <c r="C667" s="2" t="s">
        <v>360</v>
      </c>
      <c r="D667" s="2">
        <v>1865.37</v>
      </c>
      <c r="E667" s="2">
        <v>1.0</v>
      </c>
      <c r="F667" s="2">
        <v>1865.37</v>
      </c>
      <c r="G667" s="2" t="s">
        <v>2303</v>
      </c>
      <c r="H667" s="2" t="s">
        <v>2304</v>
      </c>
      <c r="I667" s="2" t="s">
        <v>2305</v>
      </c>
    </row>
    <row r="668" ht="15.75" customHeight="1">
      <c r="A668" s="4" t="s">
        <v>899</v>
      </c>
      <c r="B668" s="2" t="s">
        <v>16</v>
      </c>
      <c r="C668" s="2" t="s">
        <v>111</v>
      </c>
      <c r="D668" s="2">
        <v>642.95</v>
      </c>
      <c r="E668" s="2">
        <v>2.0</v>
      </c>
      <c r="F668" s="2">
        <v>1285.9</v>
      </c>
      <c r="G668" s="2" t="s">
        <v>2306</v>
      </c>
      <c r="H668" s="2" t="s">
        <v>2307</v>
      </c>
      <c r="I668" s="2" t="s">
        <v>2308</v>
      </c>
    </row>
    <row r="669" ht="15.75" customHeight="1">
      <c r="A669" s="1" t="s">
        <v>1683</v>
      </c>
      <c r="B669" s="2" t="s">
        <v>50</v>
      </c>
      <c r="C669" s="2" t="s">
        <v>397</v>
      </c>
      <c r="D669" s="2">
        <v>1237.66</v>
      </c>
      <c r="E669" s="2">
        <v>1.0</v>
      </c>
      <c r="F669" s="2">
        <v>1237.66</v>
      </c>
      <c r="G669" s="2" t="s">
        <v>2309</v>
      </c>
      <c r="H669" s="2" t="s">
        <v>2310</v>
      </c>
      <c r="I669" s="2" t="s">
        <v>2311</v>
      </c>
    </row>
    <row r="670" ht="15.75" customHeight="1">
      <c r="A670" s="4" t="s">
        <v>1007</v>
      </c>
      <c r="B670" s="2" t="s">
        <v>27</v>
      </c>
      <c r="C670" s="2" t="s">
        <v>55</v>
      </c>
      <c r="D670" s="2">
        <v>1172.2</v>
      </c>
      <c r="E670" s="2">
        <v>1.0</v>
      </c>
      <c r="F670" s="2">
        <v>1172.2</v>
      </c>
      <c r="G670" s="2" t="s">
        <v>2312</v>
      </c>
      <c r="H670" s="2" t="s">
        <v>2313</v>
      </c>
      <c r="I670" s="2" t="s">
        <v>2314</v>
      </c>
    </row>
    <row r="671" ht="15.75" customHeight="1">
      <c r="A671" s="1" t="s">
        <v>276</v>
      </c>
      <c r="B671" s="2" t="s">
        <v>16</v>
      </c>
      <c r="C671" s="2" t="s">
        <v>360</v>
      </c>
      <c r="D671" s="2">
        <v>2142.82</v>
      </c>
      <c r="E671" s="2">
        <v>2.0</v>
      </c>
      <c r="F671" s="2">
        <v>4285.64</v>
      </c>
      <c r="G671" s="2" t="s">
        <v>2315</v>
      </c>
      <c r="H671" s="2" t="s">
        <v>2316</v>
      </c>
      <c r="I671" s="2" t="s">
        <v>2317</v>
      </c>
    </row>
    <row r="672" ht="15.75" customHeight="1">
      <c r="A672" s="1" t="s">
        <v>69</v>
      </c>
      <c r="B672" s="2" t="s">
        <v>101</v>
      </c>
      <c r="C672" s="2" t="s">
        <v>80</v>
      </c>
      <c r="D672" s="2">
        <v>1083.45</v>
      </c>
      <c r="E672" s="2">
        <v>5.0</v>
      </c>
      <c r="F672" s="2">
        <v>5417.25</v>
      </c>
      <c r="G672" s="2" t="s">
        <v>2318</v>
      </c>
      <c r="H672" s="2" t="s">
        <v>2319</v>
      </c>
      <c r="I672" s="2" t="s">
        <v>2320</v>
      </c>
    </row>
    <row r="673" ht="15.75" customHeight="1">
      <c r="A673" s="4" t="s">
        <v>994</v>
      </c>
      <c r="B673" s="2" t="s">
        <v>38</v>
      </c>
      <c r="C673" s="2" t="s">
        <v>1015</v>
      </c>
      <c r="D673" s="2">
        <v>927.31</v>
      </c>
      <c r="E673" s="2">
        <v>2.0</v>
      </c>
      <c r="F673" s="2">
        <v>1854.62</v>
      </c>
      <c r="G673" s="2" t="s">
        <v>2321</v>
      </c>
      <c r="H673" s="2" t="s">
        <v>2322</v>
      </c>
      <c r="I673" s="2" t="s">
        <v>2323</v>
      </c>
    </row>
    <row r="674" ht="15.75" customHeight="1">
      <c r="A674" s="1" t="s">
        <v>781</v>
      </c>
      <c r="B674" s="2" t="s">
        <v>50</v>
      </c>
      <c r="C674" s="2" t="s">
        <v>452</v>
      </c>
      <c r="D674" s="2">
        <v>2392.27</v>
      </c>
      <c r="E674" s="2">
        <v>4.0</v>
      </c>
      <c r="F674" s="2">
        <v>9569.08</v>
      </c>
      <c r="G674" s="2" t="s">
        <v>2324</v>
      </c>
      <c r="H674" s="2" t="s">
        <v>2325</v>
      </c>
      <c r="I674" s="2" t="s">
        <v>2326</v>
      </c>
    </row>
    <row r="675" ht="15.75" customHeight="1">
      <c r="A675" s="1" t="s">
        <v>276</v>
      </c>
      <c r="B675" s="2" t="s">
        <v>85</v>
      </c>
      <c r="C675" s="2" t="s">
        <v>39</v>
      </c>
      <c r="D675" s="2">
        <v>219.68</v>
      </c>
      <c r="E675" s="2">
        <v>4.0</v>
      </c>
      <c r="F675" s="2">
        <v>878.72</v>
      </c>
      <c r="G675" s="2" t="s">
        <v>2327</v>
      </c>
      <c r="H675" s="2" t="s">
        <v>2328</v>
      </c>
      <c r="I675" s="2" t="s">
        <v>2329</v>
      </c>
    </row>
    <row r="676" ht="15.75" customHeight="1">
      <c r="A676" s="1" t="s">
        <v>1209</v>
      </c>
      <c r="B676" s="2" t="s">
        <v>16</v>
      </c>
      <c r="C676" s="2" t="s">
        <v>28</v>
      </c>
      <c r="D676" s="2">
        <v>563.11</v>
      </c>
      <c r="E676" s="2">
        <v>1.0</v>
      </c>
      <c r="F676" s="2">
        <v>563.11</v>
      </c>
      <c r="G676" s="2" t="s">
        <v>2330</v>
      </c>
      <c r="H676" s="2" t="s">
        <v>2331</v>
      </c>
      <c r="I676" s="2" t="s">
        <v>2332</v>
      </c>
    </row>
    <row r="677" ht="15.75" customHeight="1">
      <c r="A677" s="1" t="s">
        <v>276</v>
      </c>
      <c r="B677" s="2" t="s">
        <v>50</v>
      </c>
      <c r="C677" s="2" t="s">
        <v>698</v>
      </c>
      <c r="D677" s="2">
        <v>2269.51</v>
      </c>
      <c r="E677" s="2">
        <v>3.0</v>
      </c>
      <c r="F677" s="2">
        <v>6808.53</v>
      </c>
      <c r="G677" s="2" t="s">
        <v>2333</v>
      </c>
      <c r="H677" s="2" t="s">
        <v>2334</v>
      </c>
      <c r="I677" s="2" t="s">
        <v>2335</v>
      </c>
    </row>
    <row r="678" ht="15.75" customHeight="1">
      <c r="A678" s="1" t="s">
        <v>409</v>
      </c>
      <c r="B678" s="2" t="s">
        <v>101</v>
      </c>
      <c r="C678" s="2" t="s">
        <v>698</v>
      </c>
      <c r="D678" s="2">
        <v>299.66</v>
      </c>
      <c r="E678" s="2">
        <v>3.0</v>
      </c>
      <c r="F678" s="2">
        <v>898.98</v>
      </c>
      <c r="G678" s="2" t="s">
        <v>2336</v>
      </c>
      <c r="H678" s="2" t="s">
        <v>2337</v>
      </c>
      <c r="I678" s="2" t="s">
        <v>2338</v>
      </c>
    </row>
    <row r="679" ht="15.75" customHeight="1">
      <c r="A679" s="4" t="s">
        <v>907</v>
      </c>
      <c r="B679" s="2" t="s">
        <v>16</v>
      </c>
      <c r="C679" s="2" t="s">
        <v>39</v>
      </c>
      <c r="D679" s="2">
        <v>2139.42</v>
      </c>
      <c r="E679" s="2">
        <v>4.0</v>
      </c>
      <c r="F679" s="2">
        <v>8557.68</v>
      </c>
      <c r="G679" s="2" t="s">
        <v>2339</v>
      </c>
      <c r="H679" s="2" t="s">
        <v>2340</v>
      </c>
      <c r="I679" s="2" t="s">
        <v>2341</v>
      </c>
    </row>
    <row r="680" ht="15.75" customHeight="1">
      <c r="A680" s="1" t="s">
        <v>966</v>
      </c>
      <c r="B680" s="2" t="s">
        <v>85</v>
      </c>
      <c r="C680" s="2" t="s">
        <v>17</v>
      </c>
      <c r="D680" s="2">
        <v>1164.16</v>
      </c>
      <c r="E680" s="2">
        <v>4.0</v>
      </c>
      <c r="F680" s="2">
        <v>4656.64</v>
      </c>
      <c r="G680" s="2" t="s">
        <v>2342</v>
      </c>
      <c r="H680" s="2" t="s">
        <v>2343</v>
      </c>
      <c r="I680" s="2" t="s">
        <v>2344</v>
      </c>
    </row>
    <row r="681" ht="15.75" customHeight="1">
      <c r="A681" s="4" t="s">
        <v>1520</v>
      </c>
      <c r="B681" s="2" t="s">
        <v>50</v>
      </c>
      <c r="C681" s="2" t="s">
        <v>65</v>
      </c>
      <c r="D681" s="2">
        <v>2202.87</v>
      </c>
      <c r="E681" s="2">
        <v>5.0</v>
      </c>
      <c r="F681" s="2">
        <v>11014.35</v>
      </c>
      <c r="G681" s="2" t="s">
        <v>2345</v>
      </c>
      <c r="H681" s="2" t="s">
        <v>2346</v>
      </c>
      <c r="I681" s="2" t="s">
        <v>2347</v>
      </c>
    </row>
    <row r="682" ht="15.75" customHeight="1">
      <c r="A682" s="4" t="s">
        <v>922</v>
      </c>
      <c r="B682" s="2" t="s">
        <v>38</v>
      </c>
      <c r="C682" s="2" t="s">
        <v>250</v>
      </c>
      <c r="D682" s="2">
        <v>386.85</v>
      </c>
      <c r="E682" s="2">
        <v>2.0</v>
      </c>
      <c r="F682" s="2">
        <v>773.7</v>
      </c>
      <c r="G682" s="2" t="s">
        <v>2348</v>
      </c>
      <c r="H682" s="2" t="s">
        <v>2349</v>
      </c>
      <c r="I682" s="2" t="s">
        <v>2350</v>
      </c>
    </row>
    <row r="683" ht="15.75" customHeight="1">
      <c r="A683" s="1" t="s">
        <v>417</v>
      </c>
      <c r="B683" s="2" t="s">
        <v>50</v>
      </c>
      <c r="C683" s="2" t="s">
        <v>28</v>
      </c>
      <c r="D683" s="2">
        <v>2461.26</v>
      </c>
      <c r="E683" s="2">
        <v>3.0</v>
      </c>
      <c r="F683" s="2">
        <v>7383.78</v>
      </c>
      <c r="G683" s="2" t="s">
        <v>2351</v>
      </c>
      <c r="H683" s="2" t="s">
        <v>2352</v>
      </c>
      <c r="I683" s="2" t="s">
        <v>2353</v>
      </c>
    </row>
    <row r="684" ht="15.75" customHeight="1">
      <c r="A684" s="4" t="s">
        <v>2245</v>
      </c>
      <c r="B684" s="2" t="s">
        <v>38</v>
      </c>
      <c r="C684" s="2" t="s">
        <v>96</v>
      </c>
      <c r="D684" s="2">
        <v>469.22</v>
      </c>
      <c r="E684" s="2">
        <v>1.0</v>
      </c>
      <c r="F684" s="2">
        <v>469.22</v>
      </c>
      <c r="G684" s="2" t="s">
        <v>2354</v>
      </c>
      <c r="H684" s="2" t="s">
        <v>2355</v>
      </c>
      <c r="I684" s="2" t="s">
        <v>2356</v>
      </c>
    </row>
    <row r="685" ht="15.75" customHeight="1">
      <c r="A685" s="4" t="s">
        <v>239</v>
      </c>
      <c r="B685" s="2" t="s">
        <v>27</v>
      </c>
      <c r="C685" s="2" t="s">
        <v>226</v>
      </c>
      <c r="D685" s="2">
        <v>499.69</v>
      </c>
      <c r="E685" s="2">
        <v>1.0</v>
      </c>
      <c r="F685" s="2">
        <v>499.69</v>
      </c>
      <c r="G685" s="2" t="s">
        <v>2357</v>
      </c>
      <c r="H685" s="2" t="s">
        <v>2358</v>
      </c>
      <c r="I685" s="2" t="s">
        <v>2359</v>
      </c>
    </row>
    <row r="686" ht="15.75" customHeight="1">
      <c r="A686" s="1" t="s">
        <v>826</v>
      </c>
      <c r="B686" s="2" t="s">
        <v>16</v>
      </c>
      <c r="C686" s="2" t="s">
        <v>28</v>
      </c>
      <c r="D686" s="2">
        <v>2493.45</v>
      </c>
      <c r="E686" s="2">
        <v>2.0</v>
      </c>
      <c r="F686" s="2">
        <v>4986.9</v>
      </c>
      <c r="G686" s="2" t="s">
        <v>2360</v>
      </c>
      <c r="H686" s="2" t="s">
        <v>2361</v>
      </c>
      <c r="I686" s="2" t="s">
        <v>2362</v>
      </c>
    </row>
    <row r="687" ht="15.75" customHeight="1">
      <c r="A687" s="1" t="s">
        <v>409</v>
      </c>
      <c r="B687" s="2" t="s">
        <v>38</v>
      </c>
      <c r="C687" s="2" t="s">
        <v>311</v>
      </c>
      <c r="D687" s="2">
        <v>510.78</v>
      </c>
      <c r="E687" s="2">
        <v>3.0</v>
      </c>
      <c r="F687" s="2">
        <v>1532.34</v>
      </c>
      <c r="G687" s="2" t="s">
        <v>2363</v>
      </c>
      <c r="H687" s="2" t="s">
        <v>2364</v>
      </c>
      <c r="I687" s="2" t="s">
        <v>2365</v>
      </c>
    </row>
    <row r="688" ht="15.75" customHeight="1">
      <c r="A688" s="1" t="s">
        <v>1189</v>
      </c>
      <c r="B688" s="2" t="s">
        <v>27</v>
      </c>
      <c r="C688" s="2" t="s">
        <v>397</v>
      </c>
      <c r="D688" s="2">
        <v>221.44</v>
      </c>
      <c r="E688" s="2">
        <v>3.0</v>
      </c>
      <c r="F688" s="2">
        <v>664.32</v>
      </c>
      <c r="G688" s="2" t="s">
        <v>2366</v>
      </c>
      <c r="H688" s="2" t="s">
        <v>2367</v>
      </c>
      <c r="I688" s="2" t="s">
        <v>2368</v>
      </c>
    </row>
    <row r="689" ht="15.75" customHeight="1">
      <c r="A689" s="1" t="s">
        <v>298</v>
      </c>
      <c r="B689" s="2" t="s">
        <v>27</v>
      </c>
      <c r="C689" s="2" t="s">
        <v>33</v>
      </c>
      <c r="D689" s="2">
        <v>1177.91</v>
      </c>
      <c r="E689" s="2">
        <v>2.0</v>
      </c>
      <c r="F689" s="2">
        <v>2355.82</v>
      </c>
      <c r="G689" s="2" t="s">
        <v>2369</v>
      </c>
      <c r="H689" s="2" t="s">
        <v>2370</v>
      </c>
      <c r="I689" s="2" t="s">
        <v>2371</v>
      </c>
    </row>
    <row r="690" ht="15.75" customHeight="1">
      <c r="A690" s="4" t="s">
        <v>1007</v>
      </c>
      <c r="B690" s="2" t="s">
        <v>16</v>
      </c>
      <c r="C690" s="2" t="s">
        <v>96</v>
      </c>
      <c r="D690" s="2">
        <v>2100.59</v>
      </c>
      <c r="E690" s="2">
        <v>2.0</v>
      </c>
      <c r="F690" s="2">
        <v>4201.18</v>
      </c>
      <c r="G690" s="2" t="s">
        <v>2372</v>
      </c>
      <c r="H690" s="2" t="s">
        <v>2373</v>
      </c>
      <c r="I690" s="2" t="s">
        <v>2374</v>
      </c>
    </row>
    <row r="691" ht="15.75" customHeight="1">
      <c r="A691" s="1" t="s">
        <v>903</v>
      </c>
      <c r="B691" s="2" t="s">
        <v>16</v>
      </c>
      <c r="C691" s="2" t="s">
        <v>181</v>
      </c>
      <c r="D691" s="2">
        <v>302.84</v>
      </c>
      <c r="E691" s="2">
        <v>3.0</v>
      </c>
      <c r="F691" s="2">
        <v>908.52</v>
      </c>
      <c r="G691" s="2" t="s">
        <v>2375</v>
      </c>
      <c r="H691" s="2" t="s">
        <v>2376</v>
      </c>
      <c r="I691" s="2" t="s">
        <v>2377</v>
      </c>
    </row>
    <row r="692" ht="15.75" customHeight="1">
      <c r="A692" s="1" t="s">
        <v>558</v>
      </c>
      <c r="B692" s="2" t="s">
        <v>50</v>
      </c>
      <c r="C692" s="2" t="s">
        <v>360</v>
      </c>
      <c r="D692" s="2">
        <v>2431.8</v>
      </c>
      <c r="E692" s="2">
        <v>2.0</v>
      </c>
      <c r="F692" s="2">
        <v>4863.6</v>
      </c>
      <c r="G692" s="2" t="s">
        <v>2378</v>
      </c>
      <c r="H692" s="2" t="s">
        <v>2379</v>
      </c>
      <c r="I692" s="2" t="s">
        <v>2380</v>
      </c>
    </row>
    <row r="693" ht="15.75" customHeight="1">
      <c r="A693" s="1" t="s">
        <v>69</v>
      </c>
      <c r="B693" s="2" t="s">
        <v>16</v>
      </c>
      <c r="C693" s="2" t="s">
        <v>45</v>
      </c>
      <c r="D693" s="2">
        <v>2488.53</v>
      </c>
      <c r="E693" s="2">
        <v>1.0</v>
      </c>
      <c r="F693" s="2">
        <v>2488.53</v>
      </c>
      <c r="G693" s="2" t="s">
        <v>2381</v>
      </c>
      <c r="H693" s="2" t="s">
        <v>2382</v>
      </c>
      <c r="I693" s="2" t="s">
        <v>2383</v>
      </c>
    </row>
    <row r="694" ht="15.75" customHeight="1">
      <c r="A694" s="4" t="s">
        <v>1745</v>
      </c>
      <c r="B694" s="2" t="s">
        <v>38</v>
      </c>
      <c r="C694" s="2" t="s">
        <v>452</v>
      </c>
      <c r="D694" s="2">
        <v>1079.32</v>
      </c>
      <c r="E694" s="2">
        <v>1.0</v>
      </c>
      <c r="F694" s="2">
        <v>1079.32</v>
      </c>
      <c r="G694" s="2" t="s">
        <v>2384</v>
      </c>
      <c r="H694" s="2" t="s">
        <v>2385</v>
      </c>
      <c r="I694" s="2" t="s">
        <v>2386</v>
      </c>
    </row>
    <row r="695" ht="15.75" customHeight="1">
      <c r="A695" s="1" t="s">
        <v>903</v>
      </c>
      <c r="B695" s="2" t="s">
        <v>101</v>
      </c>
      <c r="C695" s="2" t="s">
        <v>11</v>
      </c>
      <c r="D695" s="2">
        <v>1421.57</v>
      </c>
      <c r="E695" s="2">
        <v>4.0</v>
      </c>
      <c r="F695" s="2">
        <v>5686.28</v>
      </c>
      <c r="G695" s="2" t="s">
        <v>2387</v>
      </c>
      <c r="H695" s="2" t="s">
        <v>2388</v>
      </c>
      <c r="I695" s="2" t="s">
        <v>2389</v>
      </c>
    </row>
    <row r="696" ht="15.75" customHeight="1">
      <c r="A696" s="4" t="s">
        <v>949</v>
      </c>
      <c r="B696" s="2" t="s">
        <v>27</v>
      </c>
      <c r="C696" s="2" t="s">
        <v>176</v>
      </c>
      <c r="D696" s="2">
        <v>314.21</v>
      </c>
      <c r="E696" s="2">
        <v>2.0</v>
      </c>
      <c r="F696" s="2">
        <v>628.42</v>
      </c>
      <c r="G696" s="2" t="s">
        <v>2390</v>
      </c>
      <c r="H696" s="2" t="s">
        <v>2391</v>
      </c>
      <c r="I696" s="2" t="s">
        <v>2392</v>
      </c>
    </row>
    <row r="697" ht="15.75" customHeight="1">
      <c r="A697" s="4" t="s">
        <v>1301</v>
      </c>
      <c r="B697" s="2" t="s">
        <v>101</v>
      </c>
      <c r="C697" s="2" t="s">
        <v>452</v>
      </c>
      <c r="D697" s="2">
        <v>2027.81</v>
      </c>
      <c r="E697" s="2">
        <v>4.0</v>
      </c>
      <c r="F697" s="2">
        <v>8111.24</v>
      </c>
      <c r="G697" s="2" t="s">
        <v>2393</v>
      </c>
      <c r="H697" s="2" t="s">
        <v>2394</v>
      </c>
      <c r="I697" s="2" t="s">
        <v>2395</v>
      </c>
    </row>
    <row r="698" ht="15.75" customHeight="1">
      <c r="A698" s="1" t="s">
        <v>579</v>
      </c>
      <c r="B698" s="2" t="s">
        <v>16</v>
      </c>
      <c r="C698" s="2" t="s">
        <v>167</v>
      </c>
      <c r="D698" s="2">
        <v>342.64</v>
      </c>
      <c r="E698" s="2">
        <v>2.0</v>
      </c>
      <c r="F698" s="2">
        <v>685.28</v>
      </c>
      <c r="G698" s="2" t="s">
        <v>2396</v>
      </c>
      <c r="H698" s="2" t="s">
        <v>2397</v>
      </c>
      <c r="I698" s="2" t="s">
        <v>2398</v>
      </c>
    </row>
    <row r="699" ht="15.75" customHeight="1">
      <c r="A699" s="1" t="s">
        <v>15</v>
      </c>
      <c r="B699" s="2" t="s">
        <v>38</v>
      </c>
      <c r="C699" s="2" t="s">
        <v>397</v>
      </c>
      <c r="D699" s="2">
        <v>379.5</v>
      </c>
      <c r="E699" s="2">
        <v>4.0</v>
      </c>
      <c r="F699" s="2">
        <v>1518.0</v>
      </c>
      <c r="G699" s="2" t="s">
        <v>2399</v>
      </c>
      <c r="H699" s="2" t="s">
        <v>2400</v>
      </c>
      <c r="I699" s="2" t="s">
        <v>2401</v>
      </c>
    </row>
    <row r="700" ht="15.75" customHeight="1">
      <c r="A700" s="1" t="s">
        <v>335</v>
      </c>
      <c r="B700" s="2" t="s">
        <v>27</v>
      </c>
      <c r="C700" s="2" t="s">
        <v>508</v>
      </c>
      <c r="D700" s="2">
        <v>778.63</v>
      </c>
      <c r="E700" s="2">
        <v>1.0</v>
      </c>
      <c r="F700" s="2">
        <v>778.63</v>
      </c>
      <c r="G700" s="2" t="s">
        <v>2402</v>
      </c>
      <c r="H700" s="2" t="s">
        <v>2403</v>
      </c>
      <c r="I700" s="2" t="s">
        <v>2404</v>
      </c>
    </row>
    <row r="701" ht="15.75" customHeight="1">
      <c r="A701" s="1" t="s">
        <v>15</v>
      </c>
      <c r="B701" s="2" t="s">
        <v>101</v>
      </c>
      <c r="C701" s="2" t="s">
        <v>162</v>
      </c>
      <c r="D701" s="2">
        <v>2020.01</v>
      </c>
      <c r="E701" s="2">
        <v>5.0</v>
      </c>
      <c r="F701" s="2">
        <v>10100.05</v>
      </c>
      <c r="G701" s="2" t="s">
        <v>2405</v>
      </c>
      <c r="H701" s="2" t="s">
        <v>2406</v>
      </c>
      <c r="I701" s="2" t="s">
        <v>2407</v>
      </c>
    </row>
    <row r="702" ht="15.75" customHeight="1">
      <c r="A702" s="4" t="s">
        <v>859</v>
      </c>
      <c r="B702" s="2" t="s">
        <v>101</v>
      </c>
      <c r="C702" s="2" t="s">
        <v>91</v>
      </c>
      <c r="D702" s="2">
        <v>2288.18</v>
      </c>
      <c r="E702" s="2">
        <v>1.0</v>
      </c>
      <c r="F702" s="2">
        <v>2288.18</v>
      </c>
      <c r="G702" s="2" t="s">
        <v>2408</v>
      </c>
      <c r="H702" s="2" t="s">
        <v>2409</v>
      </c>
      <c r="I702" s="2" t="s">
        <v>2410</v>
      </c>
    </row>
    <row r="703" ht="15.75" customHeight="1">
      <c r="A703" s="1" t="s">
        <v>214</v>
      </c>
      <c r="B703" s="2" t="s">
        <v>16</v>
      </c>
      <c r="C703" s="2" t="s">
        <v>348</v>
      </c>
      <c r="D703" s="2">
        <v>120.49</v>
      </c>
      <c r="E703" s="2">
        <v>3.0</v>
      </c>
      <c r="F703" s="2">
        <v>361.47</v>
      </c>
      <c r="G703" s="2" t="s">
        <v>2411</v>
      </c>
      <c r="H703" s="2" t="s">
        <v>2412</v>
      </c>
      <c r="I703" s="2" t="s">
        <v>2413</v>
      </c>
    </row>
    <row r="704" ht="15.75" customHeight="1">
      <c r="A704" s="1" t="s">
        <v>214</v>
      </c>
      <c r="B704" s="2" t="s">
        <v>38</v>
      </c>
      <c r="C704" s="2" t="s">
        <v>452</v>
      </c>
      <c r="D704" s="2">
        <v>84.76</v>
      </c>
      <c r="E704" s="2">
        <v>4.0</v>
      </c>
      <c r="F704" s="2">
        <v>339.04</v>
      </c>
      <c r="G704" s="2" t="s">
        <v>2414</v>
      </c>
      <c r="H704" s="2" t="s">
        <v>2415</v>
      </c>
      <c r="I704" s="2" t="s">
        <v>2416</v>
      </c>
    </row>
    <row r="705" ht="15.75" customHeight="1">
      <c r="A705" s="4" t="s">
        <v>120</v>
      </c>
      <c r="B705" s="2" t="s">
        <v>27</v>
      </c>
      <c r="C705" s="2" t="s">
        <v>11</v>
      </c>
      <c r="D705" s="2">
        <v>1746.28</v>
      </c>
      <c r="E705" s="2">
        <v>2.0</v>
      </c>
      <c r="F705" s="2">
        <v>3492.56</v>
      </c>
      <c r="G705" s="2" t="s">
        <v>2417</v>
      </c>
      <c r="H705" s="2" t="s">
        <v>2418</v>
      </c>
      <c r="I705" s="2" t="s">
        <v>2419</v>
      </c>
    </row>
    <row r="706" ht="15.75" customHeight="1">
      <c r="A706" s="1" t="s">
        <v>146</v>
      </c>
      <c r="B706" s="2" t="s">
        <v>16</v>
      </c>
      <c r="C706" s="2" t="s">
        <v>369</v>
      </c>
      <c r="D706" s="2">
        <v>2003.92</v>
      </c>
      <c r="E706" s="2">
        <v>2.0</v>
      </c>
      <c r="F706" s="2">
        <v>4007.84</v>
      </c>
      <c r="G706" s="2" t="s">
        <v>2420</v>
      </c>
      <c r="H706" s="2" t="s">
        <v>2421</v>
      </c>
      <c r="I706" s="2" t="s">
        <v>2422</v>
      </c>
    </row>
    <row r="707" ht="15.75" customHeight="1">
      <c r="A707" s="4" t="s">
        <v>1068</v>
      </c>
      <c r="B707" s="2" t="s">
        <v>101</v>
      </c>
      <c r="C707" s="2" t="s">
        <v>226</v>
      </c>
      <c r="D707" s="2">
        <v>2332.13</v>
      </c>
      <c r="E707" s="2">
        <v>1.0</v>
      </c>
      <c r="F707" s="2">
        <v>2332.13</v>
      </c>
      <c r="G707" s="2" t="s">
        <v>2423</v>
      </c>
      <c r="H707" s="2" t="s">
        <v>2424</v>
      </c>
      <c r="I707" s="2" t="s">
        <v>2425</v>
      </c>
    </row>
    <row r="708" ht="15.75" customHeight="1">
      <c r="A708" s="1" t="s">
        <v>939</v>
      </c>
      <c r="B708" s="2" t="s">
        <v>50</v>
      </c>
      <c r="C708" s="2" t="s">
        <v>397</v>
      </c>
      <c r="D708" s="2">
        <v>1918.04</v>
      </c>
      <c r="E708" s="2">
        <v>5.0</v>
      </c>
      <c r="F708" s="2">
        <v>9590.2</v>
      </c>
      <c r="G708" s="2" t="s">
        <v>2426</v>
      </c>
      <c r="H708" s="2" t="s">
        <v>2427</v>
      </c>
      <c r="I708" s="2" t="s">
        <v>2428</v>
      </c>
    </row>
    <row r="709" ht="15.75" customHeight="1">
      <c r="A709" s="1" t="s">
        <v>380</v>
      </c>
      <c r="B709" s="2" t="s">
        <v>85</v>
      </c>
      <c r="C709" s="2" t="s">
        <v>75</v>
      </c>
      <c r="D709" s="2">
        <v>233.85</v>
      </c>
      <c r="E709" s="2">
        <v>4.0</v>
      </c>
      <c r="F709" s="2">
        <v>935.4</v>
      </c>
      <c r="G709" s="2" t="s">
        <v>2429</v>
      </c>
      <c r="H709" s="2" t="s">
        <v>2430</v>
      </c>
      <c r="I709" s="2" t="s">
        <v>2431</v>
      </c>
    </row>
    <row r="710" ht="15.75" customHeight="1">
      <c r="A710" s="4" t="s">
        <v>1520</v>
      </c>
      <c r="B710" s="2" t="s">
        <v>50</v>
      </c>
      <c r="C710" s="2" t="s">
        <v>508</v>
      </c>
      <c r="D710" s="2">
        <v>800.91</v>
      </c>
      <c r="E710" s="2">
        <v>5.0</v>
      </c>
      <c r="F710" s="2">
        <v>4004.55</v>
      </c>
      <c r="G710" s="2" t="s">
        <v>2432</v>
      </c>
      <c r="H710" s="2" t="s">
        <v>2433</v>
      </c>
      <c r="I710" s="2" t="s">
        <v>2434</v>
      </c>
    </row>
    <row r="711" ht="15.75" customHeight="1">
      <c r="A711" s="4" t="s">
        <v>949</v>
      </c>
      <c r="B711" s="2" t="s">
        <v>50</v>
      </c>
      <c r="C711" s="2" t="s">
        <v>147</v>
      </c>
      <c r="D711" s="2">
        <v>1129.0</v>
      </c>
      <c r="E711" s="2">
        <v>5.0</v>
      </c>
      <c r="F711" s="2">
        <v>5645.0</v>
      </c>
      <c r="G711" s="2" t="s">
        <v>2435</v>
      </c>
      <c r="H711" s="2" t="s">
        <v>2436</v>
      </c>
      <c r="I711" s="2" t="s">
        <v>2437</v>
      </c>
    </row>
    <row r="712" ht="15.75" customHeight="1">
      <c r="A712" s="4" t="s">
        <v>915</v>
      </c>
      <c r="B712" s="2" t="s">
        <v>38</v>
      </c>
      <c r="C712" s="2" t="s">
        <v>698</v>
      </c>
      <c r="D712" s="2">
        <v>2399.48</v>
      </c>
      <c r="E712" s="2">
        <v>2.0</v>
      </c>
      <c r="F712" s="2">
        <v>4798.96</v>
      </c>
      <c r="G712" s="2" t="s">
        <v>2438</v>
      </c>
      <c r="H712" s="2" t="s">
        <v>2439</v>
      </c>
      <c r="I712" s="2" t="s">
        <v>2440</v>
      </c>
    </row>
    <row r="713" ht="15.75" customHeight="1">
      <c r="A713" s="1" t="s">
        <v>474</v>
      </c>
      <c r="B713" s="2" t="s">
        <v>16</v>
      </c>
      <c r="C713" s="2" t="s">
        <v>17</v>
      </c>
      <c r="D713" s="2">
        <v>763.21</v>
      </c>
      <c r="E713" s="2">
        <v>5.0</v>
      </c>
      <c r="F713" s="2">
        <v>3816.05</v>
      </c>
      <c r="G713" s="2" t="s">
        <v>2441</v>
      </c>
      <c r="H713" s="2" t="s">
        <v>2442</v>
      </c>
      <c r="I713" s="2" t="s">
        <v>2443</v>
      </c>
    </row>
    <row r="714" ht="15.75" customHeight="1">
      <c r="A714" s="1" t="s">
        <v>1249</v>
      </c>
      <c r="B714" s="2" t="s">
        <v>50</v>
      </c>
      <c r="C714" s="2" t="s">
        <v>135</v>
      </c>
      <c r="D714" s="2">
        <v>1061.9</v>
      </c>
      <c r="E714" s="2">
        <v>4.0</v>
      </c>
      <c r="F714" s="2">
        <v>4247.6</v>
      </c>
      <c r="G714" s="2" t="s">
        <v>2444</v>
      </c>
      <c r="H714" s="2" t="s">
        <v>2445</v>
      </c>
      <c r="I714" s="2" t="s">
        <v>2446</v>
      </c>
    </row>
    <row r="715" ht="15.75" customHeight="1">
      <c r="A715" s="1" t="s">
        <v>702</v>
      </c>
      <c r="B715" s="2" t="s">
        <v>85</v>
      </c>
      <c r="C715" s="2" t="s">
        <v>33</v>
      </c>
      <c r="D715" s="2">
        <v>2329.03</v>
      </c>
      <c r="E715" s="2">
        <v>4.0</v>
      </c>
      <c r="F715" s="2">
        <v>9316.12</v>
      </c>
      <c r="G715" s="2" t="s">
        <v>2447</v>
      </c>
      <c r="H715" s="2" t="s">
        <v>2448</v>
      </c>
      <c r="I715" s="2" t="s">
        <v>2449</v>
      </c>
    </row>
    <row r="716" ht="15.75" customHeight="1">
      <c r="A716" s="1" t="s">
        <v>579</v>
      </c>
      <c r="B716" s="2" t="s">
        <v>101</v>
      </c>
      <c r="C716" s="2" t="s">
        <v>121</v>
      </c>
      <c r="D716" s="2">
        <v>1249.46</v>
      </c>
      <c r="E716" s="2">
        <v>1.0</v>
      </c>
      <c r="F716" s="2">
        <v>1249.46</v>
      </c>
      <c r="G716" s="2" t="s">
        <v>2450</v>
      </c>
      <c r="H716" s="2" t="s">
        <v>2451</v>
      </c>
      <c r="I716" s="3" t="s">
        <v>2452</v>
      </c>
    </row>
    <row r="717" ht="15.75" customHeight="1">
      <c r="A717" s="4" t="s">
        <v>1007</v>
      </c>
      <c r="B717" s="2" t="s">
        <v>27</v>
      </c>
      <c r="C717" s="2" t="s">
        <v>11</v>
      </c>
      <c r="D717" s="2">
        <v>1905.51</v>
      </c>
      <c r="E717" s="2">
        <v>2.0</v>
      </c>
      <c r="F717" s="2">
        <v>3811.02</v>
      </c>
      <c r="G717" s="2" t="s">
        <v>2453</v>
      </c>
      <c r="H717" s="2" t="s">
        <v>2454</v>
      </c>
      <c r="I717" s="2" t="s">
        <v>2455</v>
      </c>
    </row>
    <row r="718" ht="15.75" customHeight="1">
      <c r="A718" s="4" t="s">
        <v>1022</v>
      </c>
      <c r="B718" s="2" t="s">
        <v>27</v>
      </c>
      <c r="C718" s="2" t="s">
        <v>75</v>
      </c>
      <c r="D718" s="2">
        <v>1151.85</v>
      </c>
      <c r="E718" s="2">
        <v>5.0</v>
      </c>
      <c r="F718" s="2">
        <v>5759.25</v>
      </c>
      <c r="G718" s="2" t="s">
        <v>2456</v>
      </c>
      <c r="H718" s="2" t="s">
        <v>2457</v>
      </c>
      <c r="I718" s="2" t="s">
        <v>2458</v>
      </c>
    </row>
    <row r="719" ht="15.75" customHeight="1">
      <c r="A719" s="1" t="s">
        <v>15</v>
      </c>
      <c r="B719" s="2" t="s">
        <v>101</v>
      </c>
      <c r="C719" s="2" t="s">
        <v>11</v>
      </c>
      <c r="D719" s="2">
        <v>428.56</v>
      </c>
      <c r="E719" s="2">
        <v>1.0</v>
      </c>
      <c r="F719" s="2">
        <v>428.56</v>
      </c>
      <c r="G719" s="2" t="s">
        <v>2459</v>
      </c>
      <c r="H719" s="2" t="s">
        <v>2460</v>
      </c>
      <c r="I719" s="2" t="s">
        <v>2461</v>
      </c>
    </row>
    <row r="720" ht="15.75" customHeight="1">
      <c r="A720" s="4" t="s">
        <v>327</v>
      </c>
      <c r="B720" s="2" t="s">
        <v>16</v>
      </c>
      <c r="C720" s="2" t="s">
        <v>111</v>
      </c>
      <c r="D720" s="2">
        <v>1672.13</v>
      </c>
      <c r="E720" s="2">
        <v>4.0</v>
      </c>
      <c r="F720" s="2">
        <v>6688.52</v>
      </c>
      <c r="G720" s="2" t="s">
        <v>2462</v>
      </c>
      <c r="H720" s="2" t="s">
        <v>2463</v>
      </c>
      <c r="I720" s="2" t="s">
        <v>2464</v>
      </c>
    </row>
    <row r="721" ht="15.75" customHeight="1">
      <c r="A721" s="4" t="s">
        <v>1301</v>
      </c>
      <c r="B721" s="2" t="s">
        <v>101</v>
      </c>
      <c r="C721" s="2" t="s">
        <v>593</v>
      </c>
      <c r="D721" s="2">
        <v>1312.69</v>
      </c>
      <c r="E721" s="2">
        <v>5.0</v>
      </c>
      <c r="F721" s="2">
        <v>6563.45</v>
      </c>
      <c r="G721" s="2" t="s">
        <v>2465</v>
      </c>
      <c r="H721" s="2" t="s">
        <v>2466</v>
      </c>
      <c r="I721" s="2" t="s">
        <v>2467</v>
      </c>
    </row>
    <row r="722" ht="15.75" customHeight="1">
      <c r="A722" s="4" t="s">
        <v>2468</v>
      </c>
      <c r="B722" s="2" t="s">
        <v>27</v>
      </c>
      <c r="C722" s="2" t="s">
        <v>397</v>
      </c>
      <c r="D722" s="2">
        <v>1306.96</v>
      </c>
      <c r="E722" s="2">
        <v>2.0</v>
      </c>
      <c r="F722" s="2">
        <v>2613.92</v>
      </c>
      <c r="G722" s="2" t="s">
        <v>2469</v>
      </c>
      <c r="H722" s="2" t="s">
        <v>2470</v>
      </c>
      <c r="I722" s="2" t="s">
        <v>2471</v>
      </c>
    </row>
    <row r="723" ht="15.75" customHeight="1">
      <c r="A723" s="4" t="s">
        <v>1368</v>
      </c>
      <c r="B723" s="2" t="s">
        <v>101</v>
      </c>
      <c r="C723" s="2" t="s">
        <v>91</v>
      </c>
      <c r="D723" s="2">
        <v>164.87</v>
      </c>
      <c r="E723" s="2">
        <v>3.0</v>
      </c>
      <c r="F723" s="2">
        <v>494.61</v>
      </c>
      <c r="G723" s="2" t="s">
        <v>2472</v>
      </c>
      <c r="H723" s="2" t="s">
        <v>2473</v>
      </c>
      <c r="I723" s="2" t="s">
        <v>2474</v>
      </c>
    </row>
    <row r="724" ht="15.75" customHeight="1">
      <c r="A724" s="1" t="s">
        <v>1249</v>
      </c>
      <c r="B724" s="2" t="s">
        <v>50</v>
      </c>
      <c r="C724" s="2" t="s">
        <v>385</v>
      </c>
      <c r="D724" s="2">
        <v>1152.78</v>
      </c>
      <c r="E724" s="2">
        <v>4.0</v>
      </c>
      <c r="F724" s="2">
        <v>4611.12</v>
      </c>
      <c r="G724" s="2" t="s">
        <v>2475</v>
      </c>
      <c r="H724" s="2" t="s">
        <v>2476</v>
      </c>
      <c r="I724" s="2" t="s">
        <v>2477</v>
      </c>
    </row>
    <row r="725" ht="15.75" customHeight="1">
      <c r="A725" s="1" t="s">
        <v>257</v>
      </c>
      <c r="B725" s="2" t="s">
        <v>16</v>
      </c>
      <c r="C725" s="2" t="s">
        <v>250</v>
      </c>
      <c r="D725" s="2">
        <v>2063.13</v>
      </c>
      <c r="E725" s="2">
        <v>4.0</v>
      </c>
      <c r="F725" s="2">
        <v>8252.52</v>
      </c>
      <c r="G725" s="2" t="s">
        <v>2478</v>
      </c>
      <c r="H725" s="2" t="s">
        <v>2479</v>
      </c>
      <c r="I725" s="2" t="s">
        <v>2480</v>
      </c>
    </row>
    <row r="726" ht="15.75" customHeight="1">
      <c r="A726" s="1" t="s">
        <v>866</v>
      </c>
      <c r="B726" s="2" t="s">
        <v>16</v>
      </c>
      <c r="C726" s="2" t="s">
        <v>397</v>
      </c>
      <c r="D726" s="2">
        <v>2210.34</v>
      </c>
      <c r="E726" s="2">
        <v>3.0</v>
      </c>
      <c r="F726" s="2">
        <v>6631.02</v>
      </c>
      <c r="G726" s="2" t="s">
        <v>2481</v>
      </c>
      <c r="H726" s="2" t="s">
        <v>2482</v>
      </c>
      <c r="I726" s="2" t="s">
        <v>2483</v>
      </c>
    </row>
    <row r="727" ht="15.75" customHeight="1">
      <c r="A727" s="4" t="s">
        <v>1714</v>
      </c>
      <c r="B727" s="2" t="s">
        <v>50</v>
      </c>
      <c r="C727" s="2" t="s">
        <v>245</v>
      </c>
      <c r="D727" s="2">
        <v>1125.48</v>
      </c>
      <c r="E727" s="2">
        <v>2.0</v>
      </c>
      <c r="F727" s="2">
        <v>2250.96</v>
      </c>
      <c r="G727" s="2" t="s">
        <v>2484</v>
      </c>
      <c r="H727" s="2" t="s">
        <v>2485</v>
      </c>
      <c r="I727" s="2" t="s">
        <v>2486</v>
      </c>
    </row>
    <row r="728" ht="15.75" customHeight="1">
      <c r="A728" s="1" t="s">
        <v>380</v>
      </c>
      <c r="B728" s="2" t="s">
        <v>50</v>
      </c>
      <c r="C728" s="2" t="s">
        <v>11</v>
      </c>
      <c r="D728" s="2">
        <v>142.14</v>
      </c>
      <c r="E728" s="2">
        <v>3.0</v>
      </c>
      <c r="F728" s="2">
        <v>426.42</v>
      </c>
      <c r="G728" s="2" t="s">
        <v>2487</v>
      </c>
      <c r="H728" s="2" t="s">
        <v>2488</v>
      </c>
      <c r="I728" s="2" t="s">
        <v>2489</v>
      </c>
    </row>
    <row r="729" ht="15.75" customHeight="1">
      <c r="A729" s="4" t="s">
        <v>899</v>
      </c>
      <c r="B729" s="2" t="s">
        <v>101</v>
      </c>
      <c r="C729" s="2" t="s">
        <v>28</v>
      </c>
      <c r="D729" s="2">
        <v>66.73</v>
      </c>
      <c r="E729" s="2">
        <v>4.0</v>
      </c>
      <c r="F729" s="2">
        <v>266.92</v>
      </c>
      <c r="G729" s="2" t="s">
        <v>2490</v>
      </c>
      <c r="H729" s="2" t="s">
        <v>2491</v>
      </c>
      <c r="I729" s="2" t="s">
        <v>2492</v>
      </c>
    </row>
    <row r="730" ht="15.75" customHeight="1">
      <c r="A730" s="4" t="s">
        <v>2245</v>
      </c>
      <c r="B730" s="2" t="s">
        <v>38</v>
      </c>
      <c r="C730" s="2" t="s">
        <v>360</v>
      </c>
      <c r="D730" s="2">
        <v>1021.75</v>
      </c>
      <c r="E730" s="2">
        <v>2.0</v>
      </c>
      <c r="F730" s="2">
        <v>2043.5</v>
      </c>
      <c r="G730" s="2" t="s">
        <v>2493</v>
      </c>
      <c r="H730" s="2" t="s">
        <v>2494</v>
      </c>
      <c r="I730" s="2" t="s">
        <v>2495</v>
      </c>
    </row>
    <row r="731" ht="15.75" customHeight="1">
      <c r="A731" s="1" t="s">
        <v>953</v>
      </c>
      <c r="B731" s="2" t="s">
        <v>101</v>
      </c>
      <c r="C731" s="2" t="s">
        <v>250</v>
      </c>
      <c r="D731" s="2">
        <v>620.05</v>
      </c>
      <c r="E731" s="2">
        <v>5.0</v>
      </c>
      <c r="F731" s="2">
        <v>3100.25</v>
      </c>
      <c r="G731" s="2" t="s">
        <v>2496</v>
      </c>
      <c r="H731" s="2" t="s">
        <v>2497</v>
      </c>
      <c r="I731" s="2" t="s">
        <v>2498</v>
      </c>
    </row>
    <row r="732" ht="15.75" customHeight="1">
      <c r="A732" s="4" t="s">
        <v>922</v>
      </c>
      <c r="B732" s="2" t="s">
        <v>16</v>
      </c>
      <c r="C732" s="2" t="s">
        <v>80</v>
      </c>
      <c r="D732" s="2">
        <v>1588.14</v>
      </c>
      <c r="E732" s="2">
        <v>4.0</v>
      </c>
      <c r="F732" s="2">
        <v>6352.56</v>
      </c>
      <c r="G732" s="2" t="s">
        <v>2499</v>
      </c>
      <c r="H732" s="2" t="s">
        <v>2500</v>
      </c>
      <c r="I732" s="3" t="s">
        <v>2501</v>
      </c>
    </row>
    <row r="733" ht="15.75" customHeight="1">
      <c r="A733" s="4" t="s">
        <v>899</v>
      </c>
      <c r="B733" s="2" t="s">
        <v>50</v>
      </c>
      <c r="C733" s="2" t="s">
        <v>397</v>
      </c>
      <c r="D733" s="2">
        <v>379.46</v>
      </c>
      <c r="E733" s="2">
        <v>5.0</v>
      </c>
      <c r="F733" s="2">
        <v>1897.3</v>
      </c>
      <c r="G733" s="2" t="s">
        <v>2502</v>
      </c>
      <c r="H733" s="2" t="s">
        <v>2503</v>
      </c>
      <c r="I733" s="2" t="s">
        <v>2504</v>
      </c>
    </row>
    <row r="734" ht="15.75" customHeight="1">
      <c r="A734" s="4" t="s">
        <v>1368</v>
      </c>
      <c r="B734" s="2" t="s">
        <v>38</v>
      </c>
      <c r="C734" s="2" t="s">
        <v>500</v>
      </c>
      <c r="D734" s="2">
        <v>495.86</v>
      </c>
      <c r="E734" s="2">
        <v>1.0</v>
      </c>
      <c r="F734" s="2">
        <v>495.86</v>
      </c>
      <c r="G734" s="2" t="s">
        <v>2505</v>
      </c>
      <c r="H734" s="2" t="s">
        <v>2506</v>
      </c>
      <c r="I734" s="2" t="s">
        <v>2507</v>
      </c>
    </row>
    <row r="735" ht="15.75" customHeight="1">
      <c r="A735" s="1" t="s">
        <v>826</v>
      </c>
      <c r="B735" s="2" t="s">
        <v>85</v>
      </c>
      <c r="C735" s="2" t="s">
        <v>245</v>
      </c>
      <c r="D735" s="2">
        <v>1010.17</v>
      </c>
      <c r="E735" s="2">
        <v>1.0</v>
      </c>
      <c r="F735" s="2">
        <v>1010.17</v>
      </c>
      <c r="G735" s="2" t="s">
        <v>2508</v>
      </c>
      <c r="H735" s="2" t="s">
        <v>2509</v>
      </c>
      <c r="I735" s="2" t="s">
        <v>2510</v>
      </c>
    </row>
    <row r="736" ht="15.75" customHeight="1">
      <c r="A736" s="1" t="s">
        <v>214</v>
      </c>
      <c r="B736" s="2" t="s">
        <v>16</v>
      </c>
      <c r="C736" s="2" t="s">
        <v>250</v>
      </c>
      <c r="D736" s="2">
        <v>969.37</v>
      </c>
      <c r="E736" s="2">
        <v>3.0</v>
      </c>
      <c r="F736" s="2">
        <v>2908.11</v>
      </c>
      <c r="G736" s="2" t="s">
        <v>2511</v>
      </c>
      <c r="H736" s="2" t="s">
        <v>2512</v>
      </c>
      <c r="I736" s="2" t="s">
        <v>2513</v>
      </c>
    </row>
    <row r="737" ht="15.75" customHeight="1">
      <c r="A737" s="1" t="s">
        <v>1011</v>
      </c>
      <c r="B737" s="2" t="s">
        <v>50</v>
      </c>
      <c r="C737" s="2" t="s">
        <v>22</v>
      </c>
      <c r="D737" s="2">
        <v>100.75</v>
      </c>
      <c r="E737" s="2">
        <v>1.0</v>
      </c>
      <c r="F737" s="2">
        <v>100.75</v>
      </c>
      <c r="G737" s="2" t="s">
        <v>2514</v>
      </c>
      <c r="H737" s="2" t="s">
        <v>2515</v>
      </c>
      <c r="I737" s="2" t="s">
        <v>2516</v>
      </c>
    </row>
    <row r="738" ht="15.75" customHeight="1">
      <c r="A738" s="1" t="s">
        <v>347</v>
      </c>
      <c r="B738" s="2" t="s">
        <v>85</v>
      </c>
      <c r="C738" s="2" t="s">
        <v>33</v>
      </c>
      <c r="D738" s="2">
        <v>2242.64</v>
      </c>
      <c r="E738" s="2">
        <v>4.0</v>
      </c>
      <c r="F738" s="2">
        <v>8970.56</v>
      </c>
      <c r="G738" s="2" t="s">
        <v>2517</v>
      </c>
      <c r="H738" s="2" t="s">
        <v>2518</v>
      </c>
      <c r="I738" s="2" t="s">
        <v>2519</v>
      </c>
    </row>
    <row r="739" ht="15.75" customHeight="1">
      <c r="A739" s="4" t="s">
        <v>922</v>
      </c>
      <c r="B739" s="2" t="s">
        <v>101</v>
      </c>
      <c r="C739" s="2" t="s">
        <v>33</v>
      </c>
      <c r="D739" s="2">
        <v>774.69</v>
      </c>
      <c r="E739" s="2">
        <v>1.0</v>
      </c>
      <c r="F739" s="2">
        <v>774.69</v>
      </c>
      <c r="G739" s="2" t="s">
        <v>2520</v>
      </c>
      <c r="H739" s="2" t="s">
        <v>2521</v>
      </c>
      <c r="I739" s="2" t="s">
        <v>2522</v>
      </c>
    </row>
    <row r="740" ht="15.75" customHeight="1">
      <c r="A740" s="4" t="s">
        <v>1395</v>
      </c>
      <c r="B740" s="2" t="s">
        <v>50</v>
      </c>
      <c r="C740" s="2" t="s">
        <v>500</v>
      </c>
      <c r="D740" s="2">
        <v>535.75</v>
      </c>
      <c r="E740" s="2">
        <v>2.0</v>
      </c>
      <c r="F740" s="2">
        <v>1071.5</v>
      </c>
      <c r="G740" s="2" t="s">
        <v>2523</v>
      </c>
      <c r="H740" s="2" t="s">
        <v>2524</v>
      </c>
      <c r="I740" s="2" t="s">
        <v>2525</v>
      </c>
    </row>
    <row r="741" ht="15.75" customHeight="1">
      <c r="A741" s="1" t="s">
        <v>214</v>
      </c>
      <c r="B741" s="2" t="s">
        <v>85</v>
      </c>
      <c r="C741" s="2" t="s">
        <v>28</v>
      </c>
      <c r="D741" s="2">
        <v>1318.47</v>
      </c>
      <c r="E741" s="2">
        <v>1.0</v>
      </c>
      <c r="F741" s="2">
        <v>1318.47</v>
      </c>
      <c r="G741" s="2" t="s">
        <v>2526</v>
      </c>
      <c r="H741" s="2" t="s">
        <v>2527</v>
      </c>
      <c r="I741" s="2" t="s">
        <v>2528</v>
      </c>
    </row>
    <row r="742" ht="15.75" customHeight="1">
      <c r="A742" s="1" t="s">
        <v>474</v>
      </c>
      <c r="B742" s="2" t="s">
        <v>38</v>
      </c>
      <c r="C742" s="2" t="s">
        <v>201</v>
      </c>
      <c r="D742" s="2">
        <v>1711.88</v>
      </c>
      <c r="E742" s="2">
        <v>2.0</v>
      </c>
      <c r="F742" s="2">
        <v>3423.76</v>
      </c>
      <c r="G742" s="2" t="s">
        <v>2529</v>
      </c>
      <c r="H742" s="2" t="s">
        <v>2530</v>
      </c>
      <c r="I742" s="2" t="s">
        <v>2531</v>
      </c>
    </row>
    <row r="743" ht="15.75" customHeight="1">
      <c r="A743" s="4" t="s">
        <v>2245</v>
      </c>
      <c r="B743" s="2" t="s">
        <v>27</v>
      </c>
      <c r="C743" s="2" t="s">
        <v>226</v>
      </c>
      <c r="D743" s="2">
        <v>1756.32</v>
      </c>
      <c r="E743" s="2">
        <v>4.0</v>
      </c>
      <c r="F743" s="2">
        <v>7025.28</v>
      </c>
      <c r="G743" s="2" t="s">
        <v>2532</v>
      </c>
      <c r="H743" s="2" t="s">
        <v>2533</v>
      </c>
      <c r="I743" s="2" t="s">
        <v>2534</v>
      </c>
    </row>
    <row r="744" ht="15.75" customHeight="1">
      <c r="A744" s="4" t="s">
        <v>1663</v>
      </c>
      <c r="B744" s="2" t="s">
        <v>38</v>
      </c>
      <c r="C744" s="2" t="s">
        <v>39</v>
      </c>
      <c r="D744" s="2">
        <v>2143.37</v>
      </c>
      <c r="E744" s="2">
        <v>3.0</v>
      </c>
      <c r="F744" s="2">
        <v>6430.11</v>
      </c>
      <c r="G744" s="2" t="s">
        <v>2535</v>
      </c>
      <c r="H744" s="2" t="s">
        <v>2536</v>
      </c>
      <c r="I744" s="2" t="s">
        <v>2537</v>
      </c>
    </row>
    <row r="745" ht="15.75" customHeight="1">
      <c r="A745" s="1" t="s">
        <v>285</v>
      </c>
      <c r="B745" s="2" t="s">
        <v>27</v>
      </c>
      <c r="C745" s="2" t="s">
        <v>191</v>
      </c>
      <c r="D745" s="2">
        <v>769.01</v>
      </c>
      <c r="E745" s="2">
        <v>5.0</v>
      </c>
      <c r="F745" s="2">
        <v>3845.05</v>
      </c>
      <c r="G745" s="2" t="s">
        <v>2538</v>
      </c>
      <c r="H745" s="2" t="s">
        <v>2539</v>
      </c>
      <c r="I745" s="2" t="s">
        <v>2540</v>
      </c>
    </row>
    <row r="746" ht="15.75" customHeight="1">
      <c r="A746" s="1" t="s">
        <v>543</v>
      </c>
      <c r="B746" s="2" t="s">
        <v>27</v>
      </c>
      <c r="C746" s="2" t="s">
        <v>235</v>
      </c>
      <c r="D746" s="2">
        <v>269.57</v>
      </c>
      <c r="E746" s="2">
        <v>5.0</v>
      </c>
      <c r="F746" s="2">
        <v>1347.85</v>
      </c>
      <c r="G746" s="2" t="s">
        <v>2541</v>
      </c>
      <c r="H746" s="2" t="s">
        <v>2542</v>
      </c>
      <c r="I746" s="2" t="s">
        <v>2543</v>
      </c>
    </row>
    <row r="747" ht="15.75" customHeight="1">
      <c r="A747" s="1" t="s">
        <v>1189</v>
      </c>
      <c r="B747" s="2" t="s">
        <v>50</v>
      </c>
      <c r="C747" s="2" t="s">
        <v>167</v>
      </c>
      <c r="D747" s="2">
        <v>2185.04</v>
      </c>
      <c r="E747" s="2">
        <v>4.0</v>
      </c>
      <c r="F747" s="2">
        <v>8740.16</v>
      </c>
      <c r="G747" s="2" t="s">
        <v>2544</v>
      </c>
      <c r="H747" s="2" t="s">
        <v>2545</v>
      </c>
      <c r="I747" s="2" t="s">
        <v>2546</v>
      </c>
    </row>
    <row r="748" ht="15.75" customHeight="1">
      <c r="A748" s="1" t="s">
        <v>335</v>
      </c>
      <c r="B748" s="2" t="s">
        <v>101</v>
      </c>
      <c r="C748" s="2" t="s">
        <v>226</v>
      </c>
      <c r="D748" s="2">
        <v>2251.92</v>
      </c>
      <c r="E748" s="2">
        <v>5.0</v>
      </c>
      <c r="F748" s="2">
        <v>11259.6</v>
      </c>
      <c r="G748" s="2" t="s">
        <v>2547</v>
      </c>
      <c r="H748" s="2" t="s">
        <v>2548</v>
      </c>
      <c r="I748" s="2" t="s">
        <v>2549</v>
      </c>
    </row>
    <row r="749" ht="15.75" customHeight="1">
      <c r="A749" s="4" t="s">
        <v>1589</v>
      </c>
      <c r="B749" s="2" t="s">
        <v>16</v>
      </c>
      <c r="C749" s="2" t="s">
        <v>245</v>
      </c>
      <c r="D749" s="2">
        <v>330.1</v>
      </c>
      <c r="E749" s="2">
        <v>4.0</v>
      </c>
      <c r="F749" s="2">
        <v>1320.4</v>
      </c>
      <c r="G749" s="2" t="s">
        <v>2550</v>
      </c>
      <c r="H749" s="2" t="s">
        <v>2551</v>
      </c>
      <c r="I749" s="2" t="s">
        <v>2552</v>
      </c>
    </row>
    <row r="750" ht="15.75" customHeight="1">
      <c r="A750" s="1" t="s">
        <v>953</v>
      </c>
      <c r="B750" s="2" t="s">
        <v>38</v>
      </c>
      <c r="C750" s="2" t="s">
        <v>348</v>
      </c>
      <c r="D750" s="2">
        <v>1331.81</v>
      </c>
      <c r="E750" s="2">
        <v>3.0</v>
      </c>
      <c r="F750" s="2">
        <v>3995.43</v>
      </c>
      <c r="G750" s="2" t="s">
        <v>2553</v>
      </c>
      <c r="H750" s="2" t="s">
        <v>2554</v>
      </c>
      <c r="I750" s="2" t="s">
        <v>2555</v>
      </c>
    </row>
    <row r="751" ht="15.75" customHeight="1">
      <c r="A751" s="1" t="s">
        <v>939</v>
      </c>
      <c r="B751" s="2" t="s">
        <v>38</v>
      </c>
      <c r="C751" s="2" t="s">
        <v>75</v>
      </c>
      <c r="D751" s="2">
        <v>2115.54</v>
      </c>
      <c r="E751" s="2">
        <v>5.0</v>
      </c>
      <c r="F751" s="2">
        <v>10577.7</v>
      </c>
      <c r="G751" s="2" t="s">
        <v>2556</v>
      </c>
      <c r="H751" s="2" t="s">
        <v>2557</v>
      </c>
      <c r="I751" s="2" t="s">
        <v>2558</v>
      </c>
    </row>
    <row r="752" ht="15.75" customHeight="1">
      <c r="A752" s="1" t="s">
        <v>781</v>
      </c>
      <c r="B752" s="2" t="s">
        <v>85</v>
      </c>
      <c r="C752" s="2" t="s">
        <v>152</v>
      </c>
      <c r="D752" s="2">
        <v>2411.28</v>
      </c>
      <c r="E752" s="2">
        <v>4.0</v>
      </c>
      <c r="F752" s="2">
        <v>9645.12</v>
      </c>
      <c r="G752" s="2" t="s">
        <v>2559</v>
      </c>
      <c r="H752" s="2" t="s">
        <v>2560</v>
      </c>
      <c r="I752" s="2" t="s">
        <v>2561</v>
      </c>
    </row>
    <row r="753" ht="15.75" customHeight="1">
      <c r="A753" s="1" t="s">
        <v>146</v>
      </c>
      <c r="B753" s="2" t="s">
        <v>27</v>
      </c>
      <c r="C753" s="2" t="s">
        <v>39</v>
      </c>
      <c r="D753" s="2">
        <v>519.68</v>
      </c>
      <c r="E753" s="2">
        <v>5.0</v>
      </c>
      <c r="F753" s="2">
        <v>2598.4</v>
      </c>
      <c r="G753" s="2" t="s">
        <v>2562</v>
      </c>
      <c r="H753" s="2" t="s">
        <v>2563</v>
      </c>
      <c r="I753" s="2" t="s">
        <v>2564</v>
      </c>
    </row>
    <row r="754" ht="15.75" customHeight="1">
      <c r="A754" s="4" t="s">
        <v>1388</v>
      </c>
      <c r="B754" s="2" t="s">
        <v>16</v>
      </c>
      <c r="C754" s="2" t="s">
        <v>55</v>
      </c>
      <c r="D754" s="2">
        <v>455.85</v>
      </c>
      <c r="E754" s="2">
        <v>2.0</v>
      </c>
      <c r="F754" s="2">
        <v>911.7</v>
      </c>
      <c r="G754" s="2" t="s">
        <v>2565</v>
      </c>
      <c r="H754" s="2" t="s">
        <v>2566</v>
      </c>
      <c r="I754" s="2" t="s">
        <v>2567</v>
      </c>
    </row>
    <row r="755" ht="15.75" customHeight="1">
      <c r="A755" s="4" t="s">
        <v>1342</v>
      </c>
      <c r="B755" s="2" t="s">
        <v>101</v>
      </c>
      <c r="C755" s="2" t="s">
        <v>96</v>
      </c>
      <c r="D755" s="2">
        <v>1669.72</v>
      </c>
      <c r="E755" s="2">
        <v>4.0</v>
      </c>
      <c r="F755" s="2">
        <v>6678.88</v>
      </c>
      <c r="G755" s="2" t="s">
        <v>2568</v>
      </c>
      <c r="H755" s="2" t="s">
        <v>2569</v>
      </c>
      <c r="I755" s="2" t="s">
        <v>2570</v>
      </c>
    </row>
    <row r="756" ht="15.75" customHeight="1">
      <c r="A756" s="1" t="s">
        <v>417</v>
      </c>
      <c r="B756" s="2" t="s">
        <v>85</v>
      </c>
      <c r="C756" s="2" t="s">
        <v>201</v>
      </c>
      <c r="D756" s="2">
        <v>2224.42</v>
      </c>
      <c r="E756" s="2">
        <v>4.0</v>
      </c>
      <c r="F756" s="2">
        <v>8897.68</v>
      </c>
      <c r="G756" s="2" t="s">
        <v>2571</v>
      </c>
      <c r="H756" s="2" t="s">
        <v>2572</v>
      </c>
      <c r="I756" s="2" t="s">
        <v>2573</v>
      </c>
    </row>
    <row r="757" ht="15.75" customHeight="1">
      <c r="A757" s="4" t="s">
        <v>1022</v>
      </c>
      <c r="B757" s="2" t="s">
        <v>85</v>
      </c>
      <c r="C757" s="2" t="s">
        <v>22</v>
      </c>
      <c r="D757" s="2">
        <v>1032.0</v>
      </c>
      <c r="E757" s="2">
        <v>4.0</v>
      </c>
      <c r="F757" s="2">
        <v>4128.0</v>
      </c>
      <c r="G757" s="2" t="s">
        <v>2574</v>
      </c>
      <c r="H757" s="2" t="s">
        <v>2575</v>
      </c>
      <c r="I757" s="2" t="s">
        <v>2576</v>
      </c>
    </row>
    <row r="758" ht="15.75" customHeight="1">
      <c r="A758" s="4" t="s">
        <v>2245</v>
      </c>
      <c r="B758" s="2" t="s">
        <v>10</v>
      </c>
      <c r="C758" s="2" t="s">
        <v>152</v>
      </c>
      <c r="D758" s="2">
        <v>2387.49</v>
      </c>
      <c r="E758" s="2">
        <v>1.0</v>
      </c>
      <c r="F758" s="2">
        <v>2387.49</v>
      </c>
      <c r="G758" s="2" t="s">
        <v>2577</v>
      </c>
      <c r="H758" s="2" t="s">
        <v>2578</v>
      </c>
      <c r="I758" s="2" t="s">
        <v>2579</v>
      </c>
    </row>
    <row r="759" ht="15.75" customHeight="1">
      <c r="A759" s="1" t="s">
        <v>562</v>
      </c>
      <c r="B759" s="2" t="s">
        <v>50</v>
      </c>
      <c r="C759" s="2" t="s">
        <v>70</v>
      </c>
      <c r="D759" s="2">
        <v>474.59</v>
      </c>
      <c r="E759" s="2">
        <v>4.0</v>
      </c>
      <c r="F759" s="2">
        <v>1898.36</v>
      </c>
      <c r="G759" s="2" t="s">
        <v>2580</v>
      </c>
      <c r="H759" s="2" t="s">
        <v>2581</v>
      </c>
      <c r="I759" s="2" t="s">
        <v>2582</v>
      </c>
    </row>
    <row r="760" ht="15.75" customHeight="1">
      <c r="A760" s="4" t="s">
        <v>1579</v>
      </c>
      <c r="B760" s="2" t="s">
        <v>85</v>
      </c>
      <c r="C760" s="2" t="s">
        <v>807</v>
      </c>
      <c r="D760" s="2">
        <v>1951.0</v>
      </c>
      <c r="E760" s="2">
        <v>5.0</v>
      </c>
      <c r="F760" s="2">
        <v>9755.0</v>
      </c>
      <c r="G760" s="2" t="s">
        <v>2583</v>
      </c>
      <c r="H760" s="2" t="s">
        <v>2584</v>
      </c>
      <c r="I760" s="2" t="s">
        <v>2585</v>
      </c>
    </row>
    <row r="761" ht="15.75" customHeight="1">
      <c r="A761" s="1" t="s">
        <v>272</v>
      </c>
      <c r="B761" s="2" t="s">
        <v>101</v>
      </c>
      <c r="C761" s="2" t="s">
        <v>807</v>
      </c>
      <c r="D761" s="2">
        <v>2425.55</v>
      </c>
      <c r="E761" s="2">
        <v>3.0</v>
      </c>
      <c r="F761" s="2">
        <v>7276.65</v>
      </c>
      <c r="G761" s="2" t="s">
        <v>2586</v>
      </c>
      <c r="H761" s="2" t="s">
        <v>2587</v>
      </c>
      <c r="I761" s="2" t="s">
        <v>2588</v>
      </c>
    </row>
    <row r="762" ht="15.75" customHeight="1">
      <c r="A762" s="1" t="s">
        <v>1189</v>
      </c>
      <c r="B762" s="2" t="s">
        <v>85</v>
      </c>
      <c r="C762" s="2" t="s">
        <v>96</v>
      </c>
      <c r="D762" s="2">
        <v>2214.19</v>
      </c>
      <c r="E762" s="2">
        <v>2.0</v>
      </c>
      <c r="F762" s="2">
        <v>4428.38</v>
      </c>
      <c r="G762" s="2" t="s">
        <v>2589</v>
      </c>
      <c r="H762" s="2" t="s">
        <v>2590</v>
      </c>
      <c r="I762" s="2" t="s">
        <v>2591</v>
      </c>
    </row>
    <row r="763" ht="15.75" customHeight="1">
      <c r="A763" s="1" t="s">
        <v>1209</v>
      </c>
      <c r="B763" s="2" t="s">
        <v>27</v>
      </c>
      <c r="C763" s="2" t="s">
        <v>698</v>
      </c>
      <c r="D763" s="2">
        <v>1165.81</v>
      </c>
      <c r="E763" s="2">
        <v>1.0</v>
      </c>
      <c r="F763" s="2">
        <v>1165.81</v>
      </c>
      <c r="G763" s="2" t="s">
        <v>2592</v>
      </c>
      <c r="H763" s="2" t="s">
        <v>2593</v>
      </c>
      <c r="I763" s="2" t="s">
        <v>2594</v>
      </c>
    </row>
    <row r="764" ht="15.75" customHeight="1">
      <c r="A764" s="4" t="s">
        <v>1395</v>
      </c>
      <c r="B764" s="2" t="s">
        <v>38</v>
      </c>
      <c r="C764" s="2" t="s">
        <v>121</v>
      </c>
      <c r="D764" s="2">
        <v>1402.18</v>
      </c>
      <c r="E764" s="2">
        <v>3.0</v>
      </c>
      <c r="F764" s="2">
        <v>4206.54</v>
      </c>
      <c r="G764" s="2" t="s">
        <v>2595</v>
      </c>
      <c r="H764" s="2" t="s">
        <v>2596</v>
      </c>
      <c r="I764" s="3" t="s">
        <v>2597</v>
      </c>
    </row>
    <row r="765" ht="15.75" customHeight="1">
      <c r="A765" s="4" t="s">
        <v>994</v>
      </c>
      <c r="B765" s="2" t="s">
        <v>38</v>
      </c>
      <c r="C765" s="2" t="s">
        <v>369</v>
      </c>
      <c r="D765" s="2">
        <v>1649.11</v>
      </c>
      <c r="E765" s="2">
        <v>4.0</v>
      </c>
      <c r="F765" s="2">
        <v>6596.44</v>
      </c>
      <c r="G765" s="2" t="s">
        <v>2598</v>
      </c>
      <c r="H765" s="2" t="s">
        <v>2599</v>
      </c>
      <c r="I765" s="2" t="s">
        <v>2600</v>
      </c>
    </row>
    <row r="766" ht="15.75" customHeight="1">
      <c r="A766" s="4" t="s">
        <v>1589</v>
      </c>
      <c r="B766" s="2" t="s">
        <v>16</v>
      </c>
      <c r="C766" s="2" t="s">
        <v>250</v>
      </c>
      <c r="D766" s="2">
        <v>1531.23</v>
      </c>
      <c r="E766" s="2">
        <v>3.0</v>
      </c>
      <c r="F766" s="2">
        <v>4593.69</v>
      </c>
      <c r="G766" s="2" t="s">
        <v>2601</v>
      </c>
      <c r="H766" s="2" t="s">
        <v>2602</v>
      </c>
      <c r="I766" s="2" t="s">
        <v>2603</v>
      </c>
    </row>
    <row r="767" ht="15.75" customHeight="1">
      <c r="A767" s="4" t="s">
        <v>907</v>
      </c>
      <c r="B767" s="2" t="s">
        <v>85</v>
      </c>
      <c r="C767" s="2" t="s">
        <v>360</v>
      </c>
      <c r="D767" s="2">
        <v>742.02</v>
      </c>
      <c r="E767" s="2">
        <v>1.0</v>
      </c>
      <c r="F767" s="2">
        <v>742.02</v>
      </c>
      <c r="G767" s="2" t="s">
        <v>2604</v>
      </c>
      <c r="H767" s="2" t="s">
        <v>2605</v>
      </c>
      <c r="I767" s="2" t="s">
        <v>2606</v>
      </c>
    </row>
    <row r="768" ht="15.75" customHeight="1">
      <c r="A768" s="4" t="s">
        <v>1104</v>
      </c>
      <c r="B768" s="2" t="s">
        <v>27</v>
      </c>
      <c r="C768" s="2" t="s">
        <v>206</v>
      </c>
      <c r="D768" s="2">
        <v>494.33</v>
      </c>
      <c r="E768" s="2">
        <v>5.0</v>
      </c>
      <c r="F768" s="2">
        <v>2471.65</v>
      </c>
      <c r="G768" s="2" t="s">
        <v>2607</v>
      </c>
      <c r="H768" s="2" t="s">
        <v>2608</v>
      </c>
      <c r="I768" s="2" t="s">
        <v>2609</v>
      </c>
    </row>
    <row r="769" ht="15.75" customHeight="1">
      <c r="A769" s="4" t="s">
        <v>994</v>
      </c>
      <c r="B769" s="2" t="s">
        <v>50</v>
      </c>
      <c r="C769" s="2" t="s">
        <v>111</v>
      </c>
      <c r="D769" s="2">
        <v>731.02</v>
      </c>
      <c r="E769" s="2">
        <v>4.0</v>
      </c>
      <c r="F769" s="2">
        <v>2924.08</v>
      </c>
      <c r="G769" s="2" t="s">
        <v>2610</v>
      </c>
      <c r="H769" s="2" t="s">
        <v>2611</v>
      </c>
      <c r="I769" s="2" t="s">
        <v>2612</v>
      </c>
    </row>
    <row r="770" ht="15.75" customHeight="1">
      <c r="A770" s="4" t="s">
        <v>1104</v>
      </c>
      <c r="B770" s="2" t="s">
        <v>27</v>
      </c>
      <c r="C770" s="2" t="s">
        <v>152</v>
      </c>
      <c r="D770" s="2">
        <v>2203.93</v>
      </c>
      <c r="E770" s="2">
        <v>5.0</v>
      </c>
      <c r="F770" s="2">
        <v>11019.65</v>
      </c>
      <c r="G770" s="2" t="s">
        <v>2613</v>
      </c>
      <c r="H770" s="2" t="s">
        <v>2614</v>
      </c>
      <c r="I770" s="2" t="s">
        <v>2615</v>
      </c>
    </row>
    <row r="771" ht="15.75" customHeight="1">
      <c r="A771" s="4" t="s">
        <v>1022</v>
      </c>
      <c r="B771" s="2" t="s">
        <v>38</v>
      </c>
      <c r="C771" s="2" t="s">
        <v>75</v>
      </c>
      <c r="E771" s="2">
        <v>2.0</v>
      </c>
      <c r="F771" s="2">
        <v>3713.2</v>
      </c>
      <c r="G771" s="2" t="s">
        <v>2616</v>
      </c>
      <c r="H771" s="2" t="s">
        <v>2617</v>
      </c>
      <c r="I771" s="2" t="s">
        <v>2618</v>
      </c>
    </row>
    <row r="772" ht="15.75" customHeight="1">
      <c r="A772" s="1" t="s">
        <v>276</v>
      </c>
      <c r="B772" s="2" t="s">
        <v>38</v>
      </c>
      <c r="C772" s="2" t="s">
        <v>250</v>
      </c>
      <c r="D772" s="2">
        <v>2002.21</v>
      </c>
      <c r="E772" s="2">
        <v>3.0</v>
      </c>
      <c r="F772" s="2">
        <v>6006.63</v>
      </c>
      <c r="G772" s="2" t="s">
        <v>2619</v>
      </c>
      <c r="H772" s="2" t="s">
        <v>2620</v>
      </c>
      <c r="I772" s="2" t="s">
        <v>2621</v>
      </c>
    </row>
    <row r="773" ht="15.75" customHeight="1">
      <c r="A773" s="1" t="s">
        <v>1058</v>
      </c>
      <c r="B773" s="2" t="s">
        <v>16</v>
      </c>
      <c r="C773" s="2" t="s">
        <v>45</v>
      </c>
      <c r="D773" s="2">
        <v>428.02</v>
      </c>
      <c r="E773" s="2">
        <v>3.0</v>
      </c>
      <c r="F773" s="2">
        <v>1284.06</v>
      </c>
      <c r="G773" s="2" t="s">
        <v>2622</v>
      </c>
      <c r="H773" s="2" t="s">
        <v>2623</v>
      </c>
      <c r="I773" s="2" t="s">
        <v>2624</v>
      </c>
    </row>
    <row r="774" ht="15.75" customHeight="1">
      <c r="A774" s="1" t="s">
        <v>895</v>
      </c>
      <c r="B774" s="2" t="s">
        <v>85</v>
      </c>
      <c r="C774" s="2" t="s">
        <v>508</v>
      </c>
      <c r="D774" s="2">
        <v>2160.65</v>
      </c>
      <c r="E774" s="2">
        <v>3.0</v>
      </c>
      <c r="F774" s="2">
        <v>6481.95</v>
      </c>
      <c r="G774" s="2" t="s">
        <v>2625</v>
      </c>
      <c r="H774" s="2" t="s">
        <v>2626</v>
      </c>
      <c r="I774" s="2" t="s">
        <v>2627</v>
      </c>
    </row>
    <row r="775" ht="15.75" customHeight="1">
      <c r="A775" s="1" t="s">
        <v>826</v>
      </c>
      <c r="B775" s="2" t="s">
        <v>16</v>
      </c>
      <c r="C775" s="2" t="s">
        <v>593</v>
      </c>
      <c r="D775" s="2">
        <v>2472.61</v>
      </c>
      <c r="E775" s="2">
        <v>5.0</v>
      </c>
      <c r="F775" s="2">
        <v>12363.05</v>
      </c>
      <c r="G775" s="2" t="s">
        <v>2628</v>
      </c>
      <c r="H775" s="2" t="s">
        <v>2629</v>
      </c>
      <c r="I775" s="2" t="s">
        <v>2630</v>
      </c>
    </row>
    <row r="776" ht="15.75" customHeight="1">
      <c r="A776" s="1" t="s">
        <v>474</v>
      </c>
      <c r="B776" s="2" t="s">
        <v>27</v>
      </c>
      <c r="C776" s="2" t="s">
        <v>70</v>
      </c>
      <c r="D776" s="2">
        <v>1252.47</v>
      </c>
      <c r="E776" s="2">
        <v>5.0</v>
      </c>
      <c r="F776" s="2">
        <v>6262.35</v>
      </c>
      <c r="G776" s="2" t="s">
        <v>2631</v>
      </c>
      <c r="H776" s="2" t="s">
        <v>2632</v>
      </c>
      <c r="I776" s="2" t="s">
        <v>2633</v>
      </c>
    </row>
    <row r="777" ht="15.75" customHeight="1">
      <c r="A777" s="1" t="s">
        <v>702</v>
      </c>
      <c r="B777" s="2" t="s">
        <v>16</v>
      </c>
      <c r="C777" s="2" t="s">
        <v>500</v>
      </c>
      <c r="D777" s="2">
        <v>130.05</v>
      </c>
      <c r="E777" s="2">
        <v>1.0</v>
      </c>
      <c r="F777" s="2">
        <v>130.05</v>
      </c>
      <c r="G777" s="2" t="s">
        <v>2634</v>
      </c>
      <c r="H777" s="2" t="s">
        <v>2635</v>
      </c>
      <c r="I777" s="2" t="s">
        <v>2636</v>
      </c>
    </row>
    <row r="778" ht="15.75" customHeight="1">
      <c r="A778" s="1" t="s">
        <v>409</v>
      </c>
      <c r="B778" s="2" t="s">
        <v>60</v>
      </c>
      <c r="C778" s="2" t="s">
        <v>1015</v>
      </c>
      <c r="D778" s="2">
        <v>2399.53</v>
      </c>
      <c r="E778" s="2">
        <v>3.0</v>
      </c>
      <c r="G778" s="2" t="s">
        <v>2637</v>
      </c>
      <c r="H778" s="2" t="s">
        <v>2638</v>
      </c>
      <c r="I778" s="2" t="s">
        <v>2639</v>
      </c>
    </row>
    <row r="779" ht="15.75" customHeight="1">
      <c r="A779" s="1" t="s">
        <v>836</v>
      </c>
      <c r="B779" s="2" t="s">
        <v>16</v>
      </c>
      <c r="C779" s="2" t="s">
        <v>80</v>
      </c>
      <c r="D779" s="2">
        <v>1900.01</v>
      </c>
      <c r="E779" s="2">
        <v>5.0</v>
      </c>
      <c r="F779" s="2">
        <v>9500.05</v>
      </c>
      <c r="G779" s="2" t="s">
        <v>2640</v>
      </c>
      <c r="H779" s="2" t="s">
        <v>2641</v>
      </c>
      <c r="I779" s="2" t="s">
        <v>2642</v>
      </c>
    </row>
    <row r="780" ht="15.75" customHeight="1">
      <c r="A780" s="4" t="s">
        <v>1520</v>
      </c>
      <c r="B780" s="2" t="s">
        <v>101</v>
      </c>
      <c r="C780" s="2" t="s">
        <v>45</v>
      </c>
      <c r="D780" s="2">
        <v>1344.3</v>
      </c>
      <c r="E780" s="2">
        <v>1.0</v>
      </c>
      <c r="F780" s="2">
        <v>1344.3</v>
      </c>
      <c r="G780" s="2" t="s">
        <v>2643</v>
      </c>
      <c r="H780" s="2" t="s">
        <v>2644</v>
      </c>
      <c r="I780" s="2" t="s">
        <v>2645</v>
      </c>
    </row>
    <row r="781" ht="15.75" customHeight="1">
      <c r="A781" s="4" t="s">
        <v>899</v>
      </c>
      <c r="B781" s="2" t="s">
        <v>38</v>
      </c>
      <c r="C781" s="2" t="s">
        <v>167</v>
      </c>
      <c r="D781" s="2">
        <v>2170.39</v>
      </c>
      <c r="E781" s="2">
        <v>2.0</v>
      </c>
      <c r="F781" s="2">
        <v>4340.78</v>
      </c>
      <c r="G781" s="2" t="s">
        <v>2646</v>
      </c>
      <c r="H781" s="2" t="s">
        <v>2647</v>
      </c>
      <c r="I781" s="2" t="s">
        <v>2648</v>
      </c>
    </row>
    <row r="782" ht="15.75" customHeight="1">
      <c r="A782" s="1" t="s">
        <v>1481</v>
      </c>
      <c r="B782" s="2" t="s">
        <v>38</v>
      </c>
      <c r="C782" s="2" t="s">
        <v>348</v>
      </c>
      <c r="D782" s="2">
        <v>403.48</v>
      </c>
      <c r="E782" s="2">
        <v>2.0</v>
      </c>
      <c r="F782" s="2">
        <v>806.96</v>
      </c>
      <c r="G782" s="2" t="s">
        <v>2649</v>
      </c>
      <c r="H782" s="2" t="s">
        <v>2650</v>
      </c>
      <c r="I782" s="2" t="s">
        <v>2651</v>
      </c>
    </row>
    <row r="783" ht="15.75" customHeight="1">
      <c r="A783" s="4" t="s">
        <v>899</v>
      </c>
      <c r="B783" s="2" t="s">
        <v>38</v>
      </c>
      <c r="C783" s="2" t="s">
        <v>111</v>
      </c>
      <c r="D783" s="2">
        <v>2172.79</v>
      </c>
      <c r="E783" s="2">
        <v>4.0</v>
      </c>
      <c r="F783" s="2">
        <v>8691.16</v>
      </c>
      <c r="G783" s="2" t="s">
        <v>2652</v>
      </c>
      <c r="H783" s="2" t="s">
        <v>2653</v>
      </c>
      <c r="I783" s="2" t="s">
        <v>2654</v>
      </c>
    </row>
    <row r="784" ht="15.75" customHeight="1">
      <c r="A784" s="4" t="s">
        <v>884</v>
      </c>
      <c r="B784" s="2" t="s">
        <v>38</v>
      </c>
      <c r="C784" s="2" t="s">
        <v>11</v>
      </c>
      <c r="D784" s="2">
        <v>892.88</v>
      </c>
      <c r="E784" s="2">
        <v>5.0</v>
      </c>
      <c r="F784" s="2">
        <v>4464.4</v>
      </c>
      <c r="G784" s="2" t="s">
        <v>2655</v>
      </c>
      <c r="H784" s="2" t="s">
        <v>2656</v>
      </c>
      <c r="I784" s="2" t="s">
        <v>2657</v>
      </c>
    </row>
    <row r="785" ht="15.75" customHeight="1">
      <c r="A785" s="1" t="s">
        <v>579</v>
      </c>
      <c r="B785" s="2" t="s">
        <v>27</v>
      </c>
      <c r="C785" s="2" t="s">
        <v>11</v>
      </c>
      <c r="D785" s="2">
        <v>463.17</v>
      </c>
      <c r="E785" s="2">
        <v>3.0</v>
      </c>
      <c r="F785" s="2">
        <v>1389.51</v>
      </c>
      <c r="G785" s="2" t="s">
        <v>2658</v>
      </c>
      <c r="H785" s="2" t="s">
        <v>2659</v>
      </c>
      <c r="I785" s="2" t="s">
        <v>2660</v>
      </c>
    </row>
    <row r="786" ht="15.75" customHeight="1">
      <c r="A786" s="1" t="s">
        <v>272</v>
      </c>
      <c r="B786" s="2" t="s">
        <v>27</v>
      </c>
      <c r="C786" s="2" t="s">
        <v>397</v>
      </c>
      <c r="D786" s="2">
        <v>944.98</v>
      </c>
      <c r="E786" s="2">
        <v>1.0</v>
      </c>
      <c r="F786" s="2">
        <v>944.98</v>
      </c>
      <c r="G786" s="2" t="s">
        <v>2661</v>
      </c>
      <c r="H786" s="2" t="s">
        <v>2662</v>
      </c>
      <c r="I786" s="2" t="s">
        <v>2663</v>
      </c>
    </row>
    <row r="787" ht="15.75" customHeight="1">
      <c r="A787" s="1" t="s">
        <v>1045</v>
      </c>
      <c r="B787" s="2" t="s">
        <v>38</v>
      </c>
      <c r="C787" s="2" t="s">
        <v>186</v>
      </c>
      <c r="D787" s="2">
        <v>848.42</v>
      </c>
      <c r="E787" s="2">
        <v>3.0</v>
      </c>
      <c r="F787" s="2">
        <v>2545.26</v>
      </c>
      <c r="G787" s="2" t="s">
        <v>2664</v>
      </c>
      <c r="H787" s="2" t="s">
        <v>2665</v>
      </c>
      <c r="I787" s="3" t="s">
        <v>2666</v>
      </c>
    </row>
    <row r="788" ht="15.75" customHeight="1">
      <c r="A788" s="1" t="s">
        <v>781</v>
      </c>
      <c r="B788" s="2" t="s">
        <v>50</v>
      </c>
      <c r="C788" s="2" t="s">
        <v>172</v>
      </c>
      <c r="D788" s="2">
        <v>303.84</v>
      </c>
      <c r="E788" s="2">
        <v>1.0</v>
      </c>
      <c r="F788" s="2">
        <v>303.84</v>
      </c>
      <c r="G788" s="2" t="s">
        <v>2667</v>
      </c>
      <c r="H788" s="2" t="s">
        <v>2668</v>
      </c>
      <c r="I788" s="2" t="s">
        <v>2669</v>
      </c>
    </row>
    <row r="789" ht="15.75" customHeight="1">
      <c r="A789" s="1" t="s">
        <v>160</v>
      </c>
      <c r="B789" s="2" t="s">
        <v>38</v>
      </c>
      <c r="C789" s="2" t="s">
        <v>28</v>
      </c>
      <c r="D789" s="2">
        <v>684.7</v>
      </c>
      <c r="E789" s="2">
        <v>5.0</v>
      </c>
      <c r="F789" s="2">
        <v>3423.5</v>
      </c>
      <c r="G789" s="2" t="s">
        <v>2670</v>
      </c>
      <c r="H789" s="2" t="s">
        <v>2671</v>
      </c>
      <c r="I789" s="2" t="s">
        <v>2672</v>
      </c>
    </row>
    <row r="790" ht="15.75" customHeight="1">
      <c r="A790" s="1" t="s">
        <v>272</v>
      </c>
      <c r="B790" s="2" t="s">
        <v>16</v>
      </c>
      <c r="C790" s="2" t="s">
        <v>86</v>
      </c>
      <c r="D790" s="2">
        <v>1876.74</v>
      </c>
      <c r="E790" s="2">
        <v>3.0</v>
      </c>
      <c r="F790" s="2">
        <v>5630.22</v>
      </c>
      <c r="G790" s="2" t="s">
        <v>2673</v>
      </c>
      <c r="H790" s="2" t="s">
        <v>2674</v>
      </c>
      <c r="I790" s="2" t="s">
        <v>2675</v>
      </c>
    </row>
    <row r="791" ht="15.75" customHeight="1">
      <c r="A791" s="1" t="s">
        <v>335</v>
      </c>
      <c r="B791" s="2" t="s">
        <v>38</v>
      </c>
      <c r="C791" s="2" t="s">
        <v>508</v>
      </c>
      <c r="D791" s="2">
        <v>1770.14</v>
      </c>
      <c r="E791" s="2">
        <v>1.0</v>
      </c>
      <c r="F791" s="2">
        <v>1770.14</v>
      </c>
      <c r="G791" s="2" t="s">
        <v>2676</v>
      </c>
      <c r="H791" s="2" t="s">
        <v>2677</v>
      </c>
      <c r="I791" s="2" t="s">
        <v>2678</v>
      </c>
    </row>
    <row r="792" ht="15.75" customHeight="1">
      <c r="A792" s="4" t="s">
        <v>974</v>
      </c>
      <c r="B792" s="2" t="s">
        <v>101</v>
      </c>
      <c r="C792" s="2" t="s">
        <v>226</v>
      </c>
      <c r="D792" s="2">
        <v>815.48</v>
      </c>
      <c r="E792" s="2">
        <v>2.0</v>
      </c>
      <c r="F792" s="2">
        <v>1630.96</v>
      </c>
      <c r="G792" s="2" t="s">
        <v>2679</v>
      </c>
      <c r="H792" s="2" t="s">
        <v>2680</v>
      </c>
      <c r="I792" s="2" t="s">
        <v>2681</v>
      </c>
    </row>
    <row r="793" ht="15.75" customHeight="1">
      <c r="A793" s="1" t="s">
        <v>1683</v>
      </c>
      <c r="B793" s="2" t="s">
        <v>85</v>
      </c>
      <c r="C793" s="2" t="s">
        <v>191</v>
      </c>
      <c r="D793" s="2">
        <v>986.08</v>
      </c>
      <c r="E793" s="2">
        <v>4.0</v>
      </c>
      <c r="F793" s="2">
        <v>3944.32</v>
      </c>
      <c r="G793" s="2" t="s">
        <v>2682</v>
      </c>
      <c r="H793" s="2" t="s">
        <v>2683</v>
      </c>
      <c r="I793" s="2" t="s">
        <v>2684</v>
      </c>
    </row>
    <row r="794" ht="15.75" customHeight="1">
      <c r="A794" s="4" t="s">
        <v>289</v>
      </c>
      <c r="B794" s="2" t="s">
        <v>50</v>
      </c>
      <c r="C794" s="2" t="s">
        <v>186</v>
      </c>
      <c r="D794" s="2">
        <v>646.22</v>
      </c>
      <c r="E794" s="2">
        <v>2.0</v>
      </c>
      <c r="F794" s="2">
        <v>1292.44</v>
      </c>
      <c r="G794" s="2" t="s">
        <v>2685</v>
      </c>
      <c r="H794" s="2" t="s">
        <v>2686</v>
      </c>
      <c r="I794" s="2" t="s">
        <v>2687</v>
      </c>
    </row>
    <row r="795" ht="15.75" customHeight="1">
      <c r="A795" s="1" t="s">
        <v>257</v>
      </c>
      <c r="B795" s="2" t="s">
        <v>50</v>
      </c>
      <c r="C795" s="2" t="s">
        <v>311</v>
      </c>
      <c r="D795" s="2">
        <v>2240.54</v>
      </c>
      <c r="E795" s="2">
        <v>2.0</v>
      </c>
      <c r="F795" s="2">
        <v>4481.08</v>
      </c>
      <c r="G795" s="2" t="s">
        <v>2688</v>
      </c>
      <c r="H795" s="2" t="s">
        <v>2689</v>
      </c>
      <c r="I795" s="2" t="s">
        <v>2690</v>
      </c>
    </row>
    <row r="796" ht="15.75" customHeight="1">
      <c r="A796" s="1" t="s">
        <v>347</v>
      </c>
      <c r="B796" s="2" t="s">
        <v>85</v>
      </c>
      <c r="C796" s="2" t="s">
        <v>33</v>
      </c>
      <c r="D796" s="2">
        <v>1260.9</v>
      </c>
      <c r="E796" s="2">
        <v>3.0</v>
      </c>
      <c r="F796" s="2">
        <v>3782.7</v>
      </c>
      <c r="G796" s="2" t="s">
        <v>2691</v>
      </c>
      <c r="H796" s="2" t="s">
        <v>2692</v>
      </c>
      <c r="I796" s="2" t="s">
        <v>2693</v>
      </c>
    </row>
    <row r="797" ht="15.75" customHeight="1">
      <c r="A797" s="4" t="s">
        <v>949</v>
      </c>
      <c r="B797" s="2" t="s">
        <v>85</v>
      </c>
      <c r="C797" s="2" t="s">
        <v>226</v>
      </c>
      <c r="D797" s="2">
        <v>540.19</v>
      </c>
      <c r="E797" s="2">
        <v>4.0</v>
      </c>
      <c r="F797" s="2">
        <v>2160.76</v>
      </c>
      <c r="G797" s="2" t="s">
        <v>2694</v>
      </c>
      <c r="H797" s="2" t="s">
        <v>2695</v>
      </c>
      <c r="I797" s="2" t="s">
        <v>2696</v>
      </c>
    </row>
    <row r="798" ht="15.75" customHeight="1">
      <c r="A798" s="1" t="s">
        <v>836</v>
      </c>
      <c r="B798" s="2" t="s">
        <v>38</v>
      </c>
      <c r="C798" s="2" t="s">
        <v>45</v>
      </c>
      <c r="D798" s="2">
        <v>1254.96</v>
      </c>
      <c r="E798" s="2">
        <v>1.0</v>
      </c>
      <c r="F798" s="2">
        <v>1254.96</v>
      </c>
      <c r="G798" s="2" t="s">
        <v>2697</v>
      </c>
      <c r="H798" s="2" t="s">
        <v>2698</v>
      </c>
      <c r="I798" s="2" t="s">
        <v>2699</v>
      </c>
    </row>
    <row r="799" ht="15.75" customHeight="1">
      <c r="A799" s="1" t="s">
        <v>903</v>
      </c>
      <c r="B799" s="2" t="s">
        <v>101</v>
      </c>
      <c r="C799" s="2" t="s">
        <v>186</v>
      </c>
      <c r="D799" s="2">
        <v>1037.64</v>
      </c>
      <c r="E799" s="2">
        <v>3.0</v>
      </c>
      <c r="F799" s="2">
        <v>3112.92</v>
      </c>
      <c r="G799" s="2" t="s">
        <v>2700</v>
      </c>
      <c r="H799" s="2" t="s">
        <v>2701</v>
      </c>
      <c r="I799" s="3" t="s">
        <v>2702</v>
      </c>
    </row>
    <row r="800" ht="15.75" customHeight="1">
      <c r="A800" s="4" t="s">
        <v>1714</v>
      </c>
      <c r="B800" s="2" t="s">
        <v>50</v>
      </c>
      <c r="C800" s="2" t="s">
        <v>17</v>
      </c>
      <c r="D800" s="2">
        <v>1273.07</v>
      </c>
      <c r="E800" s="2">
        <v>3.0</v>
      </c>
      <c r="F800" s="2">
        <v>3819.21</v>
      </c>
      <c r="G800" s="2" t="s">
        <v>2703</v>
      </c>
      <c r="H800" s="2" t="s">
        <v>2704</v>
      </c>
      <c r="I800" s="2" t="s">
        <v>2705</v>
      </c>
    </row>
    <row r="801" ht="15.75" customHeight="1">
      <c r="A801" s="1" t="s">
        <v>562</v>
      </c>
      <c r="B801" s="2" t="s">
        <v>38</v>
      </c>
      <c r="C801" s="2" t="s">
        <v>65</v>
      </c>
      <c r="D801" s="2">
        <v>2430.43</v>
      </c>
      <c r="E801" s="2">
        <v>5.0</v>
      </c>
      <c r="F801" s="2">
        <v>12152.15</v>
      </c>
      <c r="G801" s="2" t="s">
        <v>2706</v>
      </c>
      <c r="H801" s="2" t="s">
        <v>2707</v>
      </c>
      <c r="I801" s="2" t="s">
        <v>2708</v>
      </c>
    </row>
    <row r="802" ht="15.75" customHeight="1">
      <c r="A802" s="1" t="s">
        <v>1035</v>
      </c>
      <c r="B802" s="2" t="s">
        <v>101</v>
      </c>
      <c r="C802" s="2" t="s">
        <v>235</v>
      </c>
      <c r="D802" s="2">
        <v>1203.93</v>
      </c>
      <c r="E802" s="2">
        <v>4.0</v>
      </c>
      <c r="F802" s="2">
        <v>4815.72</v>
      </c>
      <c r="G802" s="2" t="s">
        <v>2709</v>
      </c>
      <c r="H802" s="2" t="s">
        <v>2710</v>
      </c>
      <c r="I802" s="2" t="s">
        <v>2711</v>
      </c>
    </row>
    <row r="803" ht="15.75" customHeight="1">
      <c r="A803" s="1" t="s">
        <v>409</v>
      </c>
      <c r="B803" s="2" t="s">
        <v>38</v>
      </c>
      <c r="C803" s="2" t="s">
        <v>111</v>
      </c>
      <c r="E803" s="2">
        <v>4.0</v>
      </c>
      <c r="F803" s="2">
        <v>9635.4</v>
      </c>
      <c r="G803" s="2" t="s">
        <v>2712</v>
      </c>
      <c r="H803" s="2" t="s">
        <v>2713</v>
      </c>
      <c r="I803" s="2" t="s">
        <v>2714</v>
      </c>
    </row>
    <row r="804" ht="15.75" customHeight="1">
      <c r="A804" s="1" t="s">
        <v>785</v>
      </c>
      <c r="B804" s="2" t="s">
        <v>16</v>
      </c>
      <c r="C804" s="2" t="s">
        <v>206</v>
      </c>
      <c r="D804" s="2">
        <v>2426.87</v>
      </c>
      <c r="E804" s="2">
        <v>5.0</v>
      </c>
      <c r="F804" s="2">
        <v>12134.35</v>
      </c>
      <c r="G804" s="2" t="s">
        <v>2715</v>
      </c>
      <c r="H804" s="2" t="s">
        <v>2716</v>
      </c>
      <c r="I804" s="2" t="s">
        <v>2717</v>
      </c>
    </row>
    <row r="805" ht="15.75" customHeight="1">
      <c r="A805" s="4" t="s">
        <v>289</v>
      </c>
      <c r="B805" s="2" t="s">
        <v>85</v>
      </c>
      <c r="C805" s="2" t="s">
        <v>75</v>
      </c>
      <c r="D805" s="2">
        <v>1848.98</v>
      </c>
      <c r="E805" s="2">
        <v>3.0</v>
      </c>
      <c r="F805" s="2">
        <v>5546.94</v>
      </c>
      <c r="G805" s="2" t="s">
        <v>2718</v>
      </c>
      <c r="H805" s="2" t="s">
        <v>2719</v>
      </c>
      <c r="I805" s="2" t="s">
        <v>2720</v>
      </c>
    </row>
    <row r="806" ht="15.75" customHeight="1">
      <c r="A806" s="4" t="s">
        <v>1007</v>
      </c>
      <c r="B806" s="2" t="s">
        <v>101</v>
      </c>
      <c r="C806" s="2" t="s">
        <v>245</v>
      </c>
      <c r="D806" s="2">
        <v>1436.52</v>
      </c>
      <c r="E806" s="2">
        <v>2.0</v>
      </c>
      <c r="F806" s="2">
        <v>2873.04</v>
      </c>
      <c r="G806" s="2" t="s">
        <v>2721</v>
      </c>
      <c r="H806" s="2" t="s">
        <v>2722</v>
      </c>
      <c r="I806" s="2" t="s">
        <v>2723</v>
      </c>
    </row>
    <row r="807" ht="15.75" customHeight="1">
      <c r="A807" s="1" t="s">
        <v>558</v>
      </c>
      <c r="B807" s="2" t="s">
        <v>85</v>
      </c>
      <c r="C807" s="2" t="s">
        <v>593</v>
      </c>
      <c r="D807" s="2">
        <v>904.01</v>
      </c>
      <c r="E807" s="2">
        <v>1.0</v>
      </c>
      <c r="F807" s="2">
        <v>904.01</v>
      </c>
      <c r="G807" s="2" t="s">
        <v>2724</v>
      </c>
      <c r="H807" s="2" t="s">
        <v>2725</v>
      </c>
      <c r="I807" s="2" t="s">
        <v>2726</v>
      </c>
    </row>
    <row r="808" ht="15.75" customHeight="1">
      <c r="A808" s="4" t="s">
        <v>915</v>
      </c>
      <c r="B808" s="2" t="s">
        <v>101</v>
      </c>
      <c r="C808" s="2" t="s">
        <v>2727</v>
      </c>
      <c r="D808" s="2">
        <v>344.69</v>
      </c>
      <c r="E808" s="2">
        <v>5.0</v>
      </c>
      <c r="F808" s="2">
        <v>1723.45</v>
      </c>
      <c r="G808" s="2" t="s">
        <v>2728</v>
      </c>
      <c r="H808" s="2" t="s">
        <v>2729</v>
      </c>
      <c r="I808" s="2" t="s">
        <v>2730</v>
      </c>
    </row>
    <row r="809" ht="15.75" customHeight="1">
      <c r="A809" s="1" t="s">
        <v>702</v>
      </c>
      <c r="B809" s="2" t="s">
        <v>85</v>
      </c>
      <c r="C809" s="2" t="s">
        <v>245</v>
      </c>
      <c r="D809" s="2">
        <v>1564.37</v>
      </c>
      <c r="E809" s="2">
        <v>1.0</v>
      </c>
      <c r="F809" s="2">
        <v>1564.37</v>
      </c>
      <c r="G809" s="2" t="s">
        <v>2731</v>
      </c>
      <c r="H809" s="2" t="s">
        <v>2732</v>
      </c>
      <c r="I809" s="2" t="s">
        <v>2733</v>
      </c>
    </row>
    <row r="810" ht="15.75" customHeight="1">
      <c r="A810" s="1" t="s">
        <v>272</v>
      </c>
      <c r="B810" s="2" t="s">
        <v>101</v>
      </c>
      <c r="C810" s="2" t="s">
        <v>55</v>
      </c>
      <c r="D810" s="2">
        <v>2031.79</v>
      </c>
      <c r="E810" s="2">
        <v>5.0</v>
      </c>
      <c r="F810" s="2">
        <v>10158.95</v>
      </c>
      <c r="G810" s="2" t="s">
        <v>2734</v>
      </c>
      <c r="H810" s="2" t="s">
        <v>2735</v>
      </c>
      <c r="I810" s="2" t="s">
        <v>2736</v>
      </c>
    </row>
    <row r="811" ht="15.75" customHeight="1">
      <c r="A811" s="1" t="s">
        <v>474</v>
      </c>
      <c r="B811" s="2" t="s">
        <v>27</v>
      </c>
      <c r="C811" s="2" t="s">
        <v>369</v>
      </c>
      <c r="D811" s="2">
        <v>1119.17</v>
      </c>
      <c r="E811" s="2">
        <v>5.0</v>
      </c>
      <c r="F811" s="2">
        <v>5595.85</v>
      </c>
      <c r="G811" s="2" t="s">
        <v>2737</v>
      </c>
      <c r="H811" s="2" t="s">
        <v>2738</v>
      </c>
      <c r="I811" s="2" t="s">
        <v>2739</v>
      </c>
    </row>
    <row r="812" ht="15.75" customHeight="1">
      <c r="A812" s="1" t="s">
        <v>272</v>
      </c>
      <c r="B812" s="2" t="s">
        <v>85</v>
      </c>
      <c r="C812" s="2" t="s">
        <v>508</v>
      </c>
      <c r="D812" s="2">
        <v>1031.51</v>
      </c>
      <c r="E812" s="2">
        <v>1.0</v>
      </c>
      <c r="F812" s="2">
        <v>1031.51</v>
      </c>
      <c r="G812" s="2" t="s">
        <v>2740</v>
      </c>
      <c r="H812" s="2" t="s">
        <v>2741</v>
      </c>
      <c r="I812" s="2" t="s">
        <v>2742</v>
      </c>
    </row>
    <row r="813" ht="15.75" customHeight="1">
      <c r="A813" s="1" t="s">
        <v>558</v>
      </c>
      <c r="B813" s="2" t="s">
        <v>38</v>
      </c>
      <c r="C813" s="2" t="s">
        <v>135</v>
      </c>
      <c r="D813" s="2">
        <v>700.55</v>
      </c>
      <c r="E813" s="2">
        <v>5.0</v>
      </c>
      <c r="F813" s="2">
        <v>3502.75</v>
      </c>
      <c r="G813" s="2" t="s">
        <v>2743</v>
      </c>
      <c r="H813" s="2" t="s">
        <v>2744</v>
      </c>
      <c r="I813" s="2" t="s">
        <v>2745</v>
      </c>
    </row>
    <row r="814" ht="15.75" customHeight="1">
      <c r="A814" s="4" t="s">
        <v>2468</v>
      </c>
      <c r="B814" s="2" t="s">
        <v>101</v>
      </c>
      <c r="C814" s="2" t="s">
        <v>235</v>
      </c>
      <c r="D814" s="2">
        <v>2138.25</v>
      </c>
      <c r="E814" s="2">
        <v>2.0</v>
      </c>
      <c r="F814" s="2">
        <v>4276.5</v>
      </c>
      <c r="G814" s="2" t="s">
        <v>2746</v>
      </c>
      <c r="H814" s="2" t="s">
        <v>2747</v>
      </c>
      <c r="I814" s="2" t="s">
        <v>2748</v>
      </c>
    </row>
    <row r="815" ht="15.75" customHeight="1">
      <c r="A815" s="1" t="s">
        <v>79</v>
      </c>
      <c r="B815" s="2" t="s">
        <v>85</v>
      </c>
      <c r="C815" s="2" t="s">
        <v>167</v>
      </c>
      <c r="D815" s="2">
        <v>1604.02</v>
      </c>
      <c r="E815" s="2">
        <v>5.0</v>
      </c>
      <c r="F815" s="2">
        <v>8020.1</v>
      </c>
      <c r="G815" s="2" t="s">
        <v>2749</v>
      </c>
      <c r="H815" s="2" t="s">
        <v>2750</v>
      </c>
      <c r="I815" s="2" t="s">
        <v>2751</v>
      </c>
    </row>
    <row r="816" ht="15.75" customHeight="1">
      <c r="A816" s="1" t="s">
        <v>953</v>
      </c>
      <c r="B816" s="2" t="s">
        <v>27</v>
      </c>
      <c r="C816" s="2" t="s">
        <v>807</v>
      </c>
      <c r="D816" s="2">
        <v>714.18</v>
      </c>
      <c r="E816" s="2">
        <v>4.0</v>
      </c>
      <c r="F816" s="2">
        <v>2856.72</v>
      </c>
      <c r="G816" s="2" t="s">
        <v>2752</v>
      </c>
      <c r="H816" s="2" t="s">
        <v>2753</v>
      </c>
      <c r="I816" s="2" t="s">
        <v>2754</v>
      </c>
    </row>
    <row r="817" ht="15.75" customHeight="1">
      <c r="A817" s="4" t="s">
        <v>1551</v>
      </c>
      <c r="B817" s="2" t="s">
        <v>38</v>
      </c>
      <c r="C817" s="2" t="s">
        <v>226</v>
      </c>
      <c r="D817" s="2">
        <v>2181.56</v>
      </c>
      <c r="E817" s="2">
        <v>5.0</v>
      </c>
      <c r="F817" s="2">
        <v>10907.8</v>
      </c>
      <c r="G817" s="2" t="s">
        <v>2755</v>
      </c>
      <c r="H817" s="2" t="s">
        <v>2756</v>
      </c>
      <c r="I817" s="2" t="s">
        <v>2757</v>
      </c>
    </row>
    <row r="818" ht="15.75" customHeight="1">
      <c r="A818" s="1" t="s">
        <v>200</v>
      </c>
      <c r="B818" s="2" t="s">
        <v>50</v>
      </c>
      <c r="C818" s="2" t="s">
        <v>147</v>
      </c>
      <c r="D818" s="2">
        <v>2083.24</v>
      </c>
      <c r="E818" s="2">
        <v>1.0</v>
      </c>
      <c r="F818" s="2">
        <v>2083.24</v>
      </c>
      <c r="G818" s="2" t="s">
        <v>2758</v>
      </c>
      <c r="H818" s="2" t="s">
        <v>2759</v>
      </c>
      <c r="I818" s="2" t="s">
        <v>2760</v>
      </c>
    </row>
    <row r="819" ht="15.75" customHeight="1">
      <c r="A819" s="1" t="s">
        <v>272</v>
      </c>
      <c r="B819" s="2" t="s">
        <v>38</v>
      </c>
      <c r="C819" s="2" t="s">
        <v>116</v>
      </c>
      <c r="D819" s="2">
        <v>879.04</v>
      </c>
      <c r="E819" s="2">
        <v>2.0</v>
      </c>
      <c r="F819" s="2">
        <v>1758.08</v>
      </c>
      <c r="G819" s="2" t="s">
        <v>2761</v>
      </c>
      <c r="H819" s="2" t="s">
        <v>2762</v>
      </c>
      <c r="I819" s="2" t="s">
        <v>2763</v>
      </c>
    </row>
    <row r="820" ht="15.75" customHeight="1">
      <c r="A820" s="4" t="s">
        <v>915</v>
      </c>
      <c r="B820" s="2" t="s">
        <v>27</v>
      </c>
      <c r="C820" s="2" t="s">
        <v>152</v>
      </c>
      <c r="D820" s="2">
        <v>1606.74</v>
      </c>
      <c r="E820" s="2">
        <v>4.0</v>
      </c>
      <c r="F820" s="2">
        <v>6426.96</v>
      </c>
      <c r="G820" s="2" t="s">
        <v>2764</v>
      </c>
      <c r="H820" s="2" t="s">
        <v>2765</v>
      </c>
      <c r="I820" s="2" t="s">
        <v>2766</v>
      </c>
    </row>
    <row r="821" ht="15.75" customHeight="1">
      <c r="A821" s="4" t="s">
        <v>239</v>
      </c>
      <c r="B821" s="2" t="s">
        <v>101</v>
      </c>
      <c r="C821" s="2" t="s">
        <v>45</v>
      </c>
      <c r="D821" s="2">
        <v>2442.23</v>
      </c>
      <c r="E821" s="2">
        <v>4.0</v>
      </c>
      <c r="F821" s="2">
        <v>9768.92</v>
      </c>
      <c r="G821" s="2" t="s">
        <v>2767</v>
      </c>
      <c r="H821" s="2" t="s">
        <v>2768</v>
      </c>
      <c r="I821" s="2" t="s">
        <v>2769</v>
      </c>
    </row>
    <row r="822" ht="15.75" customHeight="1">
      <c r="A822" s="4" t="s">
        <v>1589</v>
      </c>
      <c r="B822" s="2" t="s">
        <v>85</v>
      </c>
      <c r="C822" s="2" t="s">
        <v>80</v>
      </c>
      <c r="D822" s="2">
        <v>462.11</v>
      </c>
      <c r="E822" s="2">
        <v>4.0</v>
      </c>
      <c r="F822" s="2">
        <v>1848.44</v>
      </c>
      <c r="G822" s="2" t="s">
        <v>2770</v>
      </c>
      <c r="H822" s="2" t="s">
        <v>2771</v>
      </c>
      <c r="I822" s="2" t="s">
        <v>2772</v>
      </c>
    </row>
    <row r="823" ht="15.75" customHeight="1">
      <c r="A823" s="4" t="s">
        <v>974</v>
      </c>
      <c r="B823" s="2" t="s">
        <v>50</v>
      </c>
      <c r="C823" s="2" t="s">
        <v>17</v>
      </c>
      <c r="D823" s="2">
        <v>867.71</v>
      </c>
      <c r="E823" s="2">
        <v>3.0</v>
      </c>
      <c r="F823" s="2">
        <v>2603.13</v>
      </c>
      <c r="G823" s="2" t="s">
        <v>2773</v>
      </c>
      <c r="H823" s="2" t="s">
        <v>2774</v>
      </c>
      <c r="I823" s="2" t="s">
        <v>2775</v>
      </c>
    </row>
    <row r="824" ht="15.75" customHeight="1">
      <c r="A824" s="1" t="s">
        <v>1249</v>
      </c>
      <c r="B824" s="2" t="s">
        <v>16</v>
      </c>
      <c r="C824" s="2" t="s">
        <v>121</v>
      </c>
      <c r="D824" s="2">
        <v>1793.94</v>
      </c>
      <c r="E824" s="2">
        <v>3.0</v>
      </c>
      <c r="F824" s="2">
        <v>5381.82</v>
      </c>
      <c r="G824" s="2" t="s">
        <v>2776</v>
      </c>
      <c r="H824" s="2" t="s">
        <v>2777</v>
      </c>
      <c r="I824" s="2" t="s">
        <v>2778</v>
      </c>
    </row>
    <row r="825" ht="15.75" customHeight="1">
      <c r="A825" s="1" t="s">
        <v>69</v>
      </c>
      <c r="B825" s="2" t="s">
        <v>38</v>
      </c>
      <c r="C825" s="2" t="s">
        <v>91</v>
      </c>
      <c r="D825" s="2">
        <v>2068.34</v>
      </c>
      <c r="E825" s="2">
        <v>2.0</v>
      </c>
      <c r="F825" s="2">
        <v>4136.68</v>
      </c>
      <c r="G825" s="2" t="s">
        <v>2779</v>
      </c>
      <c r="H825" s="2" t="s">
        <v>2780</v>
      </c>
      <c r="I825" s="2" t="s">
        <v>2781</v>
      </c>
    </row>
    <row r="826" ht="15.75" customHeight="1">
      <c r="A826" s="1" t="s">
        <v>939</v>
      </c>
      <c r="B826" s="2" t="s">
        <v>27</v>
      </c>
      <c r="C826" s="2" t="s">
        <v>167</v>
      </c>
      <c r="D826" s="2">
        <v>2469.75</v>
      </c>
      <c r="E826" s="2">
        <v>5.0</v>
      </c>
      <c r="F826" s="2">
        <v>12348.75</v>
      </c>
      <c r="G826" s="2" t="s">
        <v>2782</v>
      </c>
      <c r="H826" s="2" t="s">
        <v>2783</v>
      </c>
      <c r="I826" s="2" t="s">
        <v>2784</v>
      </c>
    </row>
    <row r="827" ht="15.75" customHeight="1">
      <c r="A827" s="1" t="s">
        <v>1011</v>
      </c>
      <c r="B827" s="2" t="s">
        <v>50</v>
      </c>
      <c r="C827" s="2" t="s">
        <v>245</v>
      </c>
      <c r="D827" s="2">
        <v>1268.91</v>
      </c>
      <c r="E827" s="2">
        <v>2.0</v>
      </c>
      <c r="F827" s="2">
        <v>2537.82</v>
      </c>
      <c r="G827" s="2" t="s">
        <v>2785</v>
      </c>
      <c r="H827" s="2" t="s">
        <v>2786</v>
      </c>
      <c r="I827" s="2" t="s">
        <v>2787</v>
      </c>
    </row>
    <row r="828" ht="15.75" customHeight="1">
      <c r="A828" s="1" t="s">
        <v>200</v>
      </c>
      <c r="B828" s="2" t="s">
        <v>50</v>
      </c>
      <c r="C828" s="2" t="s">
        <v>385</v>
      </c>
      <c r="D828" s="2">
        <v>818.61</v>
      </c>
      <c r="E828" s="2">
        <v>3.0</v>
      </c>
      <c r="F828" s="2">
        <v>2455.83</v>
      </c>
      <c r="G828" s="2" t="s">
        <v>2788</v>
      </c>
      <c r="H828" s="2" t="s">
        <v>2789</v>
      </c>
      <c r="I828" s="2" t="s">
        <v>2790</v>
      </c>
    </row>
    <row r="829" ht="15.75" customHeight="1">
      <c r="A829" s="4" t="s">
        <v>1388</v>
      </c>
      <c r="B829" s="2" t="s">
        <v>101</v>
      </c>
      <c r="C829" s="2" t="s">
        <v>245</v>
      </c>
      <c r="D829" s="2">
        <v>500.92</v>
      </c>
      <c r="E829" s="2">
        <v>5.0</v>
      </c>
      <c r="F829" s="2">
        <v>2504.6</v>
      </c>
      <c r="G829" s="2" t="s">
        <v>2791</v>
      </c>
      <c r="H829" s="2" t="s">
        <v>2792</v>
      </c>
      <c r="I829" s="2" t="s">
        <v>2793</v>
      </c>
    </row>
    <row r="830" ht="15.75" customHeight="1">
      <c r="A830" s="4" t="s">
        <v>1395</v>
      </c>
      <c r="B830" s="2" t="s">
        <v>38</v>
      </c>
      <c r="C830" s="2" t="s">
        <v>152</v>
      </c>
      <c r="D830" s="2">
        <v>2247.57</v>
      </c>
      <c r="E830" s="2">
        <v>4.0</v>
      </c>
      <c r="F830" s="2">
        <v>8990.28</v>
      </c>
      <c r="G830" s="2" t="s">
        <v>2794</v>
      </c>
      <c r="H830" s="2" t="s">
        <v>2795</v>
      </c>
      <c r="I830" s="2" t="s">
        <v>2796</v>
      </c>
    </row>
    <row r="831" ht="15.75" customHeight="1">
      <c r="A831" s="1" t="s">
        <v>543</v>
      </c>
      <c r="B831" s="2" t="s">
        <v>85</v>
      </c>
      <c r="C831" s="2" t="s">
        <v>55</v>
      </c>
      <c r="D831" s="2">
        <v>2189.91</v>
      </c>
      <c r="E831" s="2">
        <v>3.0</v>
      </c>
      <c r="F831" s="2">
        <v>6569.73</v>
      </c>
      <c r="G831" s="2" t="s">
        <v>2797</v>
      </c>
      <c r="H831" s="2" t="s">
        <v>2798</v>
      </c>
      <c r="I831" s="2" t="s">
        <v>2799</v>
      </c>
    </row>
    <row r="832" ht="15.75" customHeight="1">
      <c r="A832" s="1" t="s">
        <v>1249</v>
      </c>
      <c r="B832" s="2" t="s">
        <v>85</v>
      </c>
      <c r="C832" s="2" t="s">
        <v>186</v>
      </c>
      <c r="D832" s="2">
        <v>2144.75</v>
      </c>
      <c r="E832" s="2">
        <v>1.0</v>
      </c>
      <c r="F832" s="2">
        <v>2144.75</v>
      </c>
      <c r="G832" s="2" t="s">
        <v>2800</v>
      </c>
      <c r="H832" s="2" t="s">
        <v>2801</v>
      </c>
      <c r="I832" s="2" t="s">
        <v>2802</v>
      </c>
    </row>
    <row r="833" ht="15.75" customHeight="1">
      <c r="A833" s="1" t="s">
        <v>1249</v>
      </c>
      <c r="B833" s="2" t="s">
        <v>16</v>
      </c>
      <c r="C833" s="2" t="s">
        <v>162</v>
      </c>
      <c r="D833" s="2">
        <v>1642.37</v>
      </c>
      <c r="E833" s="2">
        <v>3.0</v>
      </c>
      <c r="F833" s="2">
        <v>4927.11</v>
      </c>
      <c r="G833" s="2" t="s">
        <v>2803</v>
      </c>
      <c r="H833" s="2" t="s">
        <v>2804</v>
      </c>
      <c r="I833" s="2" t="s">
        <v>2805</v>
      </c>
    </row>
    <row r="834" ht="15.75" customHeight="1">
      <c r="A834" s="4" t="s">
        <v>1520</v>
      </c>
      <c r="B834" s="2" t="s">
        <v>38</v>
      </c>
      <c r="C834" s="2" t="s">
        <v>111</v>
      </c>
      <c r="D834" s="2">
        <v>2005.24</v>
      </c>
      <c r="E834" s="2">
        <v>1.0</v>
      </c>
      <c r="F834" s="2">
        <v>2005.24</v>
      </c>
      <c r="G834" s="2" t="s">
        <v>2806</v>
      </c>
      <c r="H834" s="2" t="s">
        <v>2807</v>
      </c>
      <c r="I834" s="2" t="s">
        <v>2808</v>
      </c>
    </row>
    <row r="835" ht="15.75" customHeight="1">
      <c r="A835" s="1" t="s">
        <v>409</v>
      </c>
      <c r="B835" s="2" t="s">
        <v>101</v>
      </c>
      <c r="C835" s="2" t="s">
        <v>172</v>
      </c>
      <c r="D835" s="2">
        <v>1944.02</v>
      </c>
      <c r="E835" s="2">
        <v>1.0</v>
      </c>
      <c r="F835" s="2">
        <v>1944.02</v>
      </c>
      <c r="G835" s="2" t="s">
        <v>2809</v>
      </c>
      <c r="H835" s="2" t="s">
        <v>2810</v>
      </c>
      <c r="I835" s="2" t="s">
        <v>2811</v>
      </c>
    </row>
    <row r="836" ht="15.75" customHeight="1">
      <c r="A836" s="5" t="s">
        <v>306</v>
      </c>
      <c r="B836" s="2" t="s">
        <v>38</v>
      </c>
      <c r="C836" s="2" t="s">
        <v>191</v>
      </c>
      <c r="D836" s="2">
        <v>215.41</v>
      </c>
      <c r="E836" s="2">
        <v>1.0</v>
      </c>
      <c r="F836" s="2">
        <v>215.41</v>
      </c>
      <c r="G836" s="2" t="s">
        <v>2812</v>
      </c>
      <c r="H836" s="2" t="s">
        <v>2813</v>
      </c>
      <c r="I836" s="2" t="s">
        <v>2814</v>
      </c>
    </row>
    <row r="837" ht="15.75" customHeight="1">
      <c r="A837" s="4" t="s">
        <v>1745</v>
      </c>
      <c r="B837" s="2" t="s">
        <v>50</v>
      </c>
      <c r="C837" s="2" t="s">
        <v>147</v>
      </c>
      <c r="D837" s="2">
        <v>2331.11</v>
      </c>
      <c r="E837" s="2">
        <v>4.0</v>
      </c>
      <c r="F837" s="2">
        <v>9324.44</v>
      </c>
      <c r="G837" s="2" t="s">
        <v>2815</v>
      </c>
      <c r="H837" s="2" t="s">
        <v>2816</v>
      </c>
      <c r="I837" s="3" t="s">
        <v>2817</v>
      </c>
    </row>
    <row r="838" ht="15.75" customHeight="1">
      <c r="A838" s="1" t="s">
        <v>15</v>
      </c>
      <c r="B838" s="2" t="s">
        <v>38</v>
      </c>
      <c r="C838" s="2" t="s">
        <v>111</v>
      </c>
      <c r="D838" s="2">
        <v>1966.38</v>
      </c>
      <c r="E838" s="2">
        <v>5.0</v>
      </c>
      <c r="F838" s="2">
        <v>9831.9</v>
      </c>
      <c r="G838" s="2" t="s">
        <v>2818</v>
      </c>
      <c r="H838" s="2" t="s">
        <v>2819</v>
      </c>
      <c r="I838" s="2" t="s">
        <v>2820</v>
      </c>
    </row>
    <row r="839" ht="15.75" customHeight="1">
      <c r="A839" s="1" t="s">
        <v>160</v>
      </c>
      <c r="B839" s="2" t="s">
        <v>85</v>
      </c>
      <c r="C839" s="2" t="s">
        <v>206</v>
      </c>
      <c r="D839" s="2">
        <v>1496.64</v>
      </c>
      <c r="E839" s="2">
        <v>2.0</v>
      </c>
      <c r="F839" s="2">
        <v>2993.28</v>
      </c>
      <c r="G839" s="2" t="s">
        <v>2821</v>
      </c>
      <c r="H839" s="2" t="s">
        <v>2822</v>
      </c>
      <c r="I839" s="2" t="s">
        <v>2823</v>
      </c>
    </row>
    <row r="840" ht="15.75" customHeight="1">
      <c r="A840" s="1" t="s">
        <v>15</v>
      </c>
      <c r="B840" s="2" t="s">
        <v>27</v>
      </c>
      <c r="C840" s="2" t="s">
        <v>172</v>
      </c>
      <c r="D840" s="2">
        <v>2242.47</v>
      </c>
      <c r="E840" s="2">
        <v>4.0</v>
      </c>
      <c r="F840" s="2">
        <v>8969.88</v>
      </c>
      <c r="G840" s="2" t="s">
        <v>2824</v>
      </c>
      <c r="H840" s="2" t="s">
        <v>2825</v>
      </c>
      <c r="I840" s="2" t="s">
        <v>2826</v>
      </c>
    </row>
    <row r="841" ht="15.75" customHeight="1">
      <c r="A841" s="1" t="s">
        <v>285</v>
      </c>
      <c r="B841" s="2" t="s">
        <v>50</v>
      </c>
      <c r="C841" s="2" t="s">
        <v>250</v>
      </c>
      <c r="D841" s="2">
        <v>1507.69</v>
      </c>
      <c r="E841" s="2">
        <v>5.0</v>
      </c>
      <c r="F841" s="2">
        <v>7538.45</v>
      </c>
      <c r="G841" s="2" t="s">
        <v>2827</v>
      </c>
      <c r="H841" s="2" t="s">
        <v>2828</v>
      </c>
      <c r="I841" s="2" t="s">
        <v>2829</v>
      </c>
    </row>
    <row r="842" ht="15.75" customHeight="1">
      <c r="A842" s="1" t="s">
        <v>146</v>
      </c>
      <c r="B842" s="2" t="s">
        <v>27</v>
      </c>
      <c r="C842" s="2" t="s">
        <v>80</v>
      </c>
      <c r="D842" s="2">
        <v>920.71</v>
      </c>
      <c r="E842" s="2">
        <v>4.0</v>
      </c>
      <c r="F842" s="2">
        <v>3682.84</v>
      </c>
      <c r="G842" s="2" t="s">
        <v>2830</v>
      </c>
      <c r="H842" s="2" t="s">
        <v>2831</v>
      </c>
      <c r="I842" s="2" t="s">
        <v>2832</v>
      </c>
    </row>
    <row r="843" ht="15.75" customHeight="1">
      <c r="A843" s="1" t="s">
        <v>195</v>
      </c>
      <c r="B843" s="2" t="s">
        <v>16</v>
      </c>
      <c r="C843" s="2" t="s">
        <v>116</v>
      </c>
      <c r="D843" s="2">
        <v>140.58</v>
      </c>
      <c r="E843" s="2">
        <v>3.0</v>
      </c>
      <c r="F843" s="2">
        <v>421.74</v>
      </c>
      <c r="G843" s="2" t="s">
        <v>2833</v>
      </c>
      <c r="H843" s="2" t="s">
        <v>2834</v>
      </c>
      <c r="I843" s="2" t="s">
        <v>2835</v>
      </c>
    </row>
    <row r="844" ht="15.75" customHeight="1">
      <c r="A844" s="4" t="s">
        <v>1022</v>
      </c>
      <c r="B844" s="2" t="s">
        <v>101</v>
      </c>
      <c r="C844" s="2" t="s">
        <v>65</v>
      </c>
      <c r="D844" s="2">
        <v>1383.94</v>
      </c>
      <c r="E844" s="2">
        <v>3.0</v>
      </c>
      <c r="F844" s="2">
        <v>4151.82</v>
      </c>
      <c r="G844" s="2" t="s">
        <v>2836</v>
      </c>
      <c r="H844" s="2" t="s">
        <v>2837</v>
      </c>
      <c r="I844" s="2" t="s">
        <v>2838</v>
      </c>
    </row>
    <row r="845" ht="15.75" customHeight="1">
      <c r="A845" s="1" t="s">
        <v>1372</v>
      </c>
      <c r="B845" s="2" t="s">
        <v>38</v>
      </c>
      <c r="C845" s="2" t="s">
        <v>55</v>
      </c>
      <c r="D845" s="2">
        <v>806.78</v>
      </c>
      <c r="E845" s="2">
        <v>1.0</v>
      </c>
      <c r="F845" s="2">
        <v>806.78</v>
      </c>
      <c r="G845" s="2" t="s">
        <v>2839</v>
      </c>
      <c r="H845" s="2" t="s">
        <v>2840</v>
      </c>
      <c r="I845" s="2" t="s">
        <v>2841</v>
      </c>
    </row>
    <row r="846" ht="15.75" customHeight="1">
      <c r="A846" s="1" t="s">
        <v>195</v>
      </c>
      <c r="B846" s="2" t="s">
        <v>50</v>
      </c>
      <c r="C846" s="2" t="s">
        <v>39</v>
      </c>
      <c r="D846" s="2">
        <v>1292.41</v>
      </c>
      <c r="E846" s="2">
        <v>5.0</v>
      </c>
      <c r="F846" s="2">
        <v>6462.05</v>
      </c>
      <c r="G846" s="2" t="s">
        <v>2842</v>
      </c>
      <c r="H846" s="2" t="s">
        <v>2843</v>
      </c>
      <c r="I846" s="2" t="s">
        <v>2844</v>
      </c>
    </row>
    <row r="847" ht="15.75" customHeight="1">
      <c r="A847" s="4" t="s">
        <v>1745</v>
      </c>
      <c r="B847" s="2" t="s">
        <v>27</v>
      </c>
      <c r="C847" s="2" t="s">
        <v>348</v>
      </c>
      <c r="D847" s="2">
        <v>1983.71</v>
      </c>
      <c r="E847" s="2">
        <v>2.0</v>
      </c>
      <c r="F847" s="2">
        <v>3967.42</v>
      </c>
      <c r="G847" s="2" t="s">
        <v>2845</v>
      </c>
      <c r="H847" s="2" t="s">
        <v>2846</v>
      </c>
      <c r="I847" s="2" t="s">
        <v>2847</v>
      </c>
    </row>
    <row r="848" ht="15.75" customHeight="1">
      <c r="A848" s="4" t="s">
        <v>120</v>
      </c>
      <c r="B848" s="2" t="s">
        <v>161</v>
      </c>
      <c r="C848" s="2" t="s">
        <v>397</v>
      </c>
      <c r="D848" s="2">
        <v>2390.84</v>
      </c>
      <c r="E848" s="2">
        <v>5.0</v>
      </c>
      <c r="F848" s="2">
        <v>11954.2</v>
      </c>
      <c r="G848" s="2" t="s">
        <v>2848</v>
      </c>
      <c r="H848" s="2" t="s">
        <v>2849</v>
      </c>
      <c r="I848" s="2" t="s">
        <v>2850</v>
      </c>
    </row>
    <row r="849" ht="15.75" customHeight="1">
      <c r="A849" s="1" t="s">
        <v>214</v>
      </c>
      <c r="B849" s="2" t="s">
        <v>85</v>
      </c>
      <c r="C849" s="2" t="s">
        <v>508</v>
      </c>
      <c r="D849" s="2">
        <v>1943.33</v>
      </c>
      <c r="E849" s="2">
        <v>1.0</v>
      </c>
      <c r="F849" s="2">
        <v>1943.33</v>
      </c>
      <c r="G849" s="2" t="s">
        <v>2851</v>
      </c>
      <c r="H849" s="2" t="s">
        <v>2852</v>
      </c>
      <c r="I849" s="2" t="s">
        <v>2853</v>
      </c>
    </row>
    <row r="850" ht="15.75" customHeight="1">
      <c r="A850" s="1" t="s">
        <v>1209</v>
      </c>
      <c r="B850" s="2" t="s">
        <v>16</v>
      </c>
      <c r="C850" s="2" t="s">
        <v>348</v>
      </c>
      <c r="D850" s="2">
        <v>718.69</v>
      </c>
      <c r="E850" s="2">
        <v>4.0</v>
      </c>
      <c r="F850" s="2">
        <v>2874.76</v>
      </c>
      <c r="G850" s="2" t="s">
        <v>2854</v>
      </c>
      <c r="H850" s="2" t="s">
        <v>2855</v>
      </c>
      <c r="I850" s="2" t="s">
        <v>2856</v>
      </c>
    </row>
    <row r="851" ht="15.75" customHeight="1">
      <c r="A851" s="1" t="s">
        <v>417</v>
      </c>
      <c r="B851" s="2" t="s">
        <v>38</v>
      </c>
      <c r="C851" s="2" t="s">
        <v>348</v>
      </c>
      <c r="D851" s="2">
        <v>1979.07</v>
      </c>
      <c r="E851" s="2">
        <v>1.0</v>
      </c>
      <c r="F851" s="2">
        <v>1979.07</v>
      </c>
      <c r="G851" s="2" t="s">
        <v>2857</v>
      </c>
      <c r="H851" s="2" t="s">
        <v>2858</v>
      </c>
      <c r="I851" s="2" t="s">
        <v>2859</v>
      </c>
    </row>
    <row r="852" ht="15.75" customHeight="1">
      <c r="A852" s="1" t="s">
        <v>702</v>
      </c>
      <c r="B852" s="2" t="s">
        <v>38</v>
      </c>
      <c r="C852" s="2" t="s">
        <v>11</v>
      </c>
      <c r="D852" s="2">
        <v>2317.94</v>
      </c>
      <c r="E852" s="2">
        <v>4.0</v>
      </c>
      <c r="F852" s="2">
        <v>9271.76</v>
      </c>
      <c r="G852" s="2" t="s">
        <v>2860</v>
      </c>
      <c r="H852" s="2" t="s">
        <v>2861</v>
      </c>
      <c r="I852" s="2" t="s">
        <v>2862</v>
      </c>
    </row>
    <row r="853" ht="15.75" customHeight="1">
      <c r="A853" s="1" t="s">
        <v>417</v>
      </c>
      <c r="B853" s="2" t="s">
        <v>85</v>
      </c>
      <c r="C853" s="2" t="s">
        <v>22</v>
      </c>
      <c r="D853" s="2">
        <v>1397.8</v>
      </c>
      <c r="E853" s="2">
        <v>2.0</v>
      </c>
      <c r="F853" s="2">
        <v>2795.6</v>
      </c>
      <c r="G853" s="2" t="s">
        <v>2863</v>
      </c>
      <c r="H853" s="2" t="s">
        <v>2864</v>
      </c>
      <c r="I853" s="2" t="s">
        <v>2865</v>
      </c>
    </row>
    <row r="854" ht="15.75" customHeight="1">
      <c r="A854" s="4" t="s">
        <v>49</v>
      </c>
      <c r="B854" s="2" t="s">
        <v>38</v>
      </c>
      <c r="C854" s="2" t="s">
        <v>162</v>
      </c>
      <c r="D854" s="2">
        <v>974.06</v>
      </c>
      <c r="E854" s="2">
        <v>5.0</v>
      </c>
      <c r="F854" s="2">
        <v>4870.3</v>
      </c>
      <c r="G854" s="2" t="s">
        <v>2866</v>
      </c>
      <c r="H854" s="2" t="s">
        <v>2867</v>
      </c>
      <c r="I854" s="2" t="s">
        <v>2868</v>
      </c>
    </row>
    <row r="855" ht="15.75" customHeight="1">
      <c r="A855" s="1" t="s">
        <v>1135</v>
      </c>
      <c r="B855" s="2" t="s">
        <v>101</v>
      </c>
      <c r="C855" s="2" t="s">
        <v>176</v>
      </c>
      <c r="D855" s="2">
        <v>2086.06</v>
      </c>
      <c r="E855" s="2">
        <v>1.0</v>
      </c>
      <c r="F855" s="2">
        <v>2086.06</v>
      </c>
      <c r="G855" s="2" t="s">
        <v>2869</v>
      </c>
      <c r="H855" s="2" t="s">
        <v>2870</v>
      </c>
      <c r="I855" s="2" t="s">
        <v>2871</v>
      </c>
    </row>
    <row r="856" ht="15.75" customHeight="1">
      <c r="A856" s="4" t="s">
        <v>49</v>
      </c>
      <c r="B856" s="2" t="s">
        <v>85</v>
      </c>
      <c r="C856" s="2" t="s">
        <v>196</v>
      </c>
      <c r="D856" s="2">
        <v>1808.15</v>
      </c>
      <c r="E856" s="2">
        <v>2.0</v>
      </c>
      <c r="F856" s="2">
        <v>3616.3</v>
      </c>
      <c r="G856" s="2" t="s">
        <v>2872</v>
      </c>
      <c r="H856" s="2" t="s">
        <v>2873</v>
      </c>
      <c r="I856" s="2" t="s">
        <v>2874</v>
      </c>
    </row>
    <row r="857" ht="15.75" customHeight="1">
      <c r="A857" s="1" t="s">
        <v>543</v>
      </c>
      <c r="B857" s="2" t="s">
        <v>85</v>
      </c>
      <c r="C857" s="2" t="s">
        <v>28</v>
      </c>
      <c r="D857" s="2">
        <v>1130.03</v>
      </c>
      <c r="E857" s="2">
        <v>5.0</v>
      </c>
      <c r="F857" s="2">
        <v>5650.15</v>
      </c>
      <c r="G857" s="2" t="s">
        <v>2875</v>
      </c>
      <c r="H857" s="2" t="s">
        <v>2876</v>
      </c>
      <c r="I857" s="2" t="s">
        <v>2877</v>
      </c>
    </row>
    <row r="858" ht="15.75" customHeight="1">
      <c r="A858" s="1" t="s">
        <v>1011</v>
      </c>
      <c r="B858" s="2" t="s">
        <v>50</v>
      </c>
      <c r="C858" s="2" t="s">
        <v>698</v>
      </c>
      <c r="D858" s="2">
        <v>903.41</v>
      </c>
      <c r="E858" s="2">
        <v>3.0</v>
      </c>
      <c r="F858" s="2">
        <v>2710.23</v>
      </c>
      <c r="G858" s="2" t="s">
        <v>2878</v>
      </c>
      <c r="H858" s="2" t="s">
        <v>2879</v>
      </c>
      <c r="I858" s="2" t="s">
        <v>2880</v>
      </c>
    </row>
    <row r="859" ht="15.75" customHeight="1">
      <c r="A859" s="1" t="s">
        <v>877</v>
      </c>
      <c r="B859" s="2" t="s">
        <v>27</v>
      </c>
      <c r="C859" s="2" t="s">
        <v>22</v>
      </c>
      <c r="D859" s="2">
        <v>379.64</v>
      </c>
      <c r="E859" s="2">
        <v>3.0</v>
      </c>
      <c r="F859" s="2">
        <v>1138.92</v>
      </c>
      <c r="G859" s="2" t="s">
        <v>2881</v>
      </c>
      <c r="H859" s="2" t="s">
        <v>2882</v>
      </c>
      <c r="I859" s="2" t="s">
        <v>2883</v>
      </c>
    </row>
    <row r="860" ht="15.75" customHeight="1">
      <c r="A860" s="1" t="s">
        <v>1091</v>
      </c>
      <c r="B860" s="2" t="s">
        <v>38</v>
      </c>
      <c r="C860" s="2" t="s">
        <v>176</v>
      </c>
      <c r="D860" s="2">
        <v>554.25</v>
      </c>
      <c r="E860" s="2">
        <v>1.0</v>
      </c>
      <c r="F860" s="2">
        <v>554.25</v>
      </c>
      <c r="G860" s="2" t="s">
        <v>2884</v>
      </c>
      <c r="H860" s="2" t="s">
        <v>2885</v>
      </c>
      <c r="I860" s="2" t="s">
        <v>2886</v>
      </c>
    </row>
    <row r="861" ht="15.75" customHeight="1">
      <c r="A861" s="4" t="s">
        <v>1745</v>
      </c>
      <c r="B861" s="2" t="s">
        <v>101</v>
      </c>
      <c r="C861" s="2" t="s">
        <v>116</v>
      </c>
      <c r="D861" s="2">
        <v>1832.19</v>
      </c>
      <c r="E861" s="2">
        <v>1.0</v>
      </c>
      <c r="F861" s="2">
        <v>1832.19</v>
      </c>
      <c r="G861" s="2" t="s">
        <v>2887</v>
      </c>
      <c r="H861" s="2" t="s">
        <v>2888</v>
      </c>
      <c r="I861" s="2" t="s">
        <v>2889</v>
      </c>
    </row>
    <row r="862" ht="15.75" customHeight="1">
      <c r="A862" s="1" t="s">
        <v>543</v>
      </c>
      <c r="B862" s="2" t="s">
        <v>50</v>
      </c>
      <c r="C862" s="2" t="s">
        <v>191</v>
      </c>
      <c r="D862" s="2">
        <v>1485.74</v>
      </c>
      <c r="E862" s="2">
        <v>3.0</v>
      </c>
      <c r="F862" s="2">
        <v>4457.22</v>
      </c>
      <c r="G862" s="2" t="s">
        <v>2890</v>
      </c>
      <c r="H862" s="2" t="s">
        <v>2891</v>
      </c>
      <c r="I862" s="2" t="s">
        <v>2892</v>
      </c>
    </row>
    <row r="863" ht="15.75" customHeight="1">
      <c r="A863" s="4" t="s">
        <v>859</v>
      </c>
      <c r="B863" s="2" t="s">
        <v>101</v>
      </c>
      <c r="C863" s="2" t="s">
        <v>70</v>
      </c>
      <c r="D863" s="2">
        <v>1699.32</v>
      </c>
      <c r="E863" s="2">
        <v>4.0</v>
      </c>
      <c r="F863" s="2">
        <v>6797.28</v>
      </c>
      <c r="G863" s="2" t="s">
        <v>2893</v>
      </c>
      <c r="H863" s="2" t="s">
        <v>2894</v>
      </c>
      <c r="I863" s="2" t="s">
        <v>2895</v>
      </c>
    </row>
    <row r="864" ht="15.75" customHeight="1">
      <c r="A864" s="4" t="s">
        <v>994</v>
      </c>
      <c r="B864" s="2" t="s">
        <v>50</v>
      </c>
      <c r="C864" s="2" t="s">
        <v>206</v>
      </c>
      <c r="D864" s="2">
        <v>1780.69</v>
      </c>
      <c r="E864" s="2">
        <v>4.0</v>
      </c>
      <c r="F864" s="2">
        <v>7122.76</v>
      </c>
      <c r="G864" s="2" t="s">
        <v>2896</v>
      </c>
      <c r="H864" s="2" t="s">
        <v>2897</v>
      </c>
      <c r="I864" s="2" t="s">
        <v>2898</v>
      </c>
    </row>
    <row r="865" ht="15.75" customHeight="1">
      <c r="A865" s="4" t="s">
        <v>1745</v>
      </c>
      <c r="B865" s="2" t="s">
        <v>27</v>
      </c>
      <c r="C865" s="2" t="s">
        <v>235</v>
      </c>
      <c r="D865" s="2">
        <v>484.68</v>
      </c>
      <c r="E865" s="2">
        <v>5.0</v>
      </c>
      <c r="F865" s="2">
        <v>2423.4</v>
      </c>
      <c r="G865" s="2" t="s">
        <v>2899</v>
      </c>
      <c r="H865" s="2" t="s">
        <v>2900</v>
      </c>
      <c r="I865" s="2" t="s">
        <v>2901</v>
      </c>
    </row>
    <row r="866" ht="15.75" customHeight="1">
      <c r="A866" s="4" t="s">
        <v>1579</v>
      </c>
      <c r="B866" s="2" t="s">
        <v>16</v>
      </c>
      <c r="C866" s="2" t="s">
        <v>206</v>
      </c>
      <c r="D866" s="2">
        <v>583.8</v>
      </c>
      <c r="E866" s="2">
        <v>5.0</v>
      </c>
      <c r="F866" s="2">
        <v>2919.0</v>
      </c>
      <c r="G866" s="2" t="s">
        <v>2902</v>
      </c>
      <c r="H866" s="2" t="s">
        <v>2903</v>
      </c>
      <c r="I866" s="2" t="s">
        <v>2904</v>
      </c>
    </row>
    <row r="867" ht="15.75" customHeight="1">
      <c r="A867" s="1" t="s">
        <v>903</v>
      </c>
      <c r="B867" s="2" t="s">
        <v>101</v>
      </c>
      <c r="C867" s="2" t="s">
        <v>70</v>
      </c>
      <c r="D867" s="2">
        <v>579.54</v>
      </c>
      <c r="E867" s="2">
        <v>3.0</v>
      </c>
      <c r="F867" s="2">
        <v>1738.62</v>
      </c>
      <c r="G867" s="2" t="s">
        <v>2905</v>
      </c>
      <c r="H867" s="2" t="s">
        <v>2906</v>
      </c>
      <c r="I867" s="2" t="s">
        <v>2907</v>
      </c>
    </row>
    <row r="868" ht="15.75" customHeight="1">
      <c r="A868" s="1" t="s">
        <v>911</v>
      </c>
      <c r="B868" s="2" t="s">
        <v>50</v>
      </c>
      <c r="C868" s="2" t="s">
        <v>250</v>
      </c>
      <c r="D868" s="2">
        <v>1615.43</v>
      </c>
      <c r="E868" s="2">
        <v>5.0</v>
      </c>
      <c r="F868" s="2">
        <v>8077.15</v>
      </c>
      <c r="G868" s="2" t="s">
        <v>2908</v>
      </c>
      <c r="H868" s="2" t="s">
        <v>2909</v>
      </c>
      <c r="I868" s="2" t="s">
        <v>2910</v>
      </c>
    </row>
    <row r="869" ht="15.75" customHeight="1">
      <c r="A869" s="1" t="s">
        <v>335</v>
      </c>
      <c r="B869" s="2" t="s">
        <v>101</v>
      </c>
      <c r="C869" s="2" t="s">
        <v>65</v>
      </c>
      <c r="D869" s="2">
        <v>489.63</v>
      </c>
      <c r="E869" s="2">
        <v>1.0</v>
      </c>
      <c r="F869" s="2">
        <v>489.63</v>
      </c>
      <c r="G869" s="2" t="s">
        <v>2911</v>
      </c>
      <c r="H869" s="2" t="s">
        <v>2912</v>
      </c>
      <c r="I869" s="2" t="s">
        <v>2913</v>
      </c>
    </row>
    <row r="870" ht="15.75" customHeight="1">
      <c r="A870" s="4" t="s">
        <v>120</v>
      </c>
      <c r="B870" s="2" t="s">
        <v>27</v>
      </c>
      <c r="C870" s="2" t="s">
        <v>116</v>
      </c>
      <c r="D870" s="2">
        <v>1415.48</v>
      </c>
      <c r="E870" s="2">
        <v>1.0</v>
      </c>
      <c r="F870" s="2">
        <v>1415.48</v>
      </c>
      <c r="G870" s="2" t="s">
        <v>2914</v>
      </c>
      <c r="H870" s="2" t="s">
        <v>2915</v>
      </c>
      <c r="I870" s="2" t="s">
        <v>2916</v>
      </c>
    </row>
    <row r="871" ht="15.75" customHeight="1">
      <c r="A871" s="4" t="s">
        <v>1301</v>
      </c>
      <c r="B871" s="2" t="s">
        <v>50</v>
      </c>
      <c r="C871" s="2" t="s">
        <v>33</v>
      </c>
      <c r="D871" s="2">
        <v>613.16</v>
      </c>
      <c r="E871" s="2">
        <v>1.0</v>
      </c>
      <c r="F871" s="2">
        <v>613.16</v>
      </c>
      <c r="G871" s="2" t="s">
        <v>2917</v>
      </c>
      <c r="H871" s="2" t="s">
        <v>2918</v>
      </c>
      <c r="I871" s="2" t="s">
        <v>2919</v>
      </c>
    </row>
    <row r="872" ht="15.75" customHeight="1">
      <c r="A872" s="4" t="s">
        <v>1498</v>
      </c>
      <c r="B872" s="2" t="s">
        <v>38</v>
      </c>
      <c r="C872" s="2" t="s">
        <v>135</v>
      </c>
      <c r="D872" s="2">
        <v>1295.8</v>
      </c>
      <c r="E872" s="2">
        <v>1.0</v>
      </c>
      <c r="F872" s="2">
        <v>1295.8</v>
      </c>
      <c r="G872" s="2" t="s">
        <v>2920</v>
      </c>
      <c r="H872" s="2" t="s">
        <v>2921</v>
      </c>
      <c r="I872" s="2" t="s">
        <v>2922</v>
      </c>
    </row>
    <row r="873" ht="15.75" customHeight="1">
      <c r="A873" s="1" t="s">
        <v>214</v>
      </c>
      <c r="B873" s="2" t="s">
        <v>27</v>
      </c>
      <c r="C873" s="2" t="s">
        <v>172</v>
      </c>
      <c r="D873" s="2">
        <v>2040.92</v>
      </c>
      <c r="E873" s="2">
        <v>1.0</v>
      </c>
      <c r="F873" s="2">
        <v>2040.92</v>
      </c>
      <c r="G873" s="2" t="s">
        <v>2923</v>
      </c>
      <c r="H873" s="2" t="s">
        <v>2924</v>
      </c>
      <c r="I873" s="2" t="s">
        <v>2925</v>
      </c>
    </row>
    <row r="874" ht="15.75" customHeight="1">
      <c r="A874" s="1" t="s">
        <v>1035</v>
      </c>
      <c r="B874" s="2" t="s">
        <v>27</v>
      </c>
      <c r="C874" s="2" t="s">
        <v>206</v>
      </c>
      <c r="D874" s="2">
        <v>1441.97</v>
      </c>
      <c r="E874" s="2">
        <v>3.0</v>
      </c>
      <c r="F874" s="2">
        <v>4325.91</v>
      </c>
      <c r="G874" s="2" t="s">
        <v>2926</v>
      </c>
      <c r="H874" s="2" t="s">
        <v>2927</v>
      </c>
      <c r="I874" s="2" t="s">
        <v>2928</v>
      </c>
    </row>
    <row r="875" ht="15.75" customHeight="1">
      <c r="A875" s="4" t="s">
        <v>1007</v>
      </c>
      <c r="B875" s="2" t="s">
        <v>85</v>
      </c>
      <c r="C875" s="2" t="s">
        <v>250</v>
      </c>
      <c r="D875" s="2">
        <v>1081.59</v>
      </c>
      <c r="E875" s="2">
        <v>3.0</v>
      </c>
      <c r="F875" s="2">
        <v>3244.77</v>
      </c>
      <c r="G875" s="2" t="s">
        <v>2929</v>
      </c>
      <c r="H875" s="2" t="s">
        <v>2930</v>
      </c>
      <c r="I875" s="2" t="s">
        <v>2931</v>
      </c>
    </row>
    <row r="876" ht="15.75" customHeight="1">
      <c r="A876" s="1" t="s">
        <v>356</v>
      </c>
      <c r="B876" s="2" t="s">
        <v>50</v>
      </c>
      <c r="C876" s="2" t="s">
        <v>245</v>
      </c>
      <c r="D876" s="2">
        <v>1901.74</v>
      </c>
      <c r="E876" s="2">
        <v>4.0</v>
      </c>
      <c r="F876" s="2">
        <v>7606.96</v>
      </c>
      <c r="G876" s="2" t="s">
        <v>2932</v>
      </c>
      <c r="H876" s="2" t="s">
        <v>2933</v>
      </c>
      <c r="I876" s="2" t="s">
        <v>2934</v>
      </c>
    </row>
    <row r="877" ht="15.75" customHeight="1">
      <c r="A877" s="4" t="s">
        <v>1745</v>
      </c>
      <c r="B877" s="2" t="s">
        <v>50</v>
      </c>
      <c r="C877" s="2" t="s">
        <v>22</v>
      </c>
      <c r="D877" s="2">
        <v>231.5</v>
      </c>
      <c r="E877" s="2">
        <v>1.0</v>
      </c>
      <c r="F877" s="2">
        <v>231.5</v>
      </c>
      <c r="G877" s="2" t="s">
        <v>2935</v>
      </c>
      <c r="H877" s="2" t="s">
        <v>2936</v>
      </c>
      <c r="I877" s="2" t="s">
        <v>2937</v>
      </c>
    </row>
    <row r="878" ht="15.75" customHeight="1">
      <c r="A878" s="1" t="s">
        <v>1481</v>
      </c>
      <c r="B878" s="2" t="s">
        <v>38</v>
      </c>
      <c r="C878" s="2" t="s">
        <v>22</v>
      </c>
      <c r="D878" s="2">
        <v>724.28</v>
      </c>
      <c r="E878" s="2">
        <v>4.0</v>
      </c>
      <c r="F878" s="2">
        <v>2897.12</v>
      </c>
      <c r="G878" s="2" t="s">
        <v>2938</v>
      </c>
      <c r="H878" s="2" t="s">
        <v>2939</v>
      </c>
      <c r="I878" s="2" t="s">
        <v>2940</v>
      </c>
    </row>
    <row r="879" ht="15.75" customHeight="1">
      <c r="A879" s="4" t="s">
        <v>949</v>
      </c>
      <c r="B879" s="2" t="s">
        <v>27</v>
      </c>
      <c r="C879" s="2" t="s">
        <v>360</v>
      </c>
      <c r="D879" s="2">
        <v>1796.72</v>
      </c>
      <c r="E879" s="2">
        <v>4.0</v>
      </c>
      <c r="F879" s="2">
        <v>7186.88</v>
      </c>
      <c r="G879" s="2" t="s">
        <v>2941</v>
      </c>
      <c r="H879" s="2" t="s">
        <v>2942</v>
      </c>
      <c r="I879" s="2" t="s">
        <v>2943</v>
      </c>
    </row>
    <row r="880" ht="15.75" customHeight="1">
      <c r="A880" s="1" t="s">
        <v>285</v>
      </c>
      <c r="B880" s="2" t="s">
        <v>101</v>
      </c>
      <c r="C880" s="2" t="s">
        <v>45</v>
      </c>
      <c r="D880" s="2">
        <v>2086.91</v>
      </c>
      <c r="E880" s="2">
        <v>5.0</v>
      </c>
      <c r="F880" s="2">
        <v>10434.55</v>
      </c>
      <c r="G880" s="2" t="s">
        <v>2944</v>
      </c>
      <c r="H880" s="2" t="s">
        <v>2945</v>
      </c>
      <c r="I880" s="2" t="s">
        <v>2946</v>
      </c>
    </row>
    <row r="881" ht="15.75" customHeight="1">
      <c r="A881" s="1" t="s">
        <v>911</v>
      </c>
      <c r="B881" s="2" t="s">
        <v>38</v>
      </c>
      <c r="C881" s="2" t="s">
        <v>17</v>
      </c>
      <c r="D881" s="2">
        <v>411.02</v>
      </c>
      <c r="E881" s="2">
        <v>1.0</v>
      </c>
      <c r="F881" s="2">
        <v>411.02</v>
      </c>
      <c r="G881" s="2" t="s">
        <v>2947</v>
      </c>
      <c r="H881" s="2" t="s">
        <v>2948</v>
      </c>
      <c r="I881" s="2" t="s">
        <v>2949</v>
      </c>
    </row>
    <row r="882" ht="15.75" customHeight="1">
      <c r="A882" s="4" t="s">
        <v>1342</v>
      </c>
      <c r="B882" s="2" t="s">
        <v>50</v>
      </c>
      <c r="C882" s="2" t="s">
        <v>245</v>
      </c>
      <c r="D882" s="2">
        <v>1064.4</v>
      </c>
      <c r="E882" s="2">
        <v>3.0</v>
      </c>
      <c r="F882" s="2">
        <v>3193.2</v>
      </c>
      <c r="G882" s="2" t="s">
        <v>2950</v>
      </c>
      <c r="H882" s="2" t="s">
        <v>2951</v>
      </c>
      <c r="I882" s="2" t="s">
        <v>2952</v>
      </c>
    </row>
    <row r="883" ht="15.75" customHeight="1">
      <c r="A883" s="4" t="s">
        <v>1520</v>
      </c>
      <c r="B883" s="2" t="s">
        <v>101</v>
      </c>
      <c r="C883" s="2" t="s">
        <v>55</v>
      </c>
      <c r="D883" s="2">
        <v>1381.5</v>
      </c>
      <c r="E883" s="2">
        <v>5.0</v>
      </c>
      <c r="F883" s="2">
        <v>6907.5</v>
      </c>
      <c r="G883" s="2" t="s">
        <v>2953</v>
      </c>
      <c r="H883" s="2" t="s">
        <v>2954</v>
      </c>
      <c r="I883" s="2" t="s">
        <v>2955</v>
      </c>
    </row>
    <row r="884" ht="15.75" customHeight="1">
      <c r="A884" s="1" t="s">
        <v>762</v>
      </c>
      <c r="B884" s="2" t="s">
        <v>27</v>
      </c>
      <c r="C884" s="2" t="s">
        <v>206</v>
      </c>
      <c r="D884" s="2">
        <v>201.31</v>
      </c>
      <c r="E884" s="2">
        <v>5.0</v>
      </c>
      <c r="F884" s="2">
        <v>1006.55</v>
      </c>
      <c r="G884" s="2" t="s">
        <v>2956</v>
      </c>
      <c r="H884" s="2" t="s">
        <v>2957</v>
      </c>
      <c r="I884" s="2" t="s">
        <v>2958</v>
      </c>
    </row>
    <row r="885" ht="15.75" customHeight="1">
      <c r="A885" s="4" t="s">
        <v>915</v>
      </c>
      <c r="B885" s="2" t="s">
        <v>101</v>
      </c>
      <c r="C885" s="2" t="s">
        <v>33</v>
      </c>
      <c r="D885" s="2">
        <v>1083.12</v>
      </c>
      <c r="E885" s="2">
        <v>1.0</v>
      </c>
      <c r="F885" s="2">
        <v>1083.12</v>
      </c>
      <c r="G885" s="2" t="s">
        <v>2959</v>
      </c>
      <c r="H885" s="2" t="s">
        <v>2960</v>
      </c>
      <c r="I885" s="2" t="s">
        <v>2961</v>
      </c>
    </row>
    <row r="886" ht="15.75" customHeight="1">
      <c r="A886" s="4" t="s">
        <v>49</v>
      </c>
      <c r="B886" s="2" t="s">
        <v>85</v>
      </c>
      <c r="C886" s="2" t="s">
        <v>55</v>
      </c>
      <c r="D886" s="2">
        <v>1969.69</v>
      </c>
      <c r="E886" s="2">
        <v>4.0</v>
      </c>
      <c r="F886" s="2">
        <v>7878.76</v>
      </c>
      <c r="G886" s="2" t="s">
        <v>2962</v>
      </c>
      <c r="H886" s="2" t="s">
        <v>2963</v>
      </c>
      <c r="I886" s="2" t="s">
        <v>2964</v>
      </c>
    </row>
    <row r="887" ht="15.75" customHeight="1">
      <c r="A887" s="4" t="s">
        <v>239</v>
      </c>
      <c r="B887" s="2" t="s">
        <v>16</v>
      </c>
      <c r="C887" s="2" t="s">
        <v>70</v>
      </c>
      <c r="D887" s="2">
        <v>2498.64</v>
      </c>
      <c r="E887" s="2">
        <v>2.0</v>
      </c>
      <c r="F887" s="2">
        <v>4997.28</v>
      </c>
      <c r="G887" s="2" t="s">
        <v>2965</v>
      </c>
      <c r="H887" s="2" t="s">
        <v>2966</v>
      </c>
      <c r="I887" s="2" t="s">
        <v>2967</v>
      </c>
    </row>
    <row r="888" ht="15.75" customHeight="1">
      <c r="A888" s="1" t="s">
        <v>797</v>
      </c>
      <c r="B888" s="2" t="s">
        <v>101</v>
      </c>
      <c r="C888" s="2" t="s">
        <v>147</v>
      </c>
      <c r="D888" s="2">
        <v>314.84</v>
      </c>
      <c r="E888" s="2">
        <v>1.0</v>
      </c>
      <c r="F888" s="2">
        <v>314.84</v>
      </c>
      <c r="G888" s="2" t="s">
        <v>2968</v>
      </c>
      <c r="H888" s="2" t="s">
        <v>2969</v>
      </c>
      <c r="I888" s="2" t="s">
        <v>2970</v>
      </c>
    </row>
    <row r="889" ht="15.75" customHeight="1">
      <c r="A889" s="4" t="s">
        <v>1007</v>
      </c>
      <c r="B889" s="2" t="s">
        <v>38</v>
      </c>
      <c r="C889" s="2" t="s">
        <v>807</v>
      </c>
      <c r="D889" s="2">
        <v>752.58</v>
      </c>
      <c r="E889" s="2">
        <v>2.0</v>
      </c>
      <c r="F889" s="2">
        <v>1505.16</v>
      </c>
      <c r="G889" s="2" t="s">
        <v>2971</v>
      </c>
      <c r="H889" s="2" t="s">
        <v>2972</v>
      </c>
      <c r="I889" s="2" t="s">
        <v>2973</v>
      </c>
    </row>
    <row r="890" ht="15.75" customHeight="1">
      <c r="A890" s="1" t="s">
        <v>200</v>
      </c>
      <c r="B890" s="2" t="s">
        <v>2974</v>
      </c>
      <c r="C890" s="2" t="s">
        <v>11</v>
      </c>
      <c r="D890" s="2">
        <v>2389.97</v>
      </c>
      <c r="E890" s="2">
        <v>3.0</v>
      </c>
      <c r="F890" s="2">
        <v>7169.91</v>
      </c>
      <c r="G890" s="2" t="s">
        <v>2975</v>
      </c>
      <c r="H890" s="2" t="s">
        <v>2976</v>
      </c>
      <c r="I890" s="2" t="s">
        <v>2977</v>
      </c>
    </row>
    <row r="891" ht="15.75" customHeight="1">
      <c r="A891" s="4" t="s">
        <v>974</v>
      </c>
      <c r="B891" s="2" t="s">
        <v>27</v>
      </c>
      <c r="C891" s="2" t="s">
        <v>28</v>
      </c>
      <c r="D891" s="2">
        <v>2374.3</v>
      </c>
      <c r="E891" s="2">
        <v>1.0</v>
      </c>
      <c r="F891" s="2">
        <v>2374.3</v>
      </c>
      <c r="G891" s="2" t="s">
        <v>2978</v>
      </c>
      <c r="H891" s="2" t="s">
        <v>2979</v>
      </c>
      <c r="I891" s="2" t="s">
        <v>2980</v>
      </c>
    </row>
    <row r="892" ht="15.75" customHeight="1">
      <c r="A892" s="4" t="s">
        <v>1104</v>
      </c>
      <c r="B892" s="2" t="s">
        <v>38</v>
      </c>
      <c r="C892" s="2" t="s">
        <v>360</v>
      </c>
      <c r="D892" s="2">
        <v>532.35</v>
      </c>
      <c r="E892" s="2">
        <v>3.0</v>
      </c>
      <c r="F892" s="2">
        <v>1597.05</v>
      </c>
      <c r="G892" s="2" t="s">
        <v>2981</v>
      </c>
      <c r="H892" s="2" t="s">
        <v>2982</v>
      </c>
      <c r="I892" s="2" t="s">
        <v>2983</v>
      </c>
    </row>
    <row r="893" ht="15.75" customHeight="1">
      <c r="A893" s="4" t="s">
        <v>884</v>
      </c>
      <c r="B893" s="2" t="s">
        <v>50</v>
      </c>
      <c r="C893" s="2" t="s">
        <v>226</v>
      </c>
      <c r="D893" s="2">
        <v>1490.14</v>
      </c>
      <c r="E893" s="2">
        <v>1.0</v>
      </c>
      <c r="F893" s="2">
        <v>1490.14</v>
      </c>
      <c r="G893" s="2" t="s">
        <v>2984</v>
      </c>
      <c r="H893" s="2" t="s">
        <v>2985</v>
      </c>
      <c r="I893" s="2" t="s">
        <v>2986</v>
      </c>
    </row>
    <row r="894" ht="15.75" customHeight="1">
      <c r="A894" s="1" t="s">
        <v>69</v>
      </c>
      <c r="B894" s="2" t="s">
        <v>16</v>
      </c>
      <c r="C894" s="2" t="s">
        <v>152</v>
      </c>
      <c r="D894" s="2">
        <v>1390.26</v>
      </c>
      <c r="E894" s="2">
        <v>1.0</v>
      </c>
      <c r="F894" s="2">
        <v>1390.26</v>
      </c>
      <c r="G894" s="2" t="s">
        <v>2987</v>
      </c>
      <c r="H894" s="2" t="s">
        <v>2988</v>
      </c>
      <c r="I894" s="2" t="s">
        <v>2989</v>
      </c>
    </row>
    <row r="895" ht="15.75" customHeight="1">
      <c r="A895" s="1" t="s">
        <v>966</v>
      </c>
      <c r="B895" s="2" t="s">
        <v>16</v>
      </c>
      <c r="C895" s="2" t="s">
        <v>162</v>
      </c>
      <c r="D895" s="2">
        <v>494.57</v>
      </c>
      <c r="E895" s="2">
        <v>1.0</v>
      </c>
      <c r="F895" s="2">
        <v>494.57</v>
      </c>
      <c r="G895" s="2" t="s">
        <v>2990</v>
      </c>
      <c r="H895" s="2" t="s">
        <v>2991</v>
      </c>
      <c r="I895" s="2" t="s">
        <v>2992</v>
      </c>
    </row>
    <row r="896" ht="15.75" customHeight="1">
      <c r="A896" s="1" t="s">
        <v>877</v>
      </c>
      <c r="B896" s="2" t="s">
        <v>85</v>
      </c>
      <c r="C896" s="2" t="s">
        <v>500</v>
      </c>
      <c r="D896" s="2">
        <v>1582.73</v>
      </c>
      <c r="E896" s="2">
        <v>2.0</v>
      </c>
      <c r="F896" s="2">
        <v>3165.46</v>
      </c>
      <c r="G896" s="2" t="s">
        <v>2993</v>
      </c>
      <c r="H896" s="2" t="s">
        <v>2994</v>
      </c>
      <c r="I896" s="2" t="s">
        <v>2995</v>
      </c>
    </row>
    <row r="897" ht="15.75" customHeight="1">
      <c r="A897" s="4" t="s">
        <v>1022</v>
      </c>
      <c r="B897" s="2" t="s">
        <v>85</v>
      </c>
      <c r="C897" s="2" t="s">
        <v>226</v>
      </c>
      <c r="D897" s="2">
        <v>812.41</v>
      </c>
      <c r="E897" s="2">
        <v>5.0</v>
      </c>
      <c r="F897" s="2">
        <v>4062.05</v>
      </c>
      <c r="G897" s="2" t="s">
        <v>2996</v>
      </c>
      <c r="H897" s="2" t="s">
        <v>2997</v>
      </c>
      <c r="I897" s="2" t="s">
        <v>2998</v>
      </c>
    </row>
    <row r="898" ht="15.75" customHeight="1">
      <c r="A898" s="1" t="s">
        <v>836</v>
      </c>
      <c r="B898" s="2" t="s">
        <v>101</v>
      </c>
      <c r="C898" s="2" t="s">
        <v>80</v>
      </c>
      <c r="D898" s="2">
        <v>432.18</v>
      </c>
      <c r="E898" s="2">
        <v>1.0</v>
      </c>
      <c r="F898" s="2">
        <v>432.18</v>
      </c>
      <c r="G898" s="2" t="s">
        <v>2999</v>
      </c>
      <c r="H898" s="2" t="s">
        <v>3000</v>
      </c>
      <c r="I898" s="2" t="s">
        <v>3001</v>
      </c>
    </row>
    <row r="899" ht="15.75" customHeight="1">
      <c r="A899" s="4" t="s">
        <v>327</v>
      </c>
      <c r="B899" s="2" t="s">
        <v>50</v>
      </c>
      <c r="C899" s="2" t="s">
        <v>152</v>
      </c>
      <c r="D899" s="2">
        <v>1603.02</v>
      </c>
      <c r="E899" s="2">
        <v>4.0</v>
      </c>
      <c r="F899" s="2">
        <v>6412.08</v>
      </c>
      <c r="G899" s="2" t="s">
        <v>3002</v>
      </c>
      <c r="H899" s="2" t="s">
        <v>3003</v>
      </c>
      <c r="I899" s="2" t="s">
        <v>3004</v>
      </c>
    </row>
    <row r="900" ht="15.75" customHeight="1">
      <c r="A900" s="1" t="s">
        <v>1135</v>
      </c>
      <c r="B900" s="2" t="s">
        <v>101</v>
      </c>
      <c r="C900" s="2" t="s">
        <v>147</v>
      </c>
      <c r="D900" s="2">
        <v>2019.54</v>
      </c>
      <c r="E900" s="2">
        <v>3.0</v>
      </c>
      <c r="F900" s="2">
        <v>6058.62</v>
      </c>
      <c r="G900" s="2" t="s">
        <v>3005</v>
      </c>
      <c r="H900" s="2" t="s">
        <v>3006</v>
      </c>
      <c r="I900" s="2" t="s">
        <v>3007</v>
      </c>
    </row>
    <row r="901" ht="15.75" customHeight="1">
      <c r="A901" s="1" t="s">
        <v>15</v>
      </c>
      <c r="B901" s="2" t="s">
        <v>27</v>
      </c>
      <c r="C901" s="2" t="s">
        <v>235</v>
      </c>
      <c r="D901" s="2">
        <v>1896.1</v>
      </c>
      <c r="E901" s="2">
        <v>2.0</v>
      </c>
      <c r="F901" s="2">
        <v>3792.2</v>
      </c>
      <c r="G901" s="2" t="s">
        <v>3008</v>
      </c>
      <c r="H901" s="2" t="s">
        <v>3009</v>
      </c>
      <c r="I901" s="2" t="s">
        <v>3010</v>
      </c>
    </row>
    <row r="902" ht="15.75" customHeight="1">
      <c r="A902" s="1" t="s">
        <v>380</v>
      </c>
      <c r="B902" s="2" t="s">
        <v>27</v>
      </c>
      <c r="C902" s="2" t="s">
        <v>39</v>
      </c>
      <c r="D902" s="2">
        <v>226.52</v>
      </c>
      <c r="E902" s="2">
        <v>2.0</v>
      </c>
      <c r="F902" s="2">
        <v>453.04</v>
      </c>
      <c r="G902" s="2" t="s">
        <v>3011</v>
      </c>
      <c r="H902" s="2" t="s">
        <v>3012</v>
      </c>
      <c r="I902" s="2" t="s">
        <v>3013</v>
      </c>
    </row>
    <row r="903" ht="15.75" customHeight="1">
      <c r="A903" s="1" t="s">
        <v>1045</v>
      </c>
      <c r="B903" s="2" t="s">
        <v>101</v>
      </c>
      <c r="C903" s="2" t="s">
        <v>33</v>
      </c>
      <c r="D903" s="2">
        <v>2334.37</v>
      </c>
      <c r="E903" s="2">
        <v>1.0</v>
      </c>
      <c r="F903" s="2">
        <v>2334.37</v>
      </c>
      <c r="G903" s="2" t="s">
        <v>3014</v>
      </c>
      <c r="H903" s="2" t="s">
        <v>3015</v>
      </c>
      <c r="I903" s="2" t="s">
        <v>3016</v>
      </c>
    </row>
    <row r="904" ht="15.75" customHeight="1">
      <c r="A904" s="4" t="s">
        <v>2468</v>
      </c>
      <c r="B904" s="2" t="s">
        <v>27</v>
      </c>
      <c r="C904" s="2" t="s">
        <v>348</v>
      </c>
      <c r="D904" s="2">
        <v>2180.21</v>
      </c>
      <c r="E904" s="2">
        <v>3.0</v>
      </c>
      <c r="F904" s="2">
        <v>6540.63</v>
      </c>
      <c r="G904" s="2" t="s">
        <v>3017</v>
      </c>
      <c r="H904" s="2" t="s">
        <v>3018</v>
      </c>
      <c r="I904" s="2" t="s">
        <v>3019</v>
      </c>
    </row>
    <row r="905" ht="15.75" customHeight="1">
      <c r="A905" s="4" t="s">
        <v>1714</v>
      </c>
      <c r="B905" s="2" t="s">
        <v>38</v>
      </c>
      <c r="C905" s="2" t="s">
        <v>508</v>
      </c>
      <c r="D905" s="2">
        <v>2439.67</v>
      </c>
      <c r="E905" s="2">
        <v>2.0</v>
      </c>
      <c r="F905" s="2">
        <v>4879.34</v>
      </c>
      <c r="G905" s="2" t="s">
        <v>3020</v>
      </c>
      <c r="H905" s="2" t="s">
        <v>3021</v>
      </c>
      <c r="I905" s="2" t="s">
        <v>3022</v>
      </c>
    </row>
    <row r="906" ht="15.75" customHeight="1">
      <c r="A906" s="4" t="s">
        <v>327</v>
      </c>
      <c r="B906" s="2" t="s">
        <v>38</v>
      </c>
      <c r="C906" s="2" t="s">
        <v>226</v>
      </c>
      <c r="D906" s="2">
        <v>1076.71</v>
      </c>
      <c r="E906" s="2">
        <v>3.0</v>
      </c>
      <c r="F906" s="2">
        <v>3230.13</v>
      </c>
      <c r="G906" s="2" t="s">
        <v>3023</v>
      </c>
      <c r="H906" s="2" t="s">
        <v>3024</v>
      </c>
      <c r="I906" s="2" t="s">
        <v>3025</v>
      </c>
    </row>
    <row r="907" ht="15.75" customHeight="1">
      <c r="A907" s="4" t="s">
        <v>105</v>
      </c>
      <c r="B907" s="2" t="s">
        <v>16</v>
      </c>
      <c r="C907" s="2" t="s">
        <v>206</v>
      </c>
      <c r="D907" s="2">
        <v>1163.04</v>
      </c>
      <c r="E907" s="2">
        <v>1.0</v>
      </c>
      <c r="F907" s="2">
        <v>1163.04</v>
      </c>
      <c r="G907" s="2" t="s">
        <v>3026</v>
      </c>
      <c r="H907" s="2" t="s">
        <v>3027</v>
      </c>
      <c r="I907" s="2" t="s">
        <v>3028</v>
      </c>
    </row>
    <row r="908" ht="15.75" customHeight="1">
      <c r="A908" s="4" t="s">
        <v>1551</v>
      </c>
      <c r="B908" s="2" t="s">
        <v>27</v>
      </c>
      <c r="C908" s="2" t="s">
        <v>3029</v>
      </c>
      <c r="D908" s="2">
        <v>1701.36</v>
      </c>
      <c r="E908" s="2">
        <v>3.0</v>
      </c>
      <c r="F908" s="2">
        <v>5104.08</v>
      </c>
      <c r="G908" s="2" t="s">
        <v>3030</v>
      </c>
      <c r="H908" s="2" t="s">
        <v>3031</v>
      </c>
      <c r="I908" s="2" t="s">
        <v>3032</v>
      </c>
    </row>
    <row r="909" ht="15.75" customHeight="1">
      <c r="A909" s="1" t="s">
        <v>866</v>
      </c>
      <c r="B909" s="2" t="s">
        <v>50</v>
      </c>
      <c r="C909" s="2" t="s">
        <v>172</v>
      </c>
      <c r="D909" s="2">
        <v>1892.73</v>
      </c>
      <c r="E909" s="2">
        <v>5.0</v>
      </c>
      <c r="F909" s="2">
        <v>9463.65</v>
      </c>
      <c r="G909" s="2" t="s">
        <v>3033</v>
      </c>
      <c r="H909" s="2" t="s">
        <v>3034</v>
      </c>
      <c r="I909" s="2" t="s">
        <v>3035</v>
      </c>
    </row>
    <row r="910" ht="15.75" customHeight="1">
      <c r="A910" s="1" t="s">
        <v>1189</v>
      </c>
      <c r="B910" s="2" t="s">
        <v>16</v>
      </c>
      <c r="C910" s="2" t="s">
        <v>176</v>
      </c>
      <c r="D910" s="2">
        <v>1097.51</v>
      </c>
      <c r="E910" s="2">
        <v>1.0</v>
      </c>
      <c r="F910" s="2">
        <v>1097.51</v>
      </c>
      <c r="G910" s="2" t="s">
        <v>3036</v>
      </c>
      <c r="H910" s="2" t="s">
        <v>3037</v>
      </c>
      <c r="I910" s="2" t="s">
        <v>3038</v>
      </c>
    </row>
    <row r="911" ht="15.75" customHeight="1">
      <c r="A911" s="1" t="s">
        <v>877</v>
      </c>
      <c r="B911" s="2" t="s">
        <v>38</v>
      </c>
      <c r="C911" s="2" t="s">
        <v>186</v>
      </c>
      <c r="D911" s="2">
        <v>1362.97</v>
      </c>
      <c r="E911" s="2">
        <v>1.0</v>
      </c>
      <c r="F911" s="2">
        <v>1362.97</v>
      </c>
      <c r="G911" s="2" t="s">
        <v>3039</v>
      </c>
      <c r="H911" s="2" t="s">
        <v>3040</v>
      </c>
      <c r="I911" s="2" t="s">
        <v>3041</v>
      </c>
    </row>
    <row r="912" ht="15.75" customHeight="1">
      <c r="A912" s="1" t="s">
        <v>214</v>
      </c>
      <c r="B912" s="2" t="s">
        <v>85</v>
      </c>
      <c r="C912" s="2" t="s">
        <v>452</v>
      </c>
      <c r="D912" s="2">
        <v>1626.83</v>
      </c>
      <c r="E912" s="2">
        <v>1.0</v>
      </c>
      <c r="F912" s="2">
        <v>1626.83</v>
      </c>
      <c r="G912" s="2" t="s">
        <v>3042</v>
      </c>
      <c r="H912" s="2" t="s">
        <v>3043</v>
      </c>
      <c r="I912" s="3" t="s">
        <v>3044</v>
      </c>
    </row>
    <row r="913" ht="15.75" customHeight="1">
      <c r="A913" s="1" t="s">
        <v>272</v>
      </c>
      <c r="B913" s="2" t="s">
        <v>27</v>
      </c>
      <c r="C913" s="2" t="s">
        <v>11</v>
      </c>
      <c r="D913" s="2">
        <v>292.99</v>
      </c>
      <c r="E913" s="2">
        <v>1.0</v>
      </c>
      <c r="F913" s="2">
        <v>292.99</v>
      </c>
      <c r="G913" s="2" t="s">
        <v>3045</v>
      </c>
      <c r="H913" s="2" t="s">
        <v>3046</v>
      </c>
      <c r="I913" s="2" t="s">
        <v>3047</v>
      </c>
    </row>
    <row r="914" ht="15.75" customHeight="1">
      <c r="A914" s="1" t="s">
        <v>543</v>
      </c>
      <c r="B914" s="2" t="s">
        <v>27</v>
      </c>
      <c r="C914" s="2" t="s">
        <v>152</v>
      </c>
      <c r="D914" s="2">
        <v>1570.12</v>
      </c>
      <c r="E914" s="2">
        <v>3.0</v>
      </c>
      <c r="F914" s="2">
        <v>4710.36</v>
      </c>
      <c r="G914" s="2" t="s">
        <v>3048</v>
      </c>
      <c r="H914" s="2" t="s">
        <v>3049</v>
      </c>
      <c r="I914" s="2" t="s">
        <v>3050</v>
      </c>
    </row>
    <row r="915" ht="15.75" customHeight="1">
      <c r="A915" s="1" t="s">
        <v>939</v>
      </c>
      <c r="B915" s="2" t="s">
        <v>101</v>
      </c>
      <c r="C915" s="2" t="s">
        <v>91</v>
      </c>
      <c r="D915" s="2">
        <v>2174.89</v>
      </c>
      <c r="E915" s="2">
        <v>2.0</v>
      </c>
      <c r="F915" s="2">
        <v>4349.78</v>
      </c>
      <c r="G915" s="2" t="s">
        <v>3051</v>
      </c>
      <c r="H915" s="2" t="s">
        <v>3052</v>
      </c>
      <c r="I915" s="2" t="s">
        <v>3053</v>
      </c>
    </row>
    <row r="916" ht="15.75" customHeight="1">
      <c r="A916" s="4" t="s">
        <v>1663</v>
      </c>
      <c r="B916" s="2" t="s">
        <v>50</v>
      </c>
      <c r="C916" s="2" t="s">
        <v>172</v>
      </c>
      <c r="D916" s="2">
        <v>1288.12</v>
      </c>
      <c r="E916" s="2">
        <v>1.0</v>
      </c>
      <c r="F916" s="2">
        <v>1288.12</v>
      </c>
      <c r="G916" s="2" t="s">
        <v>3054</v>
      </c>
      <c r="H916" s="2" t="s">
        <v>3055</v>
      </c>
      <c r="I916" s="2" t="s">
        <v>3056</v>
      </c>
    </row>
    <row r="917" ht="15.75" customHeight="1">
      <c r="A917" s="1" t="s">
        <v>1249</v>
      </c>
      <c r="B917" s="2" t="s">
        <v>50</v>
      </c>
      <c r="C917" s="2" t="s">
        <v>86</v>
      </c>
      <c r="D917" s="2">
        <v>158.82</v>
      </c>
      <c r="E917" s="2">
        <v>2.0</v>
      </c>
      <c r="F917" s="2">
        <v>317.64</v>
      </c>
      <c r="G917" s="2" t="s">
        <v>3057</v>
      </c>
      <c r="H917" s="2" t="s">
        <v>3058</v>
      </c>
      <c r="I917" s="2" t="s">
        <v>3059</v>
      </c>
    </row>
    <row r="918" ht="15.75" customHeight="1">
      <c r="A918" s="1" t="s">
        <v>285</v>
      </c>
      <c r="B918" s="2" t="s">
        <v>50</v>
      </c>
      <c r="C918" s="2" t="s">
        <v>201</v>
      </c>
      <c r="D918" s="2">
        <v>1092.96</v>
      </c>
      <c r="E918" s="2">
        <v>4.0</v>
      </c>
      <c r="F918" s="2">
        <v>4371.84</v>
      </c>
      <c r="G918" s="2" t="s">
        <v>3060</v>
      </c>
      <c r="H918" s="2" t="s">
        <v>3061</v>
      </c>
      <c r="I918" s="2" t="s">
        <v>3062</v>
      </c>
    </row>
    <row r="919" ht="15.75" customHeight="1">
      <c r="A919" s="1" t="s">
        <v>702</v>
      </c>
      <c r="B919" s="2" t="s">
        <v>16</v>
      </c>
      <c r="C919" s="2" t="s">
        <v>593</v>
      </c>
      <c r="D919" s="2">
        <v>722.95</v>
      </c>
      <c r="E919" s="2">
        <v>3.0</v>
      </c>
      <c r="F919" s="2">
        <v>2168.85</v>
      </c>
      <c r="G919" s="2" t="s">
        <v>3063</v>
      </c>
      <c r="H919" s="2" t="s">
        <v>3064</v>
      </c>
      <c r="I919" s="2" t="s">
        <v>3065</v>
      </c>
    </row>
    <row r="920" ht="15.75" customHeight="1">
      <c r="A920" s="1" t="s">
        <v>15</v>
      </c>
      <c r="B920" s="2" t="s">
        <v>16</v>
      </c>
      <c r="C920" s="2" t="s">
        <v>116</v>
      </c>
      <c r="D920" s="2">
        <v>829.53</v>
      </c>
      <c r="E920" s="2">
        <v>4.0</v>
      </c>
      <c r="F920" s="2">
        <v>3318.12</v>
      </c>
      <c r="G920" s="2" t="s">
        <v>3066</v>
      </c>
      <c r="H920" s="2" t="s">
        <v>3067</v>
      </c>
      <c r="I920" s="2" t="s">
        <v>3068</v>
      </c>
    </row>
    <row r="921" ht="15.75" customHeight="1">
      <c r="A921" s="4" t="s">
        <v>1714</v>
      </c>
      <c r="B921" s="2" t="s">
        <v>101</v>
      </c>
      <c r="C921" s="2" t="s">
        <v>226</v>
      </c>
      <c r="D921" s="2">
        <v>680.45</v>
      </c>
      <c r="E921" s="2">
        <v>4.0</v>
      </c>
      <c r="F921" s="2">
        <v>2721.8</v>
      </c>
      <c r="G921" s="2" t="s">
        <v>3069</v>
      </c>
      <c r="H921" s="2" t="s">
        <v>3070</v>
      </c>
      <c r="I921" s="2" t="s">
        <v>3071</v>
      </c>
    </row>
    <row r="922" ht="15.75" customHeight="1">
      <c r="A922" s="4" t="s">
        <v>49</v>
      </c>
      <c r="B922" s="2" t="s">
        <v>27</v>
      </c>
      <c r="C922" s="2" t="s">
        <v>226</v>
      </c>
      <c r="D922" s="2">
        <v>2351.13</v>
      </c>
      <c r="E922" s="2">
        <v>1.0</v>
      </c>
      <c r="F922" s="2">
        <v>2351.13</v>
      </c>
      <c r="G922" s="2" t="s">
        <v>3072</v>
      </c>
      <c r="H922" s="2" t="s">
        <v>3073</v>
      </c>
      <c r="I922" s="2" t="s">
        <v>3074</v>
      </c>
    </row>
    <row r="923" ht="15.75" customHeight="1">
      <c r="A923" s="1" t="s">
        <v>953</v>
      </c>
      <c r="B923" s="2" t="s">
        <v>101</v>
      </c>
      <c r="C923" s="2" t="s">
        <v>360</v>
      </c>
      <c r="D923" s="2">
        <v>792.6</v>
      </c>
      <c r="E923" s="2">
        <v>5.0</v>
      </c>
      <c r="F923" s="2">
        <v>3963.0</v>
      </c>
      <c r="G923" s="2" t="s">
        <v>3075</v>
      </c>
      <c r="H923" s="2" t="s">
        <v>3076</v>
      </c>
      <c r="I923" s="2" t="s">
        <v>3077</v>
      </c>
    </row>
    <row r="924" ht="15.75" customHeight="1">
      <c r="A924" s="1" t="s">
        <v>1372</v>
      </c>
      <c r="B924" s="2" t="s">
        <v>85</v>
      </c>
      <c r="C924" s="2" t="s">
        <v>28</v>
      </c>
      <c r="D924" s="2">
        <v>741.53</v>
      </c>
      <c r="E924" s="2">
        <v>3.0</v>
      </c>
      <c r="F924" s="2">
        <v>2224.59</v>
      </c>
      <c r="G924" s="2" t="s">
        <v>3078</v>
      </c>
      <c r="H924" s="2" t="s">
        <v>3079</v>
      </c>
      <c r="I924" s="2" t="s">
        <v>3080</v>
      </c>
    </row>
    <row r="925" ht="15.75" customHeight="1">
      <c r="A925" s="1" t="s">
        <v>367</v>
      </c>
      <c r="B925" s="2" t="s">
        <v>38</v>
      </c>
      <c r="C925" s="2" t="s">
        <v>369</v>
      </c>
      <c r="D925" s="2">
        <v>72.37</v>
      </c>
      <c r="E925" s="2">
        <v>4.0</v>
      </c>
      <c r="F925" s="2">
        <v>289.48</v>
      </c>
      <c r="G925" s="2" t="s">
        <v>3081</v>
      </c>
      <c r="H925" s="2" t="s">
        <v>3082</v>
      </c>
      <c r="I925" s="2" t="s">
        <v>3083</v>
      </c>
    </row>
    <row r="926" ht="15.75" customHeight="1">
      <c r="A926" s="1" t="s">
        <v>702</v>
      </c>
      <c r="B926" s="2" t="s">
        <v>50</v>
      </c>
      <c r="C926" s="2" t="s">
        <v>1015</v>
      </c>
      <c r="D926" s="2">
        <v>242.27</v>
      </c>
      <c r="E926" s="2">
        <v>1.0</v>
      </c>
      <c r="F926" s="2">
        <v>242.27</v>
      </c>
      <c r="G926" s="2" t="s">
        <v>3084</v>
      </c>
      <c r="H926" s="2" t="s">
        <v>3085</v>
      </c>
      <c r="I926" s="2" t="s">
        <v>3086</v>
      </c>
    </row>
    <row r="927" ht="15.75" customHeight="1">
      <c r="A927" s="4" t="s">
        <v>2468</v>
      </c>
      <c r="B927" s="2" t="s">
        <v>38</v>
      </c>
      <c r="C927" s="2" t="s">
        <v>245</v>
      </c>
      <c r="D927" s="2">
        <v>2097.38</v>
      </c>
      <c r="E927" s="2">
        <v>2.0</v>
      </c>
      <c r="F927" s="2">
        <v>4194.76</v>
      </c>
      <c r="G927" s="2" t="s">
        <v>3087</v>
      </c>
      <c r="H927" s="2" t="s">
        <v>3088</v>
      </c>
      <c r="I927" s="2" t="s">
        <v>3089</v>
      </c>
    </row>
    <row r="928" ht="15.75" customHeight="1">
      <c r="A928" s="1" t="s">
        <v>562</v>
      </c>
      <c r="B928" s="2" t="s">
        <v>27</v>
      </c>
      <c r="C928" s="2" t="s">
        <v>196</v>
      </c>
      <c r="D928" s="2">
        <v>270.83</v>
      </c>
      <c r="E928" s="2">
        <v>3.0</v>
      </c>
      <c r="F928" s="2">
        <v>812.49</v>
      </c>
      <c r="G928" s="2" t="s">
        <v>3090</v>
      </c>
      <c r="H928" s="2" t="s">
        <v>3091</v>
      </c>
      <c r="I928" s="2" t="s">
        <v>3092</v>
      </c>
    </row>
    <row r="929" ht="15.75" customHeight="1">
      <c r="A929" s="4" t="s">
        <v>2468</v>
      </c>
      <c r="B929" s="2" t="s">
        <v>16</v>
      </c>
      <c r="C929" s="2" t="s">
        <v>91</v>
      </c>
      <c r="D929" s="2">
        <v>494.09</v>
      </c>
      <c r="E929" s="2">
        <v>4.0</v>
      </c>
      <c r="F929" s="2">
        <v>1976.36</v>
      </c>
      <c r="G929" s="2" t="s">
        <v>3093</v>
      </c>
      <c r="H929" s="2" t="s">
        <v>3094</v>
      </c>
      <c r="I929" s="2" t="s">
        <v>3095</v>
      </c>
    </row>
    <row r="930" ht="15.75" customHeight="1">
      <c r="A930" s="1" t="s">
        <v>1683</v>
      </c>
      <c r="B930" s="2" t="s">
        <v>50</v>
      </c>
      <c r="C930" s="2" t="s">
        <v>111</v>
      </c>
      <c r="D930" s="2">
        <v>1984.42</v>
      </c>
      <c r="E930" s="2">
        <v>4.0</v>
      </c>
      <c r="F930" s="2">
        <v>7937.68</v>
      </c>
      <c r="G930" s="2" t="s">
        <v>3096</v>
      </c>
      <c r="H930" s="2" t="s">
        <v>3097</v>
      </c>
      <c r="I930" s="2" t="s">
        <v>3098</v>
      </c>
    </row>
    <row r="931" ht="15.75" customHeight="1">
      <c r="A931" s="1" t="s">
        <v>1035</v>
      </c>
      <c r="B931" s="2" t="s">
        <v>16</v>
      </c>
      <c r="C931" s="2" t="s">
        <v>181</v>
      </c>
      <c r="D931" s="2">
        <v>992.95</v>
      </c>
      <c r="E931" s="2">
        <v>3.0</v>
      </c>
      <c r="F931" s="2">
        <v>2978.85</v>
      </c>
      <c r="G931" s="2" t="s">
        <v>3099</v>
      </c>
      <c r="H931" s="2" t="s">
        <v>3100</v>
      </c>
      <c r="I931" s="2" t="s">
        <v>3101</v>
      </c>
    </row>
    <row r="932" ht="15.75" customHeight="1">
      <c r="A932" s="4" t="s">
        <v>1714</v>
      </c>
      <c r="B932" s="2" t="s">
        <v>27</v>
      </c>
      <c r="C932" s="2" t="s">
        <v>147</v>
      </c>
      <c r="D932" s="2">
        <v>2230.77</v>
      </c>
      <c r="E932" s="2">
        <v>5.0</v>
      </c>
      <c r="F932" s="2">
        <v>11153.85</v>
      </c>
      <c r="G932" s="2" t="s">
        <v>3102</v>
      </c>
      <c r="H932" s="2" t="s">
        <v>3103</v>
      </c>
      <c r="I932" s="2" t="s">
        <v>3104</v>
      </c>
    </row>
    <row r="933" ht="15.75" customHeight="1">
      <c r="A933" s="4" t="s">
        <v>327</v>
      </c>
      <c r="B933" s="2" t="s">
        <v>85</v>
      </c>
      <c r="C933" s="2" t="s">
        <v>28</v>
      </c>
      <c r="D933" s="2">
        <v>1203.25</v>
      </c>
      <c r="E933" s="2">
        <v>4.0</v>
      </c>
      <c r="F933" s="2">
        <v>4813.0</v>
      </c>
      <c r="G933" s="2" t="s">
        <v>3105</v>
      </c>
      <c r="H933" s="2" t="s">
        <v>3106</v>
      </c>
      <c r="I933" s="2" t="s">
        <v>3107</v>
      </c>
    </row>
    <row r="934" ht="15.75" customHeight="1">
      <c r="A934" s="4" t="s">
        <v>974</v>
      </c>
      <c r="B934" s="2" t="s">
        <v>85</v>
      </c>
      <c r="C934" s="2" t="s">
        <v>96</v>
      </c>
      <c r="D934" s="2">
        <v>1912.01</v>
      </c>
      <c r="E934" s="2">
        <v>4.0</v>
      </c>
      <c r="F934" s="2">
        <v>7648.04</v>
      </c>
      <c r="G934" s="2" t="s">
        <v>3108</v>
      </c>
      <c r="H934" s="2" t="s">
        <v>3109</v>
      </c>
      <c r="I934" s="2" t="s">
        <v>3110</v>
      </c>
    </row>
    <row r="935" ht="15.75" customHeight="1">
      <c r="A935" s="4" t="s">
        <v>1663</v>
      </c>
      <c r="B935" s="2" t="s">
        <v>27</v>
      </c>
      <c r="C935" s="2" t="s">
        <v>250</v>
      </c>
      <c r="D935" s="2">
        <v>2049.26</v>
      </c>
      <c r="E935" s="2">
        <v>5.0</v>
      </c>
      <c r="F935" s="2">
        <v>10246.3</v>
      </c>
      <c r="G935" s="2" t="s">
        <v>3111</v>
      </c>
      <c r="H935" s="2" t="s">
        <v>3112</v>
      </c>
      <c r="I935" s="2" t="s">
        <v>3113</v>
      </c>
    </row>
    <row r="936" ht="15.75" customHeight="1">
      <c r="A936" s="4" t="s">
        <v>1395</v>
      </c>
      <c r="B936" s="2" t="s">
        <v>27</v>
      </c>
      <c r="C936" s="2" t="s">
        <v>508</v>
      </c>
      <c r="D936" s="2">
        <v>1088.33</v>
      </c>
      <c r="E936" s="2">
        <v>4.0</v>
      </c>
      <c r="F936" s="2">
        <v>4353.32</v>
      </c>
      <c r="G936" s="2" t="s">
        <v>3114</v>
      </c>
      <c r="H936" s="2" t="s">
        <v>3115</v>
      </c>
      <c r="I936" s="2" t="s">
        <v>3116</v>
      </c>
    </row>
    <row r="937" ht="15.75" customHeight="1">
      <c r="A937" s="1" t="s">
        <v>146</v>
      </c>
      <c r="B937" s="2" t="s">
        <v>50</v>
      </c>
      <c r="C937" s="2" t="s">
        <v>397</v>
      </c>
      <c r="D937" s="2">
        <v>1089.03</v>
      </c>
      <c r="E937" s="2">
        <v>5.0</v>
      </c>
      <c r="F937" s="2">
        <v>5445.15</v>
      </c>
      <c r="G937" s="2" t="s">
        <v>3117</v>
      </c>
      <c r="H937" s="2" t="s">
        <v>3118</v>
      </c>
      <c r="I937" s="2" t="s">
        <v>3119</v>
      </c>
    </row>
    <row r="938" ht="15.75" customHeight="1">
      <c r="A938" s="1" t="s">
        <v>1120</v>
      </c>
      <c r="B938" s="2" t="s">
        <v>101</v>
      </c>
      <c r="C938" s="2" t="s">
        <v>360</v>
      </c>
      <c r="D938" s="2">
        <v>155.7</v>
      </c>
      <c r="E938" s="2">
        <v>5.0</v>
      </c>
      <c r="F938" s="2">
        <v>778.5</v>
      </c>
      <c r="G938" s="2" t="s">
        <v>3120</v>
      </c>
      <c r="H938" s="2" t="s">
        <v>3121</v>
      </c>
      <c r="I938" s="2" t="s">
        <v>3122</v>
      </c>
    </row>
    <row r="939" ht="15.75" customHeight="1">
      <c r="A939" s="1" t="s">
        <v>1124</v>
      </c>
      <c r="B939" s="2" t="s">
        <v>16</v>
      </c>
      <c r="C939" s="2" t="s">
        <v>11</v>
      </c>
      <c r="D939" s="2">
        <v>716.29</v>
      </c>
      <c r="E939" s="2">
        <v>1.0</v>
      </c>
      <c r="F939" s="2">
        <v>716.29</v>
      </c>
      <c r="G939" s="2" t="s">
        <v>3123</v>
      </c>
      <c r="H939" s="2" t="s">
        <v>3124</v>
      </c>
      <c r="I939" s="2" t="s">
        <v>3125</v>
      </c>
    </row>
    <row r="940" ht="15.75" customHeight="1">
      <c r="A940" s="1" t="s">
        <v>380</v>
      </c>
      <c r="B940" s="2" t="s">
        <v>50</v>
      </c>
      <c r="C940" s="2" t="s">
        <v>91</v>
      </c>
      <c r="D940" s="2">
        <v>1922.79</v>
      </c>
      <c r="E940" s="2">
        <v>3.0</v>
      </c>
      <c r="F940" s="2">
        <v>5768.37</v>
      </c>
      <c r="G940" s="2" t="s">
        <v>3126</v>
      </c>
      <c r="H940" s="2" t="s">
        <v>3127</v>
      </c>
      <c r="I940" s="2" t="s">
        <v>3128</v>
      </c>
    </row>
    <row r="941" ht="15.75" customHeight="1">
      <c r="A941" s="1" t="s">
        <v>618</v>
      </c>
      <c r="B941" s="2" t="s">
        <v>16</v>
      </c>
      <c r="C941" s="2" t="s">
        <v>33</v>
      </c>
      <c r="D941" s="2">
        <v>1992.15</v>
      </c>
      <c r="E941" s="2">
        <v>2.0</v>
      </c>
      <c r="F941" s="2">
        <v>3984.3</v>
      </c>
      <c r="G941" s="2" t="s">
        <v>3129</v>
      </c>
      <c r="H941" s="2" t="s">
        <v>3130</v>
      </c>
      <c r="I941" s="2" t="s">
        <v>3131</v>
      </c>
    </row>
    <row r="942" ht="15.75" customHeight="1">
      <c r="A942" s="1" t="s">
        <v>1135</v>
      </c>
      <c r="B942" s="2" t="s">
        <v>85</v>
      </c>
      <c r="C942" s="2" t="s">
        <v>176</v>
      </c>
      <c r="D942" s="2">
        <v>823.08</v>
      </c>
      <c r="E942" s="2">
        <v>4.0</v>
      </c>
      <c r="F942" s="2">
        <v>3292.32</v>
      </c>
      <c r="G942" s="2" t="s">
        <v>3132</v>
      </c>
      <c r="H942" s="2" t="s">
        <v>3133</v>
      </c>
      <c r="I942" s="2" t="s">
        <v>3134</v>
      </c>
    </row>
    <row r="943" ht="15.75" customHeight="1">
      <c r="A943" s="1" t="s">
        <v>1139</v>
      </c>
      <c r="B943" s="2" t="s">
        <v>27</v>
      </c>
      <c r="C943" s="2" t="s">
        <v>385</v>
      </c>
      <c r="D943" s="2">
        <v>1753.0</v>
      </c>
      <c r="E943" s="2">
        <v>5.0</v>
      </c>
      <c r="F943" s="2">
        <v>8765.0</v>
      </c>
      <c r="G943" s="2" t="s">
        <v>3135</v>
      </c>
      <c r="H943" s="2" t="s">
        <v>3136</v>
      </c>
      <c r="I943" s="2" t="s">
        <v>3137</v>
      </c>
    </row>
    <row r="944" ht="15.75" customHeight="1">
      <c r="A944" s="1" t="s">
        <v>966</v>
      </c>
      <c r="B944" s="2" t="s">
        <v>85</v>
      </c>
      <c r="C944" s="2" t="s">
        <v>22</v>
      </c>
      <c r="D944" s="2">
        <v>2145.76</v>
      </c>
      <c r="E944" s="2">
        <v>5.0</v>
      </c>
      <c r="F944" s="2">
        <v>10728.8</v>
      </c>
      <c r="G944" s="2" t="s">
        <v>3138</v>
      </c>
      <c r="H944" s="2" t="s">
        <v>3139</v>
      </c>
      <c r="I944" s="2" t="s">
        <v>3140</v>
      </c>
    </row>
    <row r="945" ht="15.75" customHeight="1">
      <c r="A945" s="1" t="s">
        <v>37</v>
      </c>
      <c r="B945" s="2" t="s">
        <v>85</v>
      </c>
      <c r="C945" s="2" t="s">
        <v>162</v>
      </c>
      <c r="D945" s="2">
        <v>1826.03</v>
      </c>
      <c r="E945" s="2">
        <v>2.0</v>
      </c>
      <c r="F945" s="2">
        <v>3652.06</v>
      </c>
      <c r="G945" s="2" t="s">
        <v>3141</v>
      </c>
      <c r="H945" s="2" t="s">
        <v>3142</v>
      </c>
      <c r="I945" s="2" t="s">
        <v>3143</v>
      </c>
    </row>
    <row r="946" ht="15.75" customHeight="1">
      <c r="A946" s="1" t="s">
        <v>622</v>
      </c>
      <c r="B946" s="2" t="s">
        <v>27</v>
      </c>
      <c r="C946" s="2" t="s">
        <v>191</v>
      </c>
      <c r="D946" s="2">
        <v>174.28</v>
      </c>
      <c r="E946" s="2">
        <v>1.0</v>
      </c>
      <c r="F946" s="2">
        <v>174.28</v>
      </c>
      <c r="G946" s="2" t="s">
        <v>3144</v>
      </c>
      <c r="H946" s="2" t="s">
        <v>3145</v>
      </c>
      <c r="I946" s="2" t="s">
        <v>3146</v>
      </c>
    </row>
    <row r="947" ht="15.75" customHeight="1">
      <c r="A947" s="1" t="s">
        <v>1045</v>
      </c>
      <c r="B947" s="2" t="s">
        <v>38</v>
      </c>
      <c r="C947" s="2" t="s">
        <v>226</v>
      </c>
      <c r="D947" s="2">
        <v>648.35</v>
      </c>
      <c r="E947" s="2">
        <v>5.0</v>
      </c>
      <c r="F947" s="2">
        <v>3241.75</v>
      </c>
      <c r="G947" s="2" t="s">
        <v>3147</v>
      </c>
      <c r="H947" s="2" t="s">
        <v>3148</v>
      </c>
      <c r="I947" s="2" t="s">
        <v>3149</v>
      </c>
    </row>
    <row r="948" ht="15.75" customHeight="1">
      <c r="A948" s="1" t="s">
        <v>1035</v>
      </c>
      <c r="B948" s="2" t="s">
        <v>27</v>
      </c>
      <c r="C948" s="2" t="s">
        <v>191</v>
      </c>
      <c r="D948" s="2">
        <v>456.65</v>
      </c>
      <c r="E948" s="2">
        <v>2.0</v>
      </c>
      <c r="F948" s="2">
        <v>913.3</v>
      </c>
      <c r="G948" s="2" t="s">
        <v>3150</v>
      </c>
      <c r="H948" s="2" t="s">
        <v>3151</v>
      </c>
      <c r="I948" s="2" t="s">
        <v>3152</v>
      </c>
    </row>
    <row r="949" ht="15.75" customHeight="1">
      <c r="A949" s="1" t="s">
        <v>1158</v>
      </c>
      <c r="B949" s="2" t="s">
        <v>50</v>
      </c>
      <c r="C949" s="2" t="s">
        <v>86</v>
      </c>
      <c r="D949" s="2">
        <v>1566.88</v>
      </c>
      <c r="E949" s="2">
        <v>3.0</v>
      </c>
      <c r="F949" s="2">
        <v>4700.64</v>
      </c>
      <c r="G949" s="2" t="s">
        <v>3153</v>
      </c>
      <c r="H949" s="2" t="s">
        <v>3154</v>
      </c>
      <c r="I949" s="2" t="s">
        <v>3155</v>
      </c>
    </row>
    <row r="950" ht="15.75" customHeight="1">
      <c r="A950" s="1" t="s">
        <v>1058</v>
      </c>
      <c r="B950" s="2" t="s">
        <v>101</v>
      </c>
      <c r="C950" s="2" t="s">
        <v>33</v>
      </c>
      <c r="D950" s="2">
        <v>1880.14</v>
      </c>
      <c r="E950" s="2">
        <v>1.0</v>
      </c>
      <c r="F950" s="2">
        <v>1880.14</v>
      </c>
      <c r="G950" s="2" t="s">
        <v>3156</v>
      </c>
      <c r="H950" s="2" t="s">
        <v>3157</v>
      </c>
      <c r="I950" s="2" t="s">
        <v>3158</v>
      </c>
    </row>
    <row r="951" ht="15.75" customHeight="1">
      <c r="A951" s="1" t="s">
        <v>1165</v>
      </c>
      <c r="B951" s="2" t="s">
        <v>27</v>
      </c>
      <c r="C951" s="2" t="s">
        <v>135</v>
      </c>
      <c r="D951" s="2">
        <v>2377.34</v>
      </c>
      <c r="E951" s="2">
        <v>2.0</v>
      </c>
      <c r="F951" s="2">
        <v>4754.68</v>
      </c>
      <c r="G951" s="2" t="s">
        <v>3159</v>
      </c>
      <c r="H951" s="2" t="s">
        <v>3160</v>
      </c>
      <c r="I951" s="2" t="s">
        <v>3161</v>
      </c>
    </row>
    <row r="952" ht="15.75" customHeight="1">
      <c r="A952" s="1" t="s">
        <v>953</v>
      </c>
      <c r="B952" s="2" t="s">
        <v>101</v>
      </c>
      <c r="C952" s="2" t="s">
        <v>508</v>
      </c>
      <c r="D952" s="2">
        <v>1811.9</v>
      </c>
      <c r="E952" s="2">
        <v>1.0</v>
      </c>
      <c r="F952" s="2">
        <v>1811.9</v>
      </c>
      <c r="G952" s="2" t="s">
        <v>3162</v>
      </c>
      <c r="H952" s="2" t="s">
        <v>3163</v>
      </c>
      <c r="I952" s="2" t="s">
        <v>3164</v>
      </c>
    </row>
    <row r="953" ht="15.75" customHeight="1">
      <c r="A953" s="1" t="s">
        <v>409</v>
      </c>
      <c r="B953" s="2" t="s">
        <v>16</v>
      </c>
      <c r="C953" s="2" t="s">
        <v>96</v>
      </c>
      <c r="D953" s="2">
        <v>1160.21</v>
      </c>
      <c r="E953" s="2">
        <v>2.0</v>
      </c>
      <c r="F953" s="2">
        <v>2320.42</v>
      </c>
      <c r="G953" s="2" t="s">
        <v>3165</v>
      </c>
      <c r="H953" s="2" t="s">
        <v>3166</v>
      </c>
      <c r="I953" s="2" t="s">
        <v>3167</v>
      </c>
    </row>
    <row r="954" ht="15.75" customHeight="1">
      <c r="A954" s="1" t="s">
        <v>356</v>
      </c>
      <c r="B954" s="2" t="s">
        <v>50</v>
      </c>
      <c r="C954" s="2" t="s">
        <v>360</v>
      </c>
      <c r="E954" s="2">
        <v>5.0</v>
      </c>
      <c r="F954" s="2">
        <v>3716.95</v>
      </c>
      <c r="G954" s="2" t="s">
        <v>3168</v>
      </c>
      <c r="H954" s="2" t="s">
        <v>3169</v>
      </c>
      <c r="I954" s="2" t="s">
        <v>3170</v>
      </c>
    </row>
    <row r="955" ht="15.75" customHeight="1">
      <c r="A955" s="1" t="s">
        <v>1178</v>
      </c>
      <c r="B955" s="2" t="s">
        <v>16</v>
      </c>
      <c r="C955" s="2" t="s">
        <v>135</v>
      </c>
      <c r="D955" s="2">
        <v>1698.28</v>
      </c>
      <c r="E955" s="2">
        <v>3.0</v>
      </c>
      <c r="F955" s="2">
        <v>5094.84</v>
      </c>
      <c r="G955" s="2" t="s">
        <v>3171</v>
      </c>
      <c r="H955" s="2" t="s">
        <v>3172</v>
      </c>
      <c r="I955" s="2" t="s">
        <v>3173</v>
      </c>
    </row>
    <row r="956" ht="15.75" customHeight="1">
      <c r="A956" s="1" t="s">
        <v>1182</v>
      </c>
      <c r="B956" s="2" t="s">
        <v>38</v>
      </c>
      <c r="C956" s="2" t="s">
        <v>698</v>
      </c>
      <c r="D956" s="2">
        <v>690.26</v>
      </c>
      <c r="E956" s="2">
        <v>4.0</v>
      </c>
      <c r="F956" s="2">
        <v>2761.04</v>
      </c>
      <c r="G956" s="2" t="s">
        <v>3174</v>
      </c>
      <c r="H956" s="2" t="s">
        <v>3175</v>
      </c>
      <c r="I956" s="2" t="s">
        <v>3176</v>
      </c>
    </row>
    <row r="957" ht="15.75" customHeight="1">
      <c r="A957" s="1" t="s">
        <v>558</v>
      </c>
      <c r="B957" s="2" t="s">
        <v>27</v>
      </c>
      <c r="C957" s="2" t="s">
        <v>111</v>
      </c>
      <c r="D957" s="2">
        <v>1034.4</v>
      </c>
      <c r="E957" s="2">
        <v>1.0</v>
      </c>
      <c r="F957" s="2">
        <v>1034.4</v>
      </c>
      <c r="G957" s="2" t="s">
        <v>3177</v>
      </c>
      <c r="H957" s="2" t="s">
        <v>3178</v>
      </c>
      <c r="I957" s="2" t="s">
        <v>3179</v>
      </c>
    </row>
    <row r="958" ht="15.75" customHeight="1">
      <c r="A958" s="1" t="s">
        <v>1189</v>
      </c>
      <c r="B958" s="2" t="s">
        <v>50</v>
      </c>
      <c r="C958" s="2" t="s">
        <v>176</v>
      </c>
      <c r="D958" s="2">
        <v>1868.8</v>
      </c>
      <c r="E958" s="2">
        <v>2.0</v>
      </c>
      <c r="F958" s="2">
        <v>3737.6</v>
      </c>
      <c r="G958" s="2" t="s">
        <v>3180</v>
      </c>
      <c r="H958" s="2" t="s">
        <v>3181</v>
      </c>
      <c r="I958" s="2" t="s">
        <v>3182</v>
      </c>
    </row>
    <row r="959" ht="15.75" customHeight="1">
      <c r="A959" s="1" t="s">
        <v>1193</v>
      </c>
      <c r="B959" s="2" t="s">
        <v>16</v>
      </c>
      <c r="C959" s="2" t="s">
        <v>3183</v>
      </c>
      <c r="D959" s="2">
        <v>1817.8</v>
      </c>
      <c r="E959" s="2">
        <v>3.0</v>
      </c>
      <c r="F959" s="2">
        <v>5453.4</v>
      </c>
      <c r="G959" s="2" t="s">
        <v>3184</v>
      </c>
      <c r="H959" s="2" t="s">
        <v>3185</v>
      </c>
      <c r="I959" s="2" t="s">
        <v>3186</v>
      </c>
    </row>
    <row r="960" ht="15.75" customHeight="1">
      <c r="A960" s="1" t="s">
        <v>120</v>
      </c>
      <c r="B960" s="2" t="s">
        <v>101</v>
      </c>
      <c r="C960" s="2" t="s">
        <v>369</v>
      </c>
      <c r="D960" s="2">
        <v>1384.09</v>
      </c>
      <c r="E960" s="2">
        <v>2.0</v>
      </c>
      <c r="F960" s="2">
        <v>2768.18</v>
      </c>
      <c r="G960" s="2" t="s">
        <v>3187</v>
      </c>
      <c r="H960" s="2" t="s">
        <v>3188</v>
      </c>
      <c r="I960" s="2" t="s">
        <v>3189</v>
      </c>
    </row>
    <row r="961" ht="15.75" customHeight="1">
      <c r="A961" s="1" t="s">
        <v>1011</v>
      </c>
      <c r="B961" s="2" t="s">
        <v>27</v>
      </c>
      <c r="C961" s="2" t="s">
        <v>698</v>
      </c>
      <c r="D961" s="2">
        <v>259.75</v>
      </c>
      <c r="E961" s="2">
        <v>4.0</v>
      </c>
      <c r="F961" s="2">
        <v>1039.0</v>
      </c>
      <c r="G961" s="2" t="s">
        <v>3190</v>
      </c>
      <c r="H961" s="2" t="s">
        <v>3191</v>
      </c>
      <c r="I961" s="2" t="s">
        <v>3192</v>
      </c>
    </row>
    <row r="962" ht="15.75" customHeight="1">
      <c r="A962" s="1" t="s">
        <v>451</v>
      </c>
      <c r="B962" s="2" t="s">
        <v>27</v>
      </c>
      <c r="C962" s="2" t="s">
        <v>226</v>
      </c>
      <c r="D962" s="2">
        <v>500.74</v>
      </c>
      <c r="E962" s="2">
        <v>4.0</v>
      </c>
      <c r="F962" s="2">
        <v>2002.96</v>
      </c>
      <c r="G962" s="2" t="s">
        <v>3193</v>
      </c>
      <c r="H962" s="2" t="s">
        <v>3194</v>
      </c>
      <c r="I962" s="2" t="s">
        <v>3195</v>
      </c>
    </row>
    <row r="963" ht="15.75" customHeight="1">
      <c r="A963" s="1" t="s">
        <v>713</v>
      </c>
      <c r="B963" s="2" t="s">
        <v>161</v>
      </c>
      <c r="C963" s="2" t="s">
        <v>162</v>
      </c>
      <c r="D963" s="2">
        <v>1113.91</v>
      </c>
      <c r="E963" s="2">
        <v>2.0</v>
      </c>
      <c r="F963" s="2">
        <v>2227.82</v>
      </c>
      <c r="G963" s="2" t="s">
        <v>3196</v>
      </c>
      <c r="H963" s="2" t="s">
        <v>3197</v>
      </c>
      <c r="I963" s="2" t="s">
        <v>3198</v>
      </c>
    </row>
    <row r="964" ht="15.75" customHeight="1">
      <c r="A964" s="1" t="s">
        <v>1209</v>
      </c>
      <c r="B964" s="2" t="s">
        <v>101</v>
      </c>
      <c r="C964" s="2" t="s">
        <v>3199</v>
      </c>
      <c r="D964" s="2">
        <v>2474.36</v>
      </c>
      <c r="E964" s="2">
        <v>2.0</v>
      </c>
      <c r="F964" s="2">
        <v>4948.72</v>
      </c>
      <c r="G964" s="2" t="s">
        <v>3200</v>
      </c>
      <c r="H964" s="2" t="s">
        <v>3201</v>
      </c>
      <c r="I964" s="2" t="s">
        <v>3202</v>
      </c>
    </row>
    <row r="965" ht="15.75" customHeight="1">
      <c r="A965" s="1" t="s">
        <v>1213</v>
      </c>
      <c r="B965" s="2" t="s">
        <v>16</v>
      </c>
      <c r="C965" s="2" t="s">
        <v>807</v>
      </c>
      <c r="D965" s="2">
        <v>1440.56</v>
      </c>
      <c r="E965" s="2">
        <v>1.0</v>
      </c>
      <c r="F965" s="2">
        <v>1440.56</v>
      </c>
      <c r="G965" s="2" t="s">
        <v>3203</v>
      </c>
      <c r="H965" s="2" t="s">
        <v>3204</v>
      </c>
      <c r="I965" s="2" t="s">
        <v>3205</v>
      </c>
    </row>
    <row r="966" ht="15.75" customHeight="1">
      <c r="A966" s="1" t="s">
        <v>79</v>
      </c>
      <c r="B966" s="2" t="s">
        <v>27</v>
      </c>
      <c r="C966" s="2" t="s">
        <v>245</v>
      </c>
      <c r="D966" s="2">
        <v>72.75</v>
      </c>
      <c r="E966" s="2">
        <v>3.0</v>
      </c>
      <c r="F966" s="2">
        <v>218.25</v>
      </c>
      <c r="G966" s="2" t="s">
        <v>3206</v>
      </c>
      <c r="H966" s="2" t="s">
        <v>3207</v>
      </c>
      <c r="I966" s="2" t="s">
        <v>3208</v>
      </c>
    </row>
    <row r="967" ht="15.75" customHeight="1">
      <c r="A967" s="1" t="s">
        <v>1220</v>
      </c>
      <c r="B967" s="2" t="s">
        <v>16</v>
      </c>
      <c r="C967" s="2" t="s">
        <v>360</v>
      </c>
      <c r="D967" s="2">
        <v>776.93</v>
      </c>
      <c r="E967" s="2">
        <v>1.0</v>
      </c>
      <c r="F967" s="2">
        <v>776.93</v>
      </c>
      <c r="G967" s="2" t="s">
        <v>3209</v>
      </c>
      <c r="H967" s="2" t="s">
        <v>3210</v>
      </c>
      <c r="I967" s="2" t="s">
        <v>3211</v>
      </c>
    </row>
    <row r="968" ht="15.75" customHeight="1">
      <c r="A968" s="1" t="s">
        <v>200</v>
      </c>
      <c r="B968" s="2" t="s">
        <v>85</v>
      </c>
      <c r="C968" s="2" t="s">
        <v>201</v>
      </c>
      <c r="D968" s="2">
        <v>997.09</v>
      </c>
      <c r="E968" s="2">
        <v>2.0</v>
      </c>
      <c r="F968" s="2">
        <v>1994.18</v>
      </c>
      <c r="G968" s="2" t="s">
        <v>3212</v>
      </c>
      <c r="H968" s="2" t="s">
        <v>3213</v>
      </c>
      <c r="I968" s="2" t="s">
        <v>3214</v>
      </c>
    </row>
    <row r="969" ht="15.75" customHeight="1">
      <c r="A969" s="1" t="s">
        <v>125</v>
      </c>
      <c r="B969" s="2" t="s">
        <v>101</v>
      </c>
      <c r="C969" s="2" t="s">
        <v>22</v>
      </c>
      <c r="D969" s="2">
        <v>842.36</v>
      </c>
      <c r="E969" s="2">
        <v>5.0</v>
      </c>
      <c r="F969" s="2">
        <v>4211.8</v>
      </c>
      <c r="G969" s="2" t="s">
        <v>3215</v>
      </c>
      <c r="H969" s="2" t="s">
        <v>3216</v>
      </c>
      <c r="I969" s="2" t="s">
        <v>3217</v>
      </c>
    </row>
    <row r="970" ht="15.75" customHeight="1">
      <c r="A970" s="1" t="s">
        <v>781</v>
      </c>
      <c r="B970" s="2" t="s">
        <v>38</v>
      </c>
      <c r="C970" s="2" t="s">
        <v>86</v>
      </c>
      <c r="D970" s="2">
        <v>228.78</v>
      </c>
      <c r="E970" s="2">
        <v>1.0</v>
      </c>
      <c r="F970" s="2">
        <v>228.78</v>
      </c>
      <c r="G970" s="2" t="s">
        <v>3218</v>
      </c>
      <c r="H970" s="2" t="s">
        <v>3219</v>
      </c>
      <c r="I970" s="2" t="s">
        <v>3220</v>
      </c>
    </row>
    <row r="971" ht="15.75" customHeight="1">
      <c r="A971" s="1" t="s">
        <v>1233</v>
      </c>
      <c r="B971" s="2" t="s">
        <v>85</v>
      </c>
      <c r="C971" s="2" t="s">
        <v>206</v>
      </c>
      <c r="D971" s="2">
        <v>2382.64</v>
      </c>
      <c r="E971" s="2">
        <v>4.0</v>
      </c>
      <c r="F971" s="2">
        <v>9530.56</v>
      </c>
      <c r="G971" s="2" t="s">
        <v>3221</v>
      </c>
      <c r="H971" s="2" t="s">
        <v>3222</v>
      </c>
      <c r="I971" s="2" t="s">
        <v>3223</v>
      </c>
    </row>
    <row r="972" ht="15.75" customHeight="1">
      <c r="A972" s="1" t="s">
        <v>583</v>
      </c>
      <c r="B972" s="2" t="s">
        <v>161</v>
      </c>
      <c r="C972" s="2" t="s">
        <v>96</v>
      </c>
      <c r="D972" s="2">
        <v>1111.98</v>
      </c>
      <c r="E972" s="2">
        <v>4.0</v>
      </c>
      <c r="F972" s="2">
        <v>4447.92</v>
      </c>
      <c r="G972" s="2" t="s">
        <v>3224</v>
      </c>
      <c r="H972" s="2" t="s">
        <v>3225</v>
      </c>
      <c r="I972" s="2" t="s">
        <v>3226</v>
      </c>
    </row>
    <row r="973" ht="15.75" customHeight="1">
      <c r="A973" s="1" t="s">
        <v>939</v>
      </c>
      <c r="B973" s="2" t="s">
        <v>101</v>
      </c>
      <c r="C973" s="2" t="s">
        <v>86</v>
      </c>
      <c r="D973" s="2">
        <v>1148.92</v>
      </c>
      <c r="E973" s="2">
        <v>4.0</v>
      </c>
      <c r="F973" s="2">
        <v>4595.68</v>
      </c>
      <c r="G973" s="2" t="s">
        <v>3227</v>
      </c>
      <c r="H973" s="2" t="s">
        <v>3228</v>
      </c>
      <c r="I973" s="2" t="s">
        <v>3229</v>
      </c>
    </row>
    <row r="974" ht="15.75" customHeight="1">
      <c r="A974" s="1" t="s">
        <v>631</v>
      </c>
      <c r="B974" s="2" t="s">
        <v>85</v>
      </c>
      <c r="C974" s="2" t="s">
        <v>75</v>
      </c>
      <c r="D974" s="2">
        <v>1279.5</v>
      </c>
      <c r="E974" s="2">
        <v>2.0</v>
      </c>
      <c r="F974" s="2">
        <v>2559.0</v>
      </c>
      <c r="G974" s="2" t="s">
        <v>3230</v>
      </c>
      <c r="H974" s="2" t="s">
        <v>3231</v>
      </c>
      <c r="I974" s="2" t="s">
        <v>3232</v>
      </c>
    </row>
    <row r="975" ht="15.75" customHeight="1">
      <c r="A975" s="1" t="s">
        <v>1022</v>
      </c>
      <c r="B975" s="2" t="s">
        <v>85</v>
      </c>
      <c r="C975" s="2" t="s">
        <v>111</v>
      </c>
      <c r="D975" s="2">
        <v>424.12</v>
      </c>
      <c r="E975" s="2">
        <v>2.0</v>
      </c>
      <c r="F975" s="2">
        <v>848.24</v>
      </c>
      <c r="G975" s="2" t="s">
        <v>3233</v>
      </c>
      <c r="H975" s="2" t="s">
        <v>3234</v>
      </c>
      <c r="I975" s="2" t="s">
        <v>3235</v>
      </c>
    </row>
    <row r="976" ht="15.75" customHeight="1">
      <c r="A976" s="1" t="s">
        <v>1249</v>
      </c>
      <c r="B976" s="2" t="s">
        <v>85</v>
      </c>
      <c r="C976" s="2" t="s">
        <v>1015</v>
      </c>
      <c r="D976" s="2">
        <v>1088.66</v>
      </c>
      <c r="E976" s="2">
        <v>4.0</v>
      </c>
      <c r="F976" s="2">
        <v>4354.64</v>
      </c>
      <c r="G976" s="2" t="s">
        <v>3236</v>
      </c>
      <c r="H976" s="2" t="s">
        <v>3237</v>
      </c>
      <c r="I976" s="2" t="s">
        <v>3238</v>
      </c>
    </row>
    <row r="977" ht="15.75" customHeight="1">
      <c r="A977" s="1" t="s">
        <v>1253</v>
      </c>
      <c r="B977" s="2" t="s">
        <v>16</v>
      </c>
      <c r="C977" s="2" t="s">
        <v>28</v>
      </c>
      <c r="E977" s="2">
        <v>2.0</v>
      </c>
      <c r="F977" s="2">
        <v>4429.96</v>
      </c>
      <c r="G977" s="2" t="s">
        <v>3239</v>
      </c>
      <c r="H977" s="2" t="s">
        <v>3240</v>
      </c>
      <c r="I977" s="2" t="s">
        <v>3241</v>
      </c>
    </row>
    <row r="978" ht="15.75" customHeight="1">
      <c r="A978" s="1" t="s">
        <v>1091</v>
      </c>
      <c r="B978" s="2" t="s">
        <v>85</v>
      </c>
      <c r="C978" s="2" t="s">
        <v>452</v>
      </c>
      <c r="D978" s="2">
        <v>173.36</v>
      </c>
      <c r="E978" s="2">
        <v>2.0</v>
      </c>
      <c r="F978" s="2">
        <v>346.72</v>
      </c>
      <c r="G978" s="2" t="s">
        <v>3242</v>
      </c>
      <c r="H978" s="2" t="s">
        <v>3243</v>
      </c>
      <c r="I978" s="2" t="s">
        <v>3244</v>
      </c>
    </row>
    <row r="979" ht="15.75" customHeight="1">
      <c r="A979" s="1" t="s">
        <v>84</v>
      </c>
      <c r="B979" s="2" t="s">
        <v>27</v>
      </c>
      <c r="C979" s="2" t="s">
        <v>311</v>
      </c>
      <c r="D979" s="2">
        <v>1560.05</v>
      </c>
      <c r="E979" s="2">
        <v>1.0</v>
      </c>
      <c r="F979" s="2">
        <v>1560.05</v>
      </c>
      <c r="G979" s="2" t="s">
        <v>3245</v>
      </c>
      <c r="H979" s="2" t="s">
        <v>3246</v>
      </c>
      <c r="I979" s="2" t="s">
        <v>3247</v>
      </c>
    </row>
    <row r="980" ht="15.75" customHeight="1">
      <c r="A980" s="1" t="s">
        <v>285</v>
      </c>
      <c r="B980" s="2" t="s">
        <v>85</v>
      </c>
      <c r="C980" s="2" t="s">
        <v>70</v>
      </c>
      <c r="D980" s="2">
        <v>2114.97</v>
      </c>
      <c r="E980" s="2">
        <v>1.0</v>
      </c>
      <c r="F980" s="2">
        <v>2114.97</v>
      </c>
      <c r="G980" s="2" t="s">
        <v>3248</v>
      </c>
      <c r="H980" s="2" t="s">
        <v>3249</v>
      </c>
      <c r="I980" s="2" t="s">
        <v>3250</v>
      </c>
    </row>
    <row r="981" ht="15.75" customHeight="1">
      <c r="A981" s="1" t="s">
        <v>627</v>
      </c>
      <c r="B981" s="2" t="s">
        <v>38</v>
      </c>
      <c r="C981" s="2" t="s">
        <v>91</v>
      </c>
      <c r="D981" s="2">
        <v>1578.34</v>
      </c>
      <c r="E981" s="2">
        <v>3.0</v>
      </c>
      <c r="F981" s="2">
        <v>4735.02</v>
      </c>
      <c r="G981" s="2" t="s">
        <v>3251</v>
      </c>
      <c r="H981" s="2" t="s">
        <v>3252</v>
      </c>
      <c r="I981" s="2" t="s">
        <v>3253</v>
      </c>
    </row>
    <row r="982" ht="15.75" customHeight="1">
      <c r="A982" s="1" t="s">
        <v>1269</v>
      </c>
      <c r="B982" s="2" t="s">
        <v>27</v>
      </c>
      <c r="C982" s="2" t="s">
        <v>245</v>
      </c>
      <c r="D982" s="2">
        <v>427.92</v>
      </c>
      <c r="E982" s="2">
        <v>2.0</v>
      </c>
      <c r="F982" s="2">
        <v>855.84</v>
      </c>
      <c r="G982" s="2" t="s">
        <v>3254</v>
      </c>
      <c r="H982" s="2" t="s">
        <v>3255</v>
      </c>
      <c r="I982" s="2" t="s">
        <v>3256</v>
      </c>
    </row>
    <row r="983" ht="15.75" customHeight="1">
      <c r="A983" s="1" t="s">
        <v>90</v>
      </c>
      <c r="B983" s="2" t="s">
        <v>38</v>
      </c>
      <c r="C983" s="2" t="s">
        <v>369</v>
      </c>
      <c r="D983" s="2">
        <v>1742.12</v>
      </c>
      <c r="E983" s="2">
        <v>4.0</v>
      </c>
      <c r="F983" s="2">
        <v>6968.48</v>
      </c>
      <c r="G983" s="2" t="s">
        <v>3257</v>
      </c>
      <c r="H983" s="2" t="s">
        <v>3258</v>
      </c>
      <c r="I983" s="2" t="s">
        <v>3259</v>
      </c>
    </row>
    <row r="984" ht="15.75" customHeight="1">
      <c r="A984" s="1" t="s">
        <v>687</v>
      </c>
      <c r="B984" s="2" t="s">
        <v>16</v>
      </c>
      <c r="C984" s="2" t="s">
        <v>206</v>
      </c>
      <c r="D984" s="2">
        <v>841.48</v>
      </c>
      <c r="E984" s="2">
        <v>2.0</v>
      </c>
      <c r="F984" s="2">
        <v>1682.96</v>
      </c>
      <c r="G984" s="2" t="s">
        <v>3260</v>
      </c>
      <c r="H984" s="2" t="s">
        <v>3261</v>
      </c>
      <c r="I984" s="2" t="s">
        <v>3262</v>
      </c>
    </row>
    <row r="985" ht="15.75" customHeight="1">
      <c r="A985" s="1" t="s">
        <v>1279</v>
      </c>
      <c r="B985" s="2" t="s">
        <v>50</v>
      </c>
      <c r="C985" s="2" t="s">
        <v>152</v>
      </c>
      <c r="D985" s="2">
        <v>173.92</v>
      </c>
      <c r="E985" s="2">
        <v>3.0</v>
      </c>
      <c r="F985" s="2">
        <v>521.76</v>
      </c>
      <c r="G985" s="2" t="s">
        <v>3263</v>
      </c>
      <c r="H985" s="2" t="s">
        <v>3264</v>
      </c>
      <c r="I985" s="2" t="s">
        <v>3265</v>
      </c>
    </row>
    <row r="986" ht="15.75" customHeight="1">
      <c r="A986" s="1" t="s">
        <v>903</v>
      </c>
      <c r="B986" s="2" t="s">
        <v>27</v>
      </c>
      <c r="C986" s="2" t="s">
        <v>45</v>
      </c>
      <c r="D986" s="2">
        <v>796.49</v>
      </c>
      <c r="E986" s="2">
        <v>3.0</v>
      </c>
      <c r="F986" s="2">
        <v>2389.47</v>
      </c>
      <c r="G986" s="2" t="s">
        <v>3266</v>
      </c>
      <c r="H986" s="2" t="s">
        <v>3267</v>
      </c>
      <c r="I986" s="2" t="s">
        <v>3268</v>
      </c>
    </row>
    <row r="987" ht="15.75" customHeight="1">
      <c r="A987" s="1" t="s">
        <v>401</v>
      </c>
      <c r="B987" s="2" t="s">
        <v>101</v>
      </c>
      <c r="C987" s="2" t="s">
        <v>593</v>
      </c>
      <c r="D987" s="2">
        <v>2469.75</v>
      </c>
      <c r="E987" s="2">
        <v>3.0</v>
      </c>
      <c r="F987" s="2">
        <v>7409.25</v>
      </c>
      <c r="G987" s="2" t="s">
        <v>3269</v>
      </c>
      <c r="H987" s="2" t="s">
        <v>3270</v>
      </c>
      <c r="I987" s="2" t="s">
        <v>3271</v>
      </c>
    </row>
    <row r="988" ht="15.75" customHeight="1">
      <c r="A988" s="4" t="s">
        <v>289</v>
      </c>
      <c r="B988" s="2" t="s">
        <v>38</v>
      </c>
      <c r="C988" s="2" t="s">
        <v>500</v>
      </c>
      <c r="D988" s="2">
        <v>1420.28</v>
      </c>
      <c r="E988" s="2">
        <v>4.0</v>
      </c>
      <c r="F988" s="2">
        <v>5681.12</v>
      </c>
      <c r="G988" s="2" t="s">
        <v>3272</v>
      </c>
      <c r="H988" s="2" t="s">
        <v>3273</v>
      </c>
      <c r="I988" s="2" t="s">
        <v>3274</v>
      </c>
    </row>
    <row r="989" ht="15.75" customHeight="1">
      <c r="A989" s="1" t="s">
        <v>200</v>
      </c>
      <c r="B989" s="2" t="s">
        <v>50</v>
      </c>
      <c r="C989" s="2" t="s">
        <v>226</v>
      </c>
      <c r="D989" s="2">
        <v>1939.56</v>
      </c>
      <c r="E989" s="2">
        <v>5.0</v>
      </c>
      <c r="F989" s="2">
        <v>9697.8</v>
      </c>
      <c r="G989" s="2" t="s">
        <v>3275</v>
      </c>
      <c r="H989" s="2" t="s">
        <v>3276</v>
      </c>
      <c r="I989" s="2" t="s">
        <v>3277</v>
      </c>
    </row>
    <row r="990" ht="15.75" customHeight="1">
      <c r="A990" s="1" t="s">
        <v>69</v>
      </c>
      <c r="B990" s="2" t="s">
        <v>50</v>
      </c>
      <c r="C990" s="2" t="s">
        <v>17</v>
      </c>
      <c r="D990" s="2">
        <v>1438.41</v>
      </c>
      <c r="E990" s="2">
        <v>4.0</v>
      </c>
      <c r="F990" s="2">
        <v>5753.64</v>
      </c>
      <c r="G990" s="2" t="s">
        <v>3278</v>
      </c>
      <c r="H990" s="2" t="s">
        <v>3279</v>
      </c>
      <c r="I990" s="2" t="s">
        <v>3280</v>
      </c>
    </row>
    <row r="991" ht="15.75" customHeight="1">
      <c r="A991" s="1" t="s">
        <v>1372</v>
      </c>
      <c r="B991" s="2" t="s">
        <v>50</v>
      </c>
      <c r="C991" s="2" t="s">
        <v>500</v>
      </c>
      <c r="D991" s="2">
        <v>1423.68</v>
      </c>
      <c r="E991" s="2">
        <v>1.0</v>
      </c>
      <c r="F991" s="2">
        <v>1423.68</v>
      </c>
      <c r="G991" s="2" t="s">
        <v>3281</v>
      </c>
      <c r="H991" s="2" t="s">
        <v>3282</v>
      </c>
      <c r="I991" s="2" t="s">
        <v>3283</v>
      </c>
    </row>
    <row r="992" ht="15.75" customHeight="1">
      <c r="A992" s="4" t="s">
        <v>907</v>
      </c>
      <c r="B992" s="2" t="s">
        <v>16</v>
      </c>
      <c r="C992" s="2" t="s">
        <v>508</v>
      </c>
      <c r="D992" s="2">
        <v>419.85</v>
      </c>
      <c r="E992" s="2">
        <v>1.0</v>
      </c>
      <c r="F992" s="2">
        <v>419.85</v>
      </c>
      <c r="G992" s="2" t="s">
        <v>3284</v>
      </c>
      <c r="H992" s="2" t="s">
        <v>3285</v>
      </c>
      <c r="I992" s="2" t="s">
        <v>3286</v>
      </c>
    </row>
    <row r="993" ht="15.75" customHeight="1">
      <c r="A993" s="1" t="s">
        <v>276</v>
      </c>
      <c r="B993" s="2" t="s">
        <v>50</v>
      </c>
      <c r="C993" s="2" t="s">
        <v>201</v>
      </c>
      <c r="D993" s="2">
        <v>877.11</v>
      </c>
      <c r="E993" s="2">
        <v>1.0</v>
      </c>
      <c r="F993" s="2">
        <v>877.11</v>
      </c>
      <c r="G993" s="2" t="s">
        <v>3287</v>
      </c>
      <c r="H993" s="2" t="s">
        <v>3288</v>
      </c>
      <c r="I993" s="2" t="s">
        <v>3289</v>
      </c>
    </row>
    <row r="994" ht="15.75" customHeight="1">
      <c r="A994" s="1" t="s">
        <v>3290</v>
      </c>
      <c r="B994" s="2" t="s">
        <v>16</v>
      </c>
      <c r="C994" s="2" t="s">
        <v>385</v>
      </c>
      <c r="D994" s="2">
        <v>2260.99</v>
      </c>
      <c r="E994" s="2">
        <v>2.0</v>
      </c>
      <c r="F994" s="2">
        <v>4521.98</v>
      </c>
      <c r="G994" s="2" t="s">
        <v>3291</v>
      </c>
      <c r="H994" s="2" t="s">
        <v>3292</v>
      </c>
      <c r="I994" s="2" t="s">
        <v>3293</v>
      </c>
    </row>
    <row r="995" ht="15.75" customHeight="1">
      <c r="A995" s="1" t="s">
        <v>1488</v>
      </c>
      <c r="B995" s="2" t="s">
        <v>27</v>
      </c>
      <c r="C995" s="2" t="s">
        <v>70</v>
      </c>
      <c r="D995" s="2">
        <v>273.01</v>
      </c>
      <c r="E995" s="2">
        <v>1.0</v>
      </c>
      <c r="F995" s="2">
        <v>273.01</v>
      </c>
      <c r="G995" s="2" t="s">
        <v>3294</v>
      </c>
      <c r="H995" s="2" t="s">
        <v>3295</v>
      </c>
      <c r="I995" s="2" t="s">
        <v>3296</v>
      </c>
    </row>
    <row r="996" ht="15.75" customHeight="1">
      <c r="A996" s="4" t="s">
        <v>949</v>
      </c>
      <c r="B996" s="2" t="s">
        <v>38</v>
      </c>
      <c r="C996" s="2" t="s">
        <v>96</v>
      </c>
      <c r="D996" s="2">
        <v>1919.62</v>
      </c>
      <c r="E996" s="2">
        <v>2.0</v>
      </c>
      <c r="F996" s="2">
        <v>3839.24</v>
      </c>
      <c r="G996" s="2" t="s">
        <v>3297</v>
      </c>
      <c r="H996" s="2" t="s">
        <v>3298</v>
      </c>
      <c r="I996" s="2" t="s">
        <v>3299</v>
      </c>
    </row>
    <row r="997" ht="15.75" customHeight="1">
      <c r="A997" s="1" t="s">
        <v>285</v>
      </c>
      <c r="B997" s="2" t="s">
        <v>16</v>
      </c>
      <c r="C997" s="2" t="s">
        <v>452</v>
      </c>
      <c r="D997" s="2">
        <v>2077.18</v>
      </c>
      <c r="E997" s="2">
        <v>4.0</v>
      </c>
      <c r="F997" s="2">
        <v>8308.72</v>
      </c>
      <c r="G997" s="2" t="s">
        <v>3300</v>
      </c>
      <c r="H997" s="2" t="s">
        <v>3301</v>
      </c>
      <c r="I997" s="2" t="s">
        <v>3302</v>
      </c>
    </row>
    <row r="998" ht="15.75" customHeight="1">
      <c r="A998" s="1" t="s">
        <v>276</v>
      </c>
      <c r="B998" s="2" t="s">
        <v>50</v>
      </c>
      <c r="C998" s="2" t="s">
        <v>226</v>
      </c>
      <c r="D998" s="2">
        <v>304.68</v>
      </c>
      <c r="E998" s="2">
        <v>5.0</v>
      </c>
      <c r="F998" s="2">
        <v>1523.4</v>
      </c>
      <c r="G998" s="2" t="s">
        <v>3303</v>
      </c>
      <c r="H998" s="2" t="s">
        <v>3304</v>
      </c>
      <c r="I998" s="2" t="s">
        <v>3305</v>
      </c>
    </row>
    <row r="999" ht="15.75" customHeight="1">
      <c r="A999" s="1" t="s">
        <v>903</v>
      </c>
      <c r="B999" s="2" t="s">
        <v>16</v>
      </c>
      <c r="C999" s="2" t="s">
        <v>348</v>
      </c>
      <c r="D999" s="2">
        <v>1838.04</v>
      </c>
      <c r="E999" s="2">
        <v>4.0</v>
      </c>
      <c r="F999" s="2">
        <v>7352.16</v>
      </c>
      <c r="G999" s="2" t="s">
        <v>3306</v>
      </c>
      <c r="H999" s="2" t="s">
        <v>3307</v>
      </c>
      <c r="I999" s="2" t="s">
        <v>3308</v>
      </c>
    </row>
    <row r="1000" ht="15.75" customHeight="1">
      <c r="A1000" s="1" t="s">
        <v>409</v>
      </c>
      <c r="B1000" s="2" t="s">
        <v>50</v>
      </c>
      <c r="C1000" s="2" t="s">
        <v>70</v>
      </c>
      <c r="D1000" s="2">
        <v>536.87</v>
      </c>
      <c r="E1000" s="2">
        <v>1.0</v>
      </c>
      <c r="F1000" s="2">
        <v>536.87</v>
      </c>
      <c r="G1000" s="2" t="s">
        <v>3309</v>
      </c>
      <c r="H1000" s="2" t="s">
        <v>3310</v>
      </c>
      <c r="I1000" s="2" t="s">
        <v>3311</v>
      </c>
    </row>
    <row r="1001" ht="15.75" customHeight="1">
      <c r="A1001" s="1" t="s">
        <v>1209</v>
      </c>
      <c r="B1001" s="2" t="s">
        <v>38</v>
      </c>
      <c r="C1001" s="2" t="s">
        <v>45</v>
      </c>
      <c r="D1001" s="2">
        <v>1876.88</v>
      </c>
      <c r="E1001" s="2">
        <v>4.0</v>
      </c>
      <c r="F1001" s="2">
        <v>7507.52</v>
      </c>
      <c r="G1001" s="2" t="s">
        <v>3312</v>
      </c>
      <c r="H1001" s="2" t="s">
        <v>3313</v>
      </c>
      <c r="I1001" s="2" t="s">
        <v>3314</v>
      </c>
    </row>
  </sheetData>
  <autoFilter ref="$A$1:$I$10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hidden="1" min="1" max="1" width="13.11"/>
    <col customWidth="1" hidden="1" min="2" max="2" width="19.44"/>
    <col customWidth="1" hidden="1" min="3" max="3" width="33.22"/>
    <col customWidth="1" hidden="1" min="4" max="4" width="12.22"/>
    <col customWidth="1" hidden="1" min="5" max="5" width="8.0"/>
    <col customWidth="1" hidden="1" min="6" max="6" width="9.67"/>
    <col customWidth="1" hidden="1" min="7" max="7" width="36.0"/>
    <col customWidth="1" hidden="1" min="8" max="8" width="36.33"/>
    <col customWidth="1" hidden="1" min="9" max="9" width="34.89"/>
    <col customWidth="1" min="10" max="10" width="5.78"/>
    <col customWidth="1" min="11" max="11" width="17.11"/>
    <col customWidth="1" min="12" max="13" width="16.56"/>
    <col customWidth="1" min="14" max="14" width="12.22"/>
    <col customWidth="1" min="15" max="15" width="18.56"/>
    <col customWidth="1" min="16" max="16" width="18.11"/>
    <col customWidth="1" min="17" max="17" width="16.67"/>
    <col customWidth="1" min="18" max="18" width="12.0"/>
    <col customWidth="1" min="19" max="19" width="17.0"/>
    <col customWidth="1" min="20" max="20" width="35.0"/>
    <col customWidth="1" min="21" max="21" width="33.44"/>
    <col customWidth="1" min="22" max="22" width="24.0"/>
    <col customWidth="1" min="23" max="28" width="10.78"/>
  </cols>
  <sheetData>
    <row r="1" ht="15.75" customHeight="1">
      <c r="A1" s="6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/>
      <c r="K1" s="9" t="s">
        <v>3315</v>
      </c>
      <c r="L1" s="10" t="s">
        <v>3316</v>
      </c>
      <c r="M1" s="11" t="s">
        <v>1</v>
      </c>
      <c r="N1" s="12" t="s">
        <v>2</v>
      </c>
      <c r="O1" s="13" t="s">
        <v>3317</v>
      </c>
      <c r="P1" s="13" t="s">
        <v>3318</v>
      </c>
      <c r="Q1" s="14" t="s">
        <v>3</v>
      </c>
      <c r="R1" s="15" t="s">
        <v>4</v>
      </c>
      <c r="S1" s="16" t="s">
        <v>5</v>
      </c>
      <c r="T1" s="11" t="s">
        <v>6</v>
      </c>
      <c r="U1" s="17" t="s">
        <v>8</v>
      </c>
      <c r="V1" s="18" t="s">
        <v>3319</v>
      </c>
    </row>
    <row r="2" ht="15.75" customHeight="1">
      <c r="A2" s="6">
        <v>45568.0</v>
      </c>
      <c r="B2" s="2" t="s">
        <v>10</v>
      </c>
      <c r="C2" s="2" t="s">
        <v>11</v>
      </c>
      <c r="D2" s="7">
        <v>439.01</v>
      </c>
      <c r="E2" s="2">
        <v>5.0</v>
      </c>
      <c r="F2" s="7">
        <v>2195.05</v>
      </c>
      <c r="G2" s="2" t="s">
        <v>12</v>
      </c>
      <c r="H2" s="2" t="s">
        <v>13</v>
      </c>
      <c r="I2" s="2" t="s">
        <v>14</v>
      </c>
      <c r="K2" s="19" t="str">
        <f>IFERROR(__xludf.DUMMYFUNCTION("IF(ISBLANK(A2),
  """",
  IF(ISNUMBER(A2),
    TEXT(A2,""dd/mm/yyyy""),
    IF(
      REGEXMATCH(TRIM(A2),""^\d{1,2}/\d{1,2}/\d{4}$""),
      TRIM(A2),
      IFERROR(
        TEXT(DATEVALUE(SUBSTITUTE(SUBSTITUTE(TRIM(A2),""-"",""/""),""."",""/"")),""dd/mm"&amp;"/yyyy""),
        TRIM(A2)
      )
    )
  )
)
"),"03/10/2024")</f>
        <v>03/10/2024</v>
      </c>
      <c r="L2" s="20">
        <v>45568.0</v>
      </c>
      <c r="M2" s="21" t="str">
        <f>IFERROR(__xludf.DUMMYFUNCTION("PROPER(TRIM(
  REGEXREPLACE(
    REGEXREPLACE(
      SUBSTITUTE(SUBSTITUTE(SUBSTITUTE(SUBSTITUTE(SUBSTITUTE(SUBSTITUTE(SUBSTITUTE(SUBSTITUTE(SUBSTITUTE(SUBSTITUTE(SUBSTITUTE(
        B2,""√©"",""é""),""√°"",""á""),""√±"",""ñ""),""√≥"",""ó""),""√â"",""é"")"&amp;",""√Å"",""á""),""√ç"",""í""),""√Ç"",""Í""),""√Â"",""é""),""√≠"",""í""),""√º"",""ú""),
      ""[,\\.√]"",""""),
    ""\\s+"","" "")
))
"),"Monterrey")</f>
        <v>Monterrey</v>
      </c>
      <c r="N2" s="22" t="str">
        <f>IFERROR(__xludf.DUMMYFUNCTION("SPLIT(
  TRIM(
    SUBSTITUTE(
      SUBSTITUTE(
        SUBSTITUTE(
          SUBSTITUTE(
            C2,
            ""√©"", ""é""
          ),
          ""√±"", ""ñ""
        ),
        ""√°"", ""á""
      ),
      ""√≥"", ""ó""
    )
  ),
  ""-""
)
"),"Auriculares")</f>
        <v>Auriculares</v>
      </c>
      <c r="O2" s="22" t="str">
        <f>IFERROR(__xludf.DUMMYFUNCTION("""COMPUTED_VALUE"""),"Con cable")</f>
        <v>Con cable</v>
      </c>
      <c r="P2" s="22" t="str">
        <f>IFERROR(__xludf.DUMMYFUNCTION("""COMPUTED_VALUE"""),"32GB")</f>
        <v>32GB</v>
      </c>
      <c r="Q2" s="23">
        <f t="shared" ref="Q2:Q1001" si="1">IF(ISBLANK(D2),"0",D2)</f>
        <v>439.01</v>
      </c>
      <c r="R2" s="22">
        <f t="shared" ref="R2:R1001" si="2">IF(ISBLANK(E2),"Sin datos",E2)</f>
        <v>5</v>
      </c>
      <c r="S2" s="23">
        <f t="shared" ref="S2:S1001" si="3">IF(ISBLANK(F2),"0",F2)</f>
        <v>2195.05</v>
      </c>
      <c r="T2" s="22" t="str">
        <f>IFERROR(__xludf.DUMMYFUNCTION("PROPER(TRIM(
  LET(
    texto1, REGEXREPLACE(G2,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"),"Sandra Báez")</f>
        <v>Sandra Báez</v>
      </c>
      <c r="U2" s="22" t="str">
        <f t="shared" ref="U2:U1001" si="4">I2</f>
        <v>d7c9e19e-1228-4326-8b2a-cde42e222a67</v>
      </c>
      <c r="V2" s="24" t="str">
        <f t="shared" ref="V2:V1001" si="5">CONCATENATE(N2," ",O2," ",P2)</f>
        <v>Auriculares Con cable 32GB</v>
      </c>
    </row>
    <row r="3" ht="15.75" customHeight="1">
      <c r="A3" s="6">
        <v>45580.0</v>
      </c>
      <c r="B3" s="2" t="s">
        <v>16</v>
      </c>
      <c r="C3" s="2" t="s">
        <v>17</v>
      </c>
      <c r="D3" s="7">
        <v>1090.69</v>
      </c>
      <c r="E3" s="2">
        <v>1.0</v>
      </c>
      <c r="F3" s="7">
        <v>1090.69</v>
      </c>
      <c r="G3" s="2" t="s">
        <v>18</v>
      </c>
      <c r="H3" s="2" t="s">
        <v>19</v>
      </c>
      <c r="I3" s="2" t="s">
        <v>20</v>
      </c>
      <c r="K3" s="25" t="str">
        <f>IFERROR(__xludf.DUMMYFUNCTION("IF(ISBLANK(A3),
  """",
  IF(ISNUMBER(A3),
    TEXT(A3,""dd/mm/yyyy""),
    IF(
      REGEXMATCH(TRIM(A3),""^\d{1,2}/\d{1,2}/\d{4}$""),
      TRIM(A3),
      IFERROR(
        TEXT(DATEVALUE(SUBSTITUTE(SUBSTITUTE(TRIM(A3),""-"",""/""),""."",""/"")),""dd/mm"&amp;"/yyyy""),
        TRIM(A3)
      )
    )
  )
)
"),"15/10/2024")</f>
        <v>15/10/2024</v>
      </c>
      <c r="L3" s="26">
        <v>45580.0</v>
      </c>
      <c r="M3" s="27" t="str">
        <f>IFERROR(__xludf.DUMMYFUNCTION("PROPER(TRIM(
  REGEXREPLACE(
    REGEXREPLACE(
      SUBSTITUTE(SUBSTITUTE(SUBSTITUTE(SUBSTITUTE(SUBSTITUTE(SUBSTITUTE(SUBSTITUTE(SUBSTITUTE(SUBSTITUTE(SUBSTITUTE(SUBSTITUTE(
        B3,""√©"",""é""),""√°"",""á""),""√±"",""ñ""),""√≥"",""ó""),""√â"",""é"")"&amp;",""√Å"",""á""),""√ç"",""í""),""√Ç"",""Í""),""√Â"",""é""),""√≠"",""í""),""√º"",""ú""),
      ""[,\\.√]"",""""),
    ""\\s+"","" "")
))
"),"Bogotá")</f>
        <v>Bogotá</v>
      </c>
      <c r="N3" s="28" t="str">
        <f>IFERROR(__xludf.DUMMYFUNCTION("SPLIT(
  TRIM(
    SUBSTITUTE(
      SUBSTITUTE(
        SUBSTITUTE(
          SUBSTITUTE(
            C3,
            ""√©"", ""é""
          ),
          ""√±"", ""ñ""
        ),
        ""√°"", ""á""
      ),
      ""√≥"", ""ó""
    )
  ),
  ""-""
)
"),"Auriculares")</f>
        <v>Auriculares</v>
      </c>
      <c r="O3" s="28" t="str">
        <f>IFERROR(__xludf.DUMMYFUNCTION("""COMPUTED_VALUE"""),"Bluetooth")</f>
        <v>Bluetooth</v>
      </c>
      <c r="P3" s="28" t="str">
        <f>IFERROR(__xludf.DUMMYFUNCTION("""COMPUTED_VALUE"""),"8GB")</f>
        <v>8GB</v>
      </c>
      <c r="Q3" s="29">
        <f t="shared" si="1"/>
        <v>1090.69</v>
      </c>
      <c r="R3" s="28">
        <f t="shared" si="2"/>
        <v>1</v>
      </c>
      <c r="S3" s="29">
        <f t="shared" si="3"/>
        <v>1090.69</v>
      </c>
      <c r="T3" s="28" t="str">
        <f>IFERROR(__xludf.DUMMYFUNCTION("PROPER(TRIM(
  LET(
    texto1, REGEXREPLACE(G3,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"),"Mariano Leticia Palomino")</f>
        <v>Mariano Leticia Palomino</v>
      </c>
      <c r="U3" s="28" t="str">
        <f t="shared" si="4"/>
        <v>c1103728-e36d-48da-ba95-42c7fc1ccca5</v>
      </c>
      <c r="V3" s="30" t="str">
        <f t="shared" si="5"/>
        <v>Auriculares Bluetooth 8GB</v>
      </c>
    </row>
    <row r="4" ht="15.75" customHeight="1">
      <c r="A4" s="6" t="s">
        <v>21</v>
      </c>
      <c r="B4" s="2" t="s">
        <v>16</v>
      </c>
      <c r="C4" s="2" t="s">
        <v>22</v>
      </c>
      <c r="D4" s="7">
        <v>1174.54</v>
      </c>
      <c r="E4" s="2">
        <v>2.0</v>
      </c>
      <c r="F4" s="7">
        <v>2349.08</v>
      </c>
      <c r="G4" s="2" t="s">
        <v>23</v>
      </c>
      <c r="H4" s="2" t="s">
        <v>24</v>
      </c>
      <c r="I4" s="2" t="s">
        <v>25</v>
      </c>
      <c r="K4" s="19" t="str">
        <f>IFERROR(__xludf.DUMMYFUNCTION("IF(ISBLANK(A4),
  """",
  IF(ISNUMBER(A4),
    TEXT(A4,""dd/mm/yyyy""),
    IF(
      REGEXMATCH(TRIM(A4),""^\d{1,2}/\d{1,2}/\d{4}$""),
      TRIM(A4),
      IFERROR(
        TEXT(DATEVALUE(SUBSTITUTE(SUBSTITUTE(TRIM(A4),""-"",""/""),""."",""/"")),""dd/mm"&amp;"/yyyy""),
        TRIM(A4)
      )
    )
  )
)
"),"27/10/2024")</f>
        <v>27/10/2024</v>
      </c>
      <c r="L4" s="20">
        <v>45592.0</v>
      </c>
      <c r="M4" s="21" t="str">
        <f>IFERROR(__xludf.DUMMYFUNCTION("PROPER(TRIM(
  REGEXREPLACE(
    REGEXREPLACE(
      SUBSTITUTE(SUBSTITUTE(SUBSTITUTE(SUBSTITUTE(SUBSTITUTE(SUBSTITUTE(SUBSTITUTE(SUBSTITUTE(SUBSTITUTE(SUBSTITUTE(SUBSTITUTE(
        B4,""√©"",""é""),""√°"",""á""),""√±"",""ñ""),""√≥"",""ó""),""√â"",""é"")"&amp;",""√Å"",""á""),""√ç"",""í""),""√Ç"",""Í""),""√Â"",""é""),""√≠"",""í""),""√º"",""ú""),
      ""[,\\.√]"",""""),
    ""\\s+"","" "")
))
"),"Bogotá")</f>
        <v>Bogotá</v>
      </c>
      <c r="N4" s="22" t="str">
        <f>IFERROR(__xludf.DUMMYFUNCTION("SPLIT(
  TRIM(
    SUBSTITUTE(
      SUBSTITUTE(
        SUBSTITUTE(
          SUBSTITUTE(
            C4,
            ""√©"", ""é""
          ),
          ""√±"", ""ñ""
        ),
        ""√°"", ""á""
      ),
      ""√≥"", ""ó""
    )
  ),
  ""-""
)
"),"Laptop")</f>
        <v>Laptop</v>
      </c>
      <c r="O4" s="22" t="str">
        <f>IFERROR(__xludf.DUMMYFUNCTION("""COMPUTED_VALUE"""),"Gaming")</f>
        <v>Gaming</v>
      </c>
      <c r="P4" s="22" t="str">
        <f>IFERROR(__xludf.DUMMYFUNCTION("""COMPUTED_VALUE"""),"32GB")</f>
        <v>32GB</v>
      </c>
      <c r="Q4" s="23">
        <f t="shared" si="1"/>
        <v>1174.54</v>
      </c>
      <c r="R4" s="22">
        <f t="shared" si="2"/>
        <v>2</v>
      </c>
      <c r="S4" s="23">
        <f t="shared" si="3"/>
        <v>2349.08</v>
      </c>
      <c r="T4" s="22" t="str">
        <f>IFERROR(__xludf.DUMMYFUNCTION("PROPER(TRIM(
  LET(
    texto1, REGEXREPLACE(G4,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"),"Gregorio Gaytán")</f>
        <v>Gregorio Gaytán</v>
      </c>
      <c r="U4" s="22" t="str">
        <f t="shared" si="4"/>
        <v>1fd52e4f-ce34-4747-8dc7-fa4b9fe57dc4</v>
      </c>
      <c r="V4" s="24" t="str">
        <f t="shared" si="5"/>
        <v>Laptop Gaming 32GB</v>
      </c>
    </row>
    <row r="5" ht="15.75" customHeight="1">
      <c r="A5" s="6">
        <v>45598.0</v>
      </c>
      <c r="B5" s="2" t="s">
        <v>27</v>
      </c>
      <c r="C5" s="2" t="s">
        <v>28</v>
      </c>
      <c r="D5" s="7">
        <v>1291.38</v>
      </c>
      <c r="E5" s="2">
        <v>4.0</v>
      </c>
      <c r="F5" s="7">
        <v>5165.52</v>
      </c>
      <c r="G5" s="2" t="s">
        <v>29</v>
      </c>
      <c r="H5" s="2" t="s">
        <v>30</v>
      </c>
      <c r="I5" s="2" t="s">
        <v>31</v>
      </c>
      <c r="K5" s="25" t="str">
        <f>IFERROR(__xludf.DUMMYFUNCTION("IF(ISBLANK(A5),
  """",
  IF(ISNUMBER(A5),
    TEXT(A5,""dd/mm/yyyy""),
    IF(
      REGEXMATCH(TRIM(A5),""^\d{1,2}/\d{1,2}/\d{4}$""),
      TRIM(A5),
      IFERROR(
        TEXT(DATEVALUE(SUBSTITUTE(SUBSTITUTE(TRIM(A5),""-"",""/""),""."",""/"")),""dd/mm"&amp;"/yyyy""),
        TRIM(A5)
      )
    )
  )
)
"),"02/11/2024")</f>
        <v>02/11/2024</v>
      </c>
      <c r="L5" s="26">
        <v>45598.0</v>
      </c>
      <c r="M5" s="27" t="str">
        <f>IFERROR(__xludf.DUMMYFUNCTION("PROPER(TRIM(
  REGEXREPLACE(
    REGEXREPLACE(
      SUBSTITUTE(SUBSTITUTE(SUBSTITUTE(SUBSTITUTE(SUBSTITUTE(SUBSTITUTE(SUBSTITUTE(SUBSTITUTE(SUBSTITUTE(SUBSTITUTE(SUBSTITUTE(
        B5,""√©"",""é""),""√°"",""á""),""√±"",""ñ""),""√≥"",""ó""),""√â"",""é"")"&amp;",""√Å"",""á""),""√ç"",""í""),""√Ç"",""Í""),""√Â"",""é""),""√≠"",""í""),""√º"",""ú""),
      ""[,\\.√]"",""""),
    ""\\s+"","" "")
))
"),"Medellín")</f>
        <v>Medellín</v>
      </c>
      <c r="N5" s="28" t="str">
        <f>IFERROR(__xludf.DUMMYFUNCTION("SPLIT(
  TRIM(
    SUBSTITUTE(
      SUBSTITUTE(
        SUBSTITUTE(
          SUBSTITUTE(
            C5,
            ""√©"", ""é""
          ),
          ""√±"", ""ñ""
        ),
        ""√°"", ""á""
      ),
      ""√≥"", ""ó""
    )
  ),
  ""-""
)
"),"Tablet")</f>
        <v>Tablet</v>
      </c>
      <c r="O5" s="28" t="str">
        <f>IFERROR(__xludf.DUMMYFUNCTION("""COMPUTED_VALUE"""),"Pro")</f>
        <v>Pro</v>
      </c>
      <c r="P5" s="28" t="str">
        <f>IFERROR(__xludf.DUMMYFUNCTION("""COMPUTED_VALUE"""),"8GB")</f>
        <v>8GB</v>
      </c>
      <c r="Q5" s="29">
        <f t="shared" si="1"/>
        <v>1291.38</v>
      </c>
      <c r="R5" s="28">
        <f t="shared" si="2"/>
        <v>4</v>
      </c>
      <c r="S5" s="29">
        <f t="shared" si="3"/>
        <v>5165.52</v>
      </c>
      <c r="T5" s="28" t="str">
        <f>IFERROR(__xludf.DUMMYFUNCTION("PROPER(TRIM(
  LET(
    texto1, REGEXREPLACE(G5,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"),"Alejandra Araceli Gutiérrez")</f>
        <v>Alejandra Araceli Gutiérrez</v>
      </c>
      <c r="U5" s="28" t="str">
        <f t="shared" si="4"/>
        <v>0ada26be-f753-405b-a1a4-3599df81e700</v>
      </c>
      <c r="V5" s="30" t="str">
        <f t="shared" si="5"/>
        <v>Tablet Pro 8GB</v>
      </c>
    </row>
    <row r="6" ht="15.75" customHeight="1">
      <c r="A6" s="6" t="s">
        <v>32</v>
      </c>
      <c r="B6" s="2" t="s">
        <v>27</v>
      </c>
      <c r="C6" s="2" t="s">
        <v>33</v>
      </c>
      <c r="D6" s="7">
        <v>1450.89</v>
      </c>
      <c r="E6" s="2">
        <v>1.0</v>
      </c>
      <c r="F6" s="7">
        <v>1450.89</v>
      </c>
      <c r="G6" s="2" t="s">
        <v>34</v>
      </c>
      <c r="H6" s="2" t="s">
        <v>35</v>
      </c>
      <c r="I6" s="2" t="s">
        <v>36</v>
      </c>
      <c r="K6" s="19" t="str">
        <f>IFERROR(__xludf.DUMMYFUNCTION("IF(ISBLANK(A6),
  """",
  IF(ISNUMBER(A6),
    TEXT(A6,""dd/mm/yyyy""),
    IF(
      REGEXMATCH(TRIM(A6),""^\d{1,2}/\d{1,2}/\d{4}$""),
      TRIM(A6),
      IFERROR(
        TEXT(DATEVALUE(SUBSTITUTE(SUBSTITUTE(TRIM(A6),""-"",""/""),""."",""/"")),""dd/mm"&amp;"/yyyy""),
        TRIM(A6)
      )
    )
  )
)
"),"28/11/2024")</f>
        <v>28/11/2024</v>
      </c>
      <c r="L6" s="20">
        <v>45624.0</v>
      </c>
      <c r="M6" s="21" t="str">
        <f>IFERROR(__xludf.DUMMYFUNCTION("PROPER(TRIM(
  REGEXREPLACE(
    REGEXREPLACE(
      SUBSTITUTE(SUBSTITUTE(SUBSTITUTE(SUBSTITUTE(SUBSTITUTE(SUBSTITUTE(SUBSTITUTE(SUBSTITUTE(SUBSTITUTE(SUBSTITUTE(SUBSTITUTE(
        B6,""√©"",""é""),""√°"",""á""),""√±"",""ñ""),""√≥"",""ó""),""√â"",""é"")"&amp;",""√Å"",""á""),""√ç"",""í""),""√Ç"",""Í""),""√Â"",""é""),""√≠"",""í""),""√º"",""ú""),
      ""[,\\.√]"",""""),
    ""\\s+"","" "")
))
"),"Medellín")</f>
        <v>Medellín</v>
      </c>
      <c r="N6" s="22" t="str">
        <f>IFERROR(__xludf.DUMMYFUNCTION("SPLIT(
  TRIM(
    SUBSTITUTE(
      SUBSTITUTE(
        SUBSTITUTE(
          SUBSTITUTE(
            C6,
            ""√©"", ""é""
          ),
          ""√±"", ""ñ""
        ),
        ""√°"", ""á""
      ),
      ""√≥"", ""ó""
    )
  ),
  ""-""
)
"),"Teléfono")</f>
        <v>Teléfono</v>
      </c>
      <c r="O6" s="22" t="str">
        <f>IFERROR(__xludf.DUMMYFUNCTION("""COMPUTED_VALUE"""),"Gama alta")</f>
        <v>Gama alta</v>
      </c>
      <c r="P6" s="22" t="str">
        <f>IFERROR(__xludf.DUMMYFUNCTION("""COMPUTED_VALUE"""),"4GB")</f>
        <v>4GB</v>
      </c>
      <c r="Q6" s="23">
        <f t="shared" si="1"/>
        <v>1450.89</v>
      </c>
      <c r="R6" s="22">
        <f t="shared" si="2"/>
        <v>1</v>
      </c>
      <c r="S6" s="23">
        <f t="shared" si="3"/>
        <v>1450.89</v>
      </c>
      <c r="T6" s="22" t="str">
        <f>IFERROR(__xludf.DUMMYFUNCTION("PROPER(TRIM(
  LET(
    texto1, REGEXREPLACE(G6,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"),"Miguel Ángel Mondragón Benavídez")</f>
        <v>Miguel Ángel Mondragón Benavídez</v>
      </c>
      <c r="U6" s="22" t="str">
        <f t="shared" si="4"/>
        <v>9300cdf6-1250-4659-917a-93641a266da5</v>
      </c>
      <c r="V6" s="24" t="str">
        <f t="shared" si="5"/>
        <v>Teléfono Gama alta 4GB</v>
      </c>
    </row>
    <row r="7" ht="15.75" customHeight="1">
      <c r="A7" s="6">
        <v>45601.0</v>
      </c>
      <c r="B7" s="2" t="s">
        <v>38</v>
      </c>
      <c r="C7" s="2" t="s">
        <v>39</v>
      </c>
      <c r="D7" s="7">
        <v>670.67</v>
      </c>
      <c r="E7" s="2">
        <v>4.0</v>
      </c>
      <c r="F7" s="7">
        <v>2682.68</v>
      </c>
      <c r="G7" s="2" t="s">
        <v>40</v>
      </c>
      <c r="H7" s="2" t="s">
        <v>41</v>
      </c>
      <c r="I7" s="2" t="s">
        <v>42</v>
      </c>
      <c r="K7" s="25" t="str">
        <f>IFERROR(__xludf.DUMMYFUNCTION("IF(ISBLANK(A7),
  """",
  IF(ISNUMBER(A7),
    TEXT(A7,""dd/mm/yyyy""),
    IF(
      REGEXMATCH(TRIM(A7),""^\d{1,2}/\d{1,2}/\d{4}$""),
      TRIM(A7),
      IFERROR(
        TEXT(DATEVALUE(SUBSTITUTE(SUBSTITUTE(TRIM(A7),""-"",""/""),""."",""/"")),""dd/mm"&amp;"/yyyy""),
        TRIM(A7)
      )
    )
  )
)
"),"05/11/2024")</f>
        <v>05/11/2024</v>
      </c>
      <c r="L7" s="26">
        <v>45601.0</v>
      </c>
      <c r="M7" s="27" t="str">
        <f>IFERROR(__xludf.DUMMYFUNCTION("PROPER(TRIM(
  REGEXREPLACE(
    REGEXREPLACE(
      SUBSTITUTE(SUBSTITUTE(SUBSTITUTE(SUBSTITUTE(SUBSTITUTE(SUBSTITUTE(SUBSTITUTE(SUBSTITUTE(SUBSTITUTE(SUBSTITUTE(SUBSTITUTE(
        B7,""√©"",""é""),""√°"",""á""),""√±"",""ñ""),""√≥"",""ó""),""√â"",""é"")"&amp;",""√Å"",""á""),""√ç"",""í""),""√Ç"",""Í""),""√Â"",""é""),""√≠"",""í""),""√º"",""ú""),
      ""[,\\.√]"",""""),
    ""\\s+"","" "")
))
"),"Cali")</f>
        <v>Cali</v>
      </c>
      <c r="N7" s="28" t="str">
        <f>IFERROR(__xludf.DUMMYFUNCTION("SPLIT(
  TRIM(
    SUBSTITUTE(
      SUBSTITUTE(
        SUBSTITUTE(
          SUBSTITUTE(
            C7,
            ""√©"", ""é""
          ),
          ""√±"", ""ñ""
        ),
        ""√°"", ""á""
      ),
      ""√≥"", ""ó""
    )
  ),
  ""-""
)
"),"Teléfono")</f>
        <v>Teléfono</v>
      </c>
      <c r="O7" s="28" t="str">
        <f>IFERROR(__xludf.DUMMYFUNCTION("""COMPUTED_VALUE"""),"Gama alta")</f>
        <v>Gama alta</v>
      </c>
      <c r="P7" s="28" t="str">
        <f>IFERROR(__xludf.DUMMYFUNCTION("""COMPUTED_VALUE"""),"8GB")</f>
        <v>8GB</v>
      </c>
      <c r="Q7" s="29">
        <f t="shared" si="1"/>
        <v>670.67</v>
      </c>
      <c r="R7" s="28">
        <f t="shared" si="2"/>
        <v>4</v>
      </c>
      <c r="S7" s="29">
        <f t="shared" si="3"/>
        <v>2682.68</v>
      </c>
      <c r="T7" s="28" t="str">
        <f>IFERROR(__xludf.DUMMYFUNCTION("PROPER(TRIM(
  LET(
    texto1, REGEXREPLACE(G7,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"),"Gabino Conchita Bueno")</f>
        <v>Gabino Conchita Bueno</v>
      </c>
      <c r="U7" s="28" t="str">
        <f t="shared" si="4"/>
        <v>c46fe29a-c3e5-4c00-b9ea-94b719c84734</v>
      </c>
      <c r="V7" s="30" t="str">
        <f t="shared" si="5"/>
        <v>Teléfono Gama alta 8GB</v>
      </c>
    </row>
    <row r="8" ht="15.75" customHeight="1">
      <c r="A8" s="6">
        <v>45627.0</v>
      </c>
      <c r="B8" s="2" t="s">
        <v>44</v>
      </c>
      <c r="C8" s="2" t="s">
        <v>45</v>
      </c>
      <c r="D8" s="7">
        <v>1114.1</v>
      </c>
      <c r="E8" s="2">
        <v>3.0</v>
      </c>
      <c r="F8" s="7">
        <v>3342.3</v>
      </c>
      <c r="G8" s="2" t="s">
        <v>46</v>
      </c>
      <c r="H8" s="2" t="s">
        <v>47</v>
      </c>
      <c r="I8" s="2" t="s">
        <v>48</v>
      </c>
      <c r="K8" s="19" t="str">
        <f>IFERROR(__xludf.DUMMYFUNCTION("IF(ISBLANK(A8),
  """",
  IF(ISNUMBER(A8),
    TEXT(A8,""dd/mm/yyyy""),
    IF(
      REGEXMATCH(TRIM(A8),""^\d{1,2}/\d{1,2}/\d{4}$""),
      TRIM(A8),
      IFERROR(
        TEXT(DATEVALUE(SUBSTITUTE(SUBSTITUTE(TRIM(A8),""-"",""/""),""."",""/"")),""dd/mm"&amp;"/yyyy""),
        TRIM(A8)
      )
    )
  )
)
"),"01/12/2024")</f>
        <v>01/12/2024</v>
      </c>
      <c r="L8" s="20">
        <v>45627.0</v>
      </c>
      <c r="M8" s="21" t="str">
        <f>IFERROR(__xludf.DUMMYFUNCTION("PROPER(TRIM(
  REGEXREPLACE(
    REGEXREPLACE(
      SUBSTITUTE(SUBSTITUTE(SUBSTITUTE(SUBSTITUTE(SUBSTITUTE(SUBSTITUTE(SUBSTITUTE(SUBSTITUTE(SUBSTITUTE(SUBSTITUTE(SUBSTITUTE(
        B8,""√©"",""é""),""√°"",""á""),""√±"",""ñ""),""√≥"",""ó""),""√â"",""é"")"&amp;",""√Å"",""á""),""√ç"",""í""),""√Ç"",""Í""),""√Â"",""é""),""√≠"",""í""),""√º"",""ú""),
      ""[,\\.√]"",""""),
    ""\\s+"","" "")
))
"),"Guadalajara")</f>
        <v>Guadalajara</v>
      </c>
      <c r="N8" s="22" t="str">
        <f>IFERROR(__xludf.DUMMYFUNCTION("SPLIT(
  TRIM(
    SUBSTITUTE(
      SUBSTITUTE(
        SUBSTITUTE(
          SUBSTITUTE(
            C8,
            ""√©"", ""é""
          ),
          ""√±"", ""ñ""
        ),
        ""√°"", ""á""
      ),
      ""√≥"", ""ó""
    )
  ),
  ""-""
)
"),"Tablet")</f>
        <v>Tablet</v>
      </c>
      <c r="O8" s="22" t="str">
        <f>IFERROR(__xludf.DUMMYFUNCTION("""COMPUTED_VALUE"""),"Mini")</f>
        <v>Mini</v>
      </c>
      <c r="P8" s="22" t="str">
        <f>IFERROR(__xludf.DUMMYFUNCTION("""COMPUTED_VALUE"""),"4GB")</f>
        <v>4GB</v>
      </c>
      <c r="Q8" s="23">
        <f t="shared" si="1"/>
        <v>1114.1</v>
      </c>
      <c r="R8" s="22">
        <f t="shared" si="2"/>
        <v>3</v>
      </c>
      <c r="S8" s="23">
        <f t="shared" si="3"/>
        <v>3342.3</v>
      </c>
      <c r="T8" s="22" t="str">
        <f>IFERROR(__xludf.DUMMYFUNCTION("PROPER(TRIM(
  LET(
    texto1, REGEXREPLACE(G8,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"),"Karla Pineda Arriaga")</f>
        <v>Karla Pineda Arriaga</v>
      </c>
      <c r="U8" s="22" t="str">
        <f t="shared" si="4"/>
        <v>35bff7d1-834a-47b1-8627-e9ce0847bae9</v>
      </c>
      <c r="V8" s="24" t="str">
        <f t="shared" si="5"/>
        <v>Tablet Mini 4GB</v>
      </c>
    </row>
    <row r="9" ht="15.75" customHeight="1">
      <c r="A9" s="6">
        <v>45636.0</v>
      </c>
      <c r="B9" s="2" t="s">
        <v>50</v>
      </c>
      <c r="C9" s="2" t="s">
        <v>28</v>
      </c>
      <c r="D9" s="7">
        <v>1001.63</v>
      </c>
      <c r="E9" s="2">
        <v>3.0</v>
      </c>
      <c r="F9" s="7">
        <v>3004.89</v>
      </c>
      <c r="G9" s="2" t="s">
        <v>51</v>
      </c>
      <c r="H9" s="2" t="s">
        <v>52</v>
      </c>
      <c r="I9" s="2" t="s">
        <v>53</v>
      </c>
      <c r="K9" s="25" t="str">
        <f>IFERROR(__xludf.DUMMYFUNCTION("IF(ISBLANK(A9),
  """",
  IF(ISNUMBER(A9),
    TEXT(A9,""dd/mm/yyyy""),
    IF(
      REGEXMATCH(TRIM(A9),""^\d{1,2}/\d{1,2}/\d{4}$""),
      TRIM(A9),
      IFERROR(
        TEXT(DATEVALUE(SUBSTITUTE(SUBSTITUTE(TRIM(A9),""-"",""/""),""."",""/"")),""dd/mm"&amp;"/yyyy""),
        TRIM(A9)
      )
    )
  )
)
"),"10/12/2024")</f>
        <v>10/12/2024</v>
      </c>
      <c r="L9" s="26">
        <v>45636.0</v>
      </c>
      <c r="M9" s="27" t="str">
        <f>IFERROR(__xludf.DUMMYFUNCTION("PROPER(TRIM(
  REGEXREPLACE(
    REGEXREPLACE(
      SUBSTITUTE(SUBSTITUTE(SUBSTITUTE(SUBSTITUTE(SUBSTITUTE(SUBSTITUTE(SUBSTITUTE(SUBSTITUTE(SUBSTITUTE(SUBSTITUTE(SUBSTITUTE(
        B9,""√©"",""é""),""√°"",""á""),""√±"",""ñ""),""√≥"",""ó""),""√â"",""é"")"&amp;",""√Å"",""á""),""√ç"",""í""),""√Ç"",""Í""),""√Â"",""é""),""√≠"",""í""),""√º"",""ú""),
      ""[,\\.√]"",""""),
    ""\\s+"","" "")
))
"),"Ciudad De México")</f>
        <v>Ciudad De México</v>
      </c>
      <c r="N9" s="28" t="str">
        <f>IFERROR(__xludf.DUMMYFUNCTION("SPLIT(
  TRIM(
    SUBSTITUTE(
      SUBSTITUTE(
        SUBSTITUTE(
          SUBSTITUTE(
            C9,
            ""√©"", ""é""
          ),
          ""√±"", ""ñ""
        ),
        ""√°"", ""á""
      ),
      ""√≥"", ""ó""
    )
  ),
  ""-""
)
"),"Tablet")</f>
        <v>Tablet</v>
      </c>
      <c r="O9" s="28" t="str">
        <f>IFERROR(__xludf.DUMMYFUNCTION("""COMPUTED_VALUE"""),"Pro")</f>
        <v>Pro</v>
      </c>
      <c r="P9" s="28" t="str">
        <f>IFERROR(__xludf.DUMMYFUNCTION("""COMPUTED_VALUE"""),"8GB")</f>
        <v>8GB</v>
      </c>
      <c r="Q9" s="29">
        <f t="shared" si="1"/>
        <v>1001.63</v>
      </c>
      <c r="R9" s="28">
        <f t="shared" si="2"/>
        <v>3</v>
      </c>
      <c r="S9" s="29">
        <f t="shared" si="3"/>
        <v>3004.89</v>
      </c>
      <c r="T9" s="28" t="str">
        <f>IFERROR(__xludf.DUMMYFUNCTION("PROPER(TRIM(
  LET(
    texto1, REGEXREPLACE(G9, ""(?i)\b(DR\.?|SRA?\.?|\(A\)|MTRO\.?|LIC\.?|ING\.?)\b"", """"),
    texto2, REGEXREPLACE(texto1, ""√©|√â|√Â"", ""é""),
    texto3, REGEXREPLACE(texto2, ""√°|√Å"", ""á""),
    texto4, REGEXREPLACE(texto3, """&amp;"√±"",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REGEX"&amp;"REPLACE(texto8, ""^[A-Za-zÁÉÍÓÚÜÑáéíóúüñ]\s+"", """"),
    texto10, IF(REGEXMATCH(texto9, ""(?i)^\s*Jos\s*$""), ""José"", texto9),
    texto11, REGEXREPLACE(texto10, ""(?i)(eé|ée|ee|éé)+"", ""é""),
    texto12, REGEXREPLACE(texto11, ""(?i)(aá|áa|aa|áá)+"""&amp;", ""á""),
    texto13, REGEXREPLACE(texto12, ""(?i)(ií|íi|ii|íí)+"", ""í""),
    texto14, REGEXREPLACE(texto13, ""(?i)(oó|óo|oo|óó)+"", ""ó""),
    texto15, REGEXREPLACE(texto14, ""(?i)(uú|úu|uu|úú)+"", ""ú""),
    texto16, REGEXREPLACE(texto15, ""\s{2,}"&amp;""", "" ""),
    texto16
  )
))
"),"Rolando Mares")</f>
        <v>Rolando Mares</v>
      </c>
      <c r="U9" s="28" t="str">
        <f t="shared" si="4"/>
        <v>5199a25e-ee56-4e1f-9c71-21f24998e8fc</v>
      </c>
      <c r="V9" s="30" t="str">
        <f t="shared" si="5"/>
        <v>Tablet Pro 8GB</v>
      </c>
    </row>
    <row r="10" ht="15.75" customHeight="1">
      <c r="A10" s="6" t="s">
        <v>54</v>
      </c>
      <c r="B10" s="2" t="s">
        <v>38</v>
      </c>
      <c r="C10" s="2" t="s">
        <v>55</v>
      </c>
      <c r="D10" s="7">
        <v>181.56</v>
      </c>
      <c r="E10" s="2">
        <v>4.0</v>
      </c>
      <c r="F10" s="7">
        <v>726.24</v>
      </c>
      <c r="G10" s="2" t="s">
        <v>56</v>
      </c>
      <c r="H10" s="2" t="s">
        <v>57</v>
      </c>
      <c r="I10" s="2" t="s">
        <v>58</v>
      </c>
      <c r="K10" s="19" t="str">
        <f>IFERROR(__xludf.DUMMYFUNCTION("IF(ISBLANK(A10),
  """",
  IF(ISNUMBER(A10),
    TEXT(A10,""dd/mm/yyyy""),
    IF(
      REGEXMATCH(TRIM(A10),""^\d{1,2}/\d{1,2}/\d{4}$""),
      TRIM(A10),
      IFERROR(
        TEXT(DATEVALUE(SUBSTITUTE(SUBSTITUTE(TRIM(A10),""-"",""/""),""."",""/"")),"&amp;"""dd/mm/yyyy""),
        TRIM(A10)
      )
    )
  )
)
"),"15/12/2024")</f>
        <v>15/12/2024</v>
      </c>
      <c r="L10" s="20">
        <v>45641.0</v>
      </c>
      <c r="M10" s="21" t="str">
        <f>IFERROR(__xludf.DUMMYFUNCTION("PROPER(TRIM(
  REGEXREPLACE(
    REGEXREPLACE(
      SUBSTITUTE(SUBSTITUTE(SUBSTITUTE(SUBSTITUTE(SUBSTITUTE(SUBSTITUTE(SUBSTITUTE(SUBSTITUTE(SUBSTITUTE(SUBSTITUTE(SUBSTITUTE(
        B10,""√©"",""é""),""√°"",""á""),""√±"",""ñ""),""√≥"",""ó""),""√â"",""é"""&amp;"),""√Å"",""á""),""√ç"",""í""),""√Ç"",""Í""),""√Â"",""é""),""√≠"",""í""),""√º"",""ú""),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10" s="22" t="str">
        <f>IFERROR(__xludf.DUMMYFUNCTION("SPLIT(
  TRIM(
    SUBSTITUTE(
      SUBSTITUTE(
        SUBSTITUTE(
          SUBSTITUTE(
            C10,
            ""√©"", ""é""
          ),
          ""√±"", ""ñ""
        ),
        ""√°"", ""á""
      ),
      ""√≥"", ""ó""
    )
  ),
  ""-""
)
"),"Laptop")</f>
        <v>Laptop</v>
      </c>
      <c r="O10" s="22" t="str">
        <f>IFERROR(__xludf.DUMMYFUNCTION("""COMPUTED_VALUE"""),"Ultraliviana")</f>
        <v>Ultraliviana</v>
      </c>
      <c r="P10" s="22" t="str">
        <f>IFERROR(__xludf.DUMMYFUNCTION("""COMPUTED_VALUE"""),"16GB")</f>
        <v>16GB</v>
      </c>
      <c r="Q10" s="23">
        <f t="shared" si="1"/>
        <v>181.56</v>
      </c>
      <c r="R10" s="22">
        <f t="shared" si="2"/>
        <v>4</v>
      </c>
      <c r="S10" s="23">
        <f t="shared" si="3"/>
        <v>726.24</v>
      </c>
      <c r="T10" s="22" t="str">
        <f>IFERROR(__xludf.DUMMYFUNCTION("PROPER(TRIM(
  LET(
    texto1, REGEXREPLACE(G10,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"),"Virginia Mondragón")</f>
        <v>Virginia Mondragón</v>
      </c>
      <c r="U10" s="22" t="str">
        <f t="shared" si="4"/>
        <v>e58774cc-8183-4c21-b23d-1089685c61dd</v>
      </c>
      <c r="V10" s="24" t="str">
        <f t="shared" si="5"/>
        <v>Laptop Ultraliviana 16GB</v>
      </c>
    </row>
    <row r="11" ht="15.75" customHeight="1">
      <c r="A11" s="6" t="s">
        <v>59</v>
      </c>
      <c r="B11" s="2" t="s">
        <v>60</v>
      </c>
      <c r="C11" s="2" t="s">
        <v>45</v>
      </c>
      <c r="D11" s="7">
        <v>964.35</v>
      </c>
      <c r="E11" s="2">
        <v>5.0</v>
      </c>
      <c r="F11" s="7">
        <v>4821.75</v>
      </c>
      <c r="G11" s="2" t="s">
        <v>61</v>
      </c>
      <c r="H11" s="2" t="s">
        <v>62</v>
      </c>
      <c r="I11" s="3" t="s">
        <v>63</v>
      </c>
      <c r="K11" s="25" t="str">
        <f>IFERROR(__xludf.DUMMYFUNCTION("IF(ISBLANK(A11),
  """",
  IF(ISNUMBER(A11),
    TEXT(A11,""dd/mm/yyyy""),
    IF(
      REGEXMATCH(TRIM(A11),""^\d{1,2}/\d{1,2}/\d{4}$""),
      TRIM(A11),
      IFERROR(
        TEXT(DATEVALUE(SUBSTITUTE(SUBSTITUTE(TRIM(A11),""-"",""/""),""."",""/"")),"&amp;"""dd/mm/yyyy""),
        TRIM(A11)
      )
    )
  )
)
"),"23/12/2024")</f>
        <v>23/12/2024</v>
      </c>
      <c r="L11" s="26">
        <v>45649.0</v>
      </c>
      <c r="M11" s="27" t="str">
        <f>IFERROR(__xludf.DUMMYFUNCTION("PROPER(TRIM(
  REGEXREPLACE(
    REGEXREPLACE(
      SUBSTITUTE(SUBSTITUTE(SUBSTITUTE(SUBSTITUTE(SUBSTITUTE(SUBSTITUTE(SUBSTITUTE(SUBSTITUTE(SUBSTITUTE(SUBSTITUTE(SUBSTITUTE(
        B11,""√©"",""é""),""√°"",""á""),""√±"",""ñ""),""√≥"",""ó""),""√â"",""é"""&amp;"),""√Å"",""á""),""√ç"",""í""),""√Ç"",""Í""),""√Â"",""é""),""√≠"",""í""),""√º"",""ú""),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11" s="28" t="str">
        <f>IFERROR(__xludf.DUMMYFUNCTION("SPLIT(
  TRIM(
    SUBSTITUTE(
      SUBSTITUTE(
        SUBSTITUTE(
          SUBSTITUTE(
            C11,
            ""√©"", ""é""
          ),
          ""√±"", ""ñ""
        ),
        ""√°"", ""á""
      ),
      ""√≥"", ""ó""
    )
  ),
  ""-""
)
"),"Tablet")</f>
        <v>Tablet</v>
      </c>
      <c r="O11" s="28" t="str">
        <f>IFERROR(__xludf.DUMMYFUNCTION("""COMPUTED_VALUE"""),"Mini")</f>
        <v>Mini</v>
      </c>
      <c r="P11" s="28" t="str">
        <f>IFERROR(__xludf.DUMMYFUNCTION("""COMPUTED_VALUE"""),"4GB")</f>
        <v>4GB</v>
      </c>
      <c r="Q11" s="29">
        <f t="shared" si="1"/>
        <v>964.35</v>
      </c>
      <c r="R11" s="28">
        <f t="shared" si="2"/>
        <v>5</v>
      </c>
      <c r="S11" s="29">
        <f t="shared" si="3"/>
        <v>4821.75</v>
      </c>
      <c r="T11" s="28" t="str">
        <f>IFERROR(__xludf.DUMMYFUNCTION("PROPER(TRIM(
  LET(
    texto1, REGEXREPLACE(G11,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 Manuel Aldonza Contreras")</f>
        <v>Luis Manuel Aldonza Contreras</v>
      </c>
      <c r="U11" s="31" t="str">
        <f t="shared" si="4"/>
        <v>4e85609f-8a23-4d99-a616-2f83279d0dc0</v>
      </c>
      <c r="V11" s="30" t="str">
        <f t="shared" si="5"/>
        <v>Tablet Mini 4GB</v>
      </c>
    </row>
    <row r="12" ht="15.75" customHeight="1">
      <c r="A12" s="6">
        <v>45574.0</v>
      </c>
      <c r="B12" s="2" t="s">
        <v>16</v>
      </c>
      <c r="C12" s="2" t="s">
        <v>65</v>
      </c>
      <c r="D12" s="7">
        <v>120.46</v>
      </c>
      <c r="E12" s="2">
        <v>1.0</v>
      </c>
      <c r="F12" s="7">
        <v>120.46</v>
      </c>
      <c r="G12" s="2" t="s">
        <v>66</v>
      </c>
      <c r="H12" s="2" t="s">
        <v>67</v>
      </c>
      <c r="I12" s="2" t="s">
        <v>68</v>
      </c>
      <c r="K12" s="19" t="str">
        <f>IFERROR(__xludf.DUMMYFUNCTION("IF(ISBLANK(A12),
  """",
  IF(ISNUMBER(A12),
    TEXT(A12,""dd/mm/yyyy""),
    IF(
      REGEXMATCH(TRIM(A12),""^\d{1,2}/\d{1,2}/\d{4}$""),
      TRIM(A12),
      IFERROR(
        TEXT(DATEVALUE(SUBSTITUTE(SUBSTITUTE(TRIM(A12),""-"",""/""),""."",""/"")),"&amp;"""dd/mm/yyyy""),
        TRIM(A12)
      )
    )
  )
)
"),"09/10/2024")</f>
        <v>09/10/2024</v>
      </c>
      <c r="L12" s="20">
        <v>45574.0</v>
      </c>
      <c r="M12" s="21" t="str">
        <f>IFERROR(__xludf.DUMMYFUNCTION("PROPER(TRIM(
  REGEXREPLACE(
    REGEXREPLACE(
      SUBSTITUTE(SUBSTITUTE(SUBSTITUTE(SUBSTITUTE(SUBSTITUTE(SUBSTITUTE(SUBSTITUTE(SUBSTITUTE(SUBSTITUTE(SUBSTITUTE(SUBSTITUTE(
        B12,""√©"",""é""),""√°"",""á""),""√±"",""ñ""),""√≥"",""ó""),""√â"",""é"""&amp;"),""√Å"",""á""),""√ç"",""í""),""√Ç"",""Í""),""√Â"",""é""),""√≠"",""í""),""√º"",""ú""),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12" s="22" t="str">
        <f>IFERROR(__xludf.DUMMYFUNCTION("SPLIT(
  TRIM(
    SUBSTITUTE(
      SUBSTITUTE(
        SUBSTITUTE(
          SUBSTITUTE(
            C12,
            ""√©"", ""é""
          ),
          ""√±"", ""ñ""
        ),
        ""√°"", ""á""
      ),
      ""√≥"", ""ó""
    )
  ),
  ""-""
)
"),"Auriculares")</f>
        <v>Auriculares</v>
      </c>
      <c r="O12" s="22" t="str">
        <f>IFERROR(__xludf.DUMMYFUNCTION("""COMPUTED_VALUE"""),"Bluetooth")</f>
        <v>Bluetooth</v>
      </c>
      <c r="P12" s="22" t="str">
        <f>IFERROR(__xludf.DUMMYFUNCTION("""COMPUTED_VALUE"""),"16GB")</f>
        <v>16GB</v>
      </c>
      <c r="Q12" s="23">
        <f t="shared" si="1"/>
        <v>120.46</v>
      </c>
      <c r="R12" s="22">
        <f t="shared" si="2"/>
        <v>1</v>
      </c>
      <c r="S12" s="23">
        <f t="shared" si="3"/>
        <v>120.46</v>
      </c>
      <c r="T12" s="22" t="str">
        <f>IFERROR(__xludf.DUMMYFUNCTION("PROPER(TRIM(
  LET(
    texto1, REGEXREPLACE(G12,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"),"Indira Guadalupe Montez Alcaraz")</f>
        <v>Indira Guadalupe Montez Alcaraz</v>
      </c>
      <c r="U12" s="22" t="str">
        <f t="shared" si="4"/>
        <v>a076e80e-95f4-4b8d-8e0e-af032fd3e7e3</v>
      </c>
      <c r="V12" s="24" t="str">
        <f t="shared" si="5"/>
        <v>Auriculares Bluetooth 16GB</v>
      </c>
    </row>
    <row r="13" ht="15.75" customHeight="1">
      <c r="A13" s="6">
        <v>45621.0</v>
      </c>
      <c r="B13" s="2" t="s">
        <v>27</v>
      </c>
      <c r="C13" s="2" t="s">
        <v>70</v>
      </c>
      <c r="D13" s="7">
        <v>1061.61</v>
      </c>
      <c r="E13" s="2">
        <v>1.0</v>
      </c>
      <c r="F13" s="7">
        <v>1061.61</v>
      </c>
      <c r="G13" s="2" t="s">
        <v>71</v>
      </c>
      <c r="H13" s="2" t="s">
        <v>72</v>
      </c>
      <c r="I13" s="2" t="s">
        <v>73</v>
      </c>
      <c r="K13" s="25" t="str">
        <f>IFERROR(__xludf.DUMMYFUNCTION("IF(ISBLANK(A13),
  """",
  IF(ISNUMBER(A13),
    TEXT(A13,""dd/mm/yyyy""),
    IF(
      REGEXMATCH(TRIM(A13),""^\d{1,2}/\d{1,2}/\d{4}$""),
      TRIM(A13),
      IFERROR(
        TEXT(DATEVALUE(SUBSTITUTE(SUBSTITUTE(TRIM(A13),""-"",""/""),""."",""/"")),"&amp;"""dd/mm/yyyy""),
        TRIM(A13)
      )
    )
  )
)
"),"25/11/2024")</f>
        <v>25/11/2024</v>
      </c>
      <c r="L13" s="26">
        <v>45621.0</v>
      </c>
      <c r="M13" s="27" t="str">
        <f>IFERROR(__xludf.DUMMYFUNCTION("PROPER(TRIM(
  REGEXREPLACE(
    REGEXREPLACE(
      SUBSTITUTE(SUBSTITUTE(SUBSTITUTE(SUBSTITUTE(SUBSTITUTE(SUBSTITUTE(SUBSTITUTE(SUBSTITUTE(SUBSTITUTE(SUBSTITUTE(SUBSTITUTE(
        B13,""√©"",""é""),""√°"",""á""),""√±"",""ñ""),""√≥"",""ó""),""√â"",""é"""&amp;"),""√Å"",""á""),""√ç"",""í""),""√Ç"",""Í""),""√Â"",""é""),""√≠"",""í""),""√º"",""ú""),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13" s="28" t="str">
        <f>IFERROR(__xludf.DUMMYFUNCTION("SPLIT(
  TRIM(
    SUBSTITUTE(
      SUBSTITUTE(
        SUBSTITUTE(
          SUBSTITUTE(
            C13,
            ""√©"", ""é""
          ),
          ""√±"", ""ñ""
        ),
        ""√°"", ""á""
      ),
      ""√≥"", ""ó""
    )
  ),
  ""-""
)
"),"Auriculares")</f>
        <v>Auriculares</v>
      </c>
      <c r="O13" s="28" t="str">
        <f>IFERROR(__xludf.DUMMYFUNCTION("""COMPUTED_VALUE"""),"Con cable")</f>
        <v>Con cable</v>
      </c>
      <c r="P13" s="28" t="str">
        <f>IFERROR(__xludf.DUMMYFUNCTION("""COMPUTED_VALUE"""),"16GB")</f>
        <v>16GB</v>
      </c>
      <c r="Q13" s="29">
        <f t="shared" si="1"/>
        <v>1061.61</v>
      </c>
      <c r="R13" s="28">
        <f t="shared" si="2"/>
        <v>1</v>
      </c>
      <c r="S13" s="29">
        <f t="shared" si="3"/>
        <v>1061.61</v>
      </c>
      <c r="T13" s="28" t="str">
        <f>IFERROR(__xludf.DUMMYFUNCTION("PROPER(TRIM(
  LET(
    texto1, REGEXREPLACE(G13,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"),"Luz De La Garza")</f>
        <v>Luz De La Garza</v>
      </c>
      <c r="U13" s="28" t="str">
        <f t="shared" si="4"/>
        <v>b76b9aa0-31e3-4e6d-905f-d7fc227d629a</v>
      </c>
      <c r="V13" s="30" t="str">
        <f t="shared" si="5"/>
        <v>Auriculares Con cable 16GB</v>
      </c>
    </row>
    <row r="14" ht="15.75" customHeight="1">
      <c r="A14" s="6" t="s">
        <v>74</v>
      </c>
      <c r="B14" s="2" t="s">
        <v>38</v>
      </c>
      <c r="C14" s="2" t="s">
        <v>75</v>
      </c>
      <c r="D14" s="7">
        <v>2440.84</v>
      </c>
      <c r="E14" s="2">
        <v>5.0</v>
      </c>
      <c r="F14" s="7">
        <v>12204.2</v>
      </c>
      <c r="G14" s="2" t="s">
        <v>76</v>
      </c>
      <c r="H14" s="2" t="s">
        <v>77</v>
      </c>
      <c r="I14" s="2" t="s">
        <v>78</v>
      </c>
      <c r="K14" s="19" t="str">
        <f>IFERROR(__xludf.DUMMYFUNCTION("IF(ISBLANK(A14),
  """",
  IF(ISNUMBER(A14),
    TEXT(A14,""dd/mm/yyyy""),
    IF(
      REGEXMATCH(TRIM(A14),""^\d{1,2}/\d{1,2}/\d{4}$""),
      TRIM(A14),
      IFERROR(
        TEXT(DATEVALUE(SUBSTITUTE(SUBSTITUTE(TRIM(A14),""-"",""/""),""."",""/"")),"&amp;"""dd/mm/yyyy""),
        TRIM(A14)
      )
    )
  )
)
"),"19/12/2024")</f>
        <v>19/12/2024</v>
      </c>
      <c r="L14" s="20">
        <v>45645.0</v>
      </c>
      <c r="M14" s="21" t="str">
        <f>IFERROR(__xludf.DUMMYFUNCTION("PROPER(TRIM(
  REGEXREPLACE(
    REGEXREPLACE(
      SUBSTITUTE(SUBSTITUTE(SUBSTITUTE(SUBSTITUTE(SUBSTITUTE(SUBSTITUTE(SUBSTITUTE(SUBSTITUTE(SUBSTITUTE(SUBSTITUTE(SUBSTITUTE(
        B14,""√©"",""é""),""√°"",""á""),""√±"",""ñ""),""√≥"",""ó""),""√â"",""é"""&amp;"),""√Å"",""á""),""√ç"",""í""),""√Ç"",""Í""),""√Â"",""é""),""√≠"",""í""),""√º"",""ú""),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14" s="22" t="str">
        <f>IFERROR(__xludf.DUMMYFUNCTION("SPLIT(
  TRIM(
    SUBSTITUTE(
      SUBSTITUTE(
        SUBSTITUTE(
          SUBSTITUTE(
            C14,
            ""√©"", ""é""
          ),
          ""√±"", ""ñ""
        ),
        ""√°"", ""á""
      ),
      ""√≥"", ""ó""
    )
  ),
  ""-""
)
"),"Tablet")</f>
        <v>Tablet</v>
      </c>
      <c r="O14" s="22" t="str">
        <f>IFERROR(__xludf.DUMMYFUNCTION("""COMPUTED_VALUE"""),"Pro")</f>
        <v>Pro</v>
      </c>
      <c r="P14" s="22" t="str">
        <f>IFERROR(__xludf.DUMMYFUNCTION("""COMPUTED_VALUE"""),"4GB")</f>
        <v>4GB</v>
      </c>
      <c r="Q14" s="23">
        <f t="shared" si="1"/>
        <v>2440.84</v>
      </c>
      <c r="R14" s="22">
        <f t="shared" si="2"/>
        <v>5</v>
      </c>
      <c r="S14" s="23">
        <f t="shared" si="3"/>
        <v>12204.2</v>
      </c>
      <c r="T14" s="22" t="str">
        <f>IFERROR(__xludf.DUMMYFUNCTION("PROPER(TRIM(
  LET(
    texto1, REGEXREPLACE(G14,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"),"Karla Mateo")</f>
        <v>Karla Mateo</v>
      </c>
      <c r="U14" s="22" t="str">
        <f t="shared" si="4"/>
        <v>fde0973c-ba07-4b7c-b196-f9743e17466a</v>
      </c>
      <c r="V14" s="24" t="str">
        <f t="shared" si="5"/>
        <v>Tablet Pro 4GB</v>
      </c>
    </row>
    <row r="15" ht="15.75" customHeight="1">
      <c r="A15" s="6">
        <v>45586.0</v>
      </c>
      <c r="B15" s="2" t="s">
        <v>10</v>
      </c>
      <c r="C15" s="2" t="s">
        <v>80</v>
      </c>
      <c r="D15" s="7">
        <v>121.68</v>
      </c>
      <c r="E15" s="2">
        <v>2.0</v>
      </c>
      <c r="F15" s="7">
        <v>243.36</v>
      </c>
      <c r="G15" s="2" t="s">
        <v>81</v>
      </c>
      <c r="H15" s="2" t="s">
        <v>82</v>
      </c>
      <c r="I15" s="2" t="s">
        <v>83</v>
      </c>
      <c r="K15" s="25" t="str">
        <f>IFERROR(__xludf.DUMMYFUNCTION("IF(ISBLANK(A15),
  """",
  IF(ISNUMBER(A15),
    TEXT(A15,""dd/mm/yyyy""),
    IF(
      REGEXMATCH(TRIM(A15),""^\d{1,2}/\d{1,2}/\d{4}$""),
      TRIM(A15),
      IFERROR(
        TEXT(DATEVALUE(SUBSTITUTE(SUBSTITUTE(TRIM(A15),""-"",""/""),""."",""/"")),"&amp;"""dd/mm/yyyy""),
        TRIM(A15)
      )
    )
  )
)
"),"21/10/2024")</f>
        <v>21/10/2024</v>
      </c>
      <c r="L15" s="26">
        <v>45586.0</v>
      </c>
      <c r="M15" s="27" t="str">
        <f>IFERROR(__xludf.DUMMYFUNCTION("PROPER(TRIM(
  REGEXREPLACE(
    REGEXREPLACE(
      SUBSTITUTE(SUBSTITUTE(SUBSTITUTE(SUBSTITUTE(SUBSTITUTE(SUBSTITUTE(SUBSTITUTE(SUBSTITUTE(SUBSTITUTE(SUBSTITUTE(SUBSTITUTE(
        B15,""√©"",""é""),""√°"",""á""),""√±"",""ñ""),""√≥"",""ó""),""√â"",""é"""&amp;"),""√Å"",""á""),""√ç"",""í""),""√Ç"",""Í""),""√Â"",""é""),""√≠"",""í""),""√º"",""ú""),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15" s="28" t="str">
        <f>IFERROR(__xludf.DUMMYFUNCTION("SPLIT(
  TRIM(
    SUBSTITUTE(
      SUBSTITUTE(
        SUBSTITUTE(
          SUBSTITUTE(
            C15,
            ""√©"", ""é""
          ),
          ""√±"", ""ñ""
        ),
        ""√°"", ""á""
      ),
      ""√≥"", ""ó""
    )
  ),
  ""-""
)
"),"Teléfono")</f>
        <v>Teléfono</v>
      </c>
      <c r="O15" s="28" t="str">
        <f>IFERROR(__xludf.DUMMYFUNCTION("""COMPUTED_VALUE"""),"Gama baja")</f>
        <v>Gama baja</v>
      </c>
      <c r="P15" s="28" t="str">
        <f>IFERROR(__xludf.DUMMYFUNCTION("""COMPUTED_VALUE"""),"16GB")</f>
        <v>16GB</v>
      </c>
      <c r="Q15" s="29">
        <f t="shared" si="1"/>
        <v>121.68</v>
      </c>
      <c r="R15" s="28">
        <f t="shared" si="2"/>
        <v>2</v>
      </c>
      <c r="S15" s="29">
        <f t="shared" si="3"/>
        <v>243.36</v>
      </c>
      <c r="T15" s="28" t="str">
        <f>IFERROR(__xludf.DUMMYFUNCTION("PROPER(TRIM(
  LET(
    texto1, REGEXREPLACE(G15,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"),"Abril Julio Tórrez Segovia")</f>
        <v>Abril Julio Tórrez Segovia</v>
      </c>
      <c r="U15" s="28" t="str">
        <f t="shared" si="4"/>
        <v>0281b754-3298-47cb-85b3-b7e7a8c57bab</v>
      </c>
      <c r="V15" s="30" t="str">
        <f t="shared" si="5"/>
        <v>Teléfono Gama baja 16GB</v>
      </c>
    </row>
    <row r="16" ht="15.75" customHeight="1">
      <c r="A16" s="6">
        <v>45626.0</v>
      </c>
      <c r="B16" s="2" t="s">
        <v>85</v>
      </c>
      <c r="C16" s="2" t="s">
        <v>86</v>
      </c>
      <c r="D16" s="7">
        <v>1109.64</v>
      </c>
      <c r="E16" s="2">
        <v>3.0</v>
      </c>
      <c r="F16" s="32"/>
      <c r="G16" s="2" t="s">
        <v>87</v>
      </c>
      <c r="H16" s="2" t="s">
        <v>88</v>
      </c>
      <c r="I16" s="2" t="s">
        <v>89</v>
      </c>
      <c r="K16" s="19" t="str">
        <f>IFERROR(__xludf.DUMMYFUNCTION("IF(ISBLANK(A16),
  """",
  IF(ISNUMBER(A16),
    TEXT(A16,""dd/mm/yyyy""),
    IF(
      REGEXMATCH(TRIM(A16),""^\d{1,2}/\d{1,2}/\d{4}$""),
      TRIM(A16),
      IFERROR(
        TEXT(DATEVALUE(SUBSTITUTE(SUBSTITUTE(TRIM(A16),""-"",""/""),""."",""/"")),"&amp;"""dd/mm/yyyy""),
        TRIM(A16)
      )
    )
  )
)
"),"30/11/2024")</f>
        <v>30/11/2024</v>
      </c>
      <c r="L16" s="20">
        <v>45626.0</v>
      </c>
      <c r="M16" s="21" t="str">
        <f>IFERROR(__xludf.DUMMYFUNCTION("PROPER(TRIM(
  REGEXREPLACE(
    REGEXREPLACE(
      SUBSTITUTE(SUBSTITUTE(SUBSTITUTE(SUBSTITUTE(SUBSTITUTE(SUBSTITUTE(SUBSTITUTE(SUBSTITUTE(SUBSTITUTE(SUBSTITUTE(SUBSTITUTE(
        B16,""√©"",""é""),""√°"",""á""),""√±"",""ñ""),""√≥"",""ó""),""√â"",""é"""&amp;"),""√Å"",""á""),""√ç"",""í""),""√Ç"",""Í""),""√Â"",""é""),""√≠"",""í""),""√º"",""ú""),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16" s="22" t="str">
        <f>IFERROR(__xludf.DUMMYFUNCTION("SPLIT(
  TRIM(
    SUBSTITUTE(
      SUBSTITUTE(
        SUBSTITUTE(
          SUBSTITUTE(
            C16,
            ""√©"", ""é""
          ),
          ""√±"", ""ñ""
        ),
        ""√°"", ""á""
      ),
      ""√≥"", ""ó""
    )
  ),
  ""-""
)
"),"Tablet")</f>
        <v>Tablet</v>
      </c>
      <c r="O16" s="22" t="str">
        <f>IFERROR(__xludf.DUMMYFUNCTION("""COMPUTED_VALUE"""),"Pro")</f>
        <v>Pro</v>
      </c>
      <c r="P16" s="22" t="str">
        <f>IFERROR(__xludf.DUMMYFUNCTION("""COMPUTED_VALUE"""),"32GB")</f>
        <v>32GB</v>
      </c>
      <c r="Q16" s="23">
        <f t="shared" si="1"/>
        <v>1109.64</v>
      </c>
      <c r="R16" s="22">
        <f t="shared" si="2"/>
        <v>3</v>
      </c>
      <c r="S16" s="23" t="str">
        <f t="shared" si="3"/>
        <v>0</v>
      </c>
      <c r="T16" s="22" t="str">
        <f>IFERROR(__xludf.DUMMYFUNCTION("PROPER(TRIM(
  LET(
    texto1, REGEXREPLACE(G16,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"),"Esteban Curiel")</f>
        <v>Esteban Curiel</v>
      </c>
      <c r="U16" s="22" t="str">
        <f t="shared" si="4"/>
        <v>6d6dc8da-1c46-48a9-9864-d6731b144bc7</v>
      </c>
      <c r="V16" s="24" t="str">
        <f t="shared" si="5"/>
        <v>Tablet Pro 32GB</v>
      </c>
    </row>
    <row r="17" ht="15.75" customHeight="1">
      <c r="A17" s="6">
        <v>45631.0</v>
      </c>
      <c r="B17" s="2" t="s">
        <v>85</v>
      </c>
      <c r="C17" s="2" t="s">
        <v>91</v>
      </c>
      <c r="D17" s="7">
        <v>2246.48</v>
      </c>
      <c r="E17" s="2">
        <v>1.0</v>
      </c>
      <c r="F17" s="7">
        <v>2246.48</v>
      </c>
      <c r="G17" s="2" t="s">
        <v>92</v>
      </c>
      <c r="H17" s="2" t="s">
        <v>93</v>
      </c>
      <c r="I17" s="2" t="s">
        <v>94</v>
      </c>
      <c r="K17" s="25" t="str">
        <f>IFERROR(__xludf.DUMMYFUNCTION("IF(ISBLANK(A17),
  """",
  IF(ISNUMBER(A17),
    TEXT(A17,""dd/mm/yyyy""),
    IF(
      REGEXMATCH(TRIM(A17),""^\d{1,2}/\d{1,2}/\d{4}$""),
      TRIM(A17),
      IFERROR(
        TEXT(DATEVALUE(SUBSTITUTE(SUBSTITUTE(TRIM(A17),""-"",""/""),""."",""/"")),"&amp;"""dd/mm/yyyy""),
        TRIM(A17)
      )
    )
  )
)
"),"05/12/2024")</f>
        <v>05/12/2024</v>
      </c>
      <c r="L17" s="26">
        <v>45631.0</v>
      </c>
      <c r="M17" s="27" t="str">
        <f>IFERROR(__xludf.DUMMYFUNCTION("PROPER(TRIM(
  REGEXREPLACE(
    REGEXREPLACE(
      SUBSTITUTE(SUBSTITUTE(SUBSTITUTE(SUBSTITUTE(SUBSTITUTE(SUBSTITUTE(SUBSTITUTE(SUBSTITUTE(SUBSTITUTE(SUBSTITUTE(SUBSTITUTE(
        B17,""√©"",""é""),""√°"",""á""),""√±"",""ñ""),""√≥"",""ó""),""√â"",""é"""&amp;"),""√Å"",""á""),""√ç"",""í""),""√Ç"",""Í""),""√Â"",""é""),""√≠"",""í""),""√º"",""ú""),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17" s="28" t="str">
        <f>IFERROR(__xludf.DUMMYFUNCTION("SPLIT(
  TRIM(
    SUBSTITUTE(
      SUBSTITUTE(
        SUBSTITUTE(
          SUBSTITUTE(
            C17,
            ""√©"", ""é""
          ),
          ""√±"", ""ñ""
        ),
        ""√°"", ""á""
      ),
      ""√≥"", ""ó""
    )
  ),
  ""-""
)
"),"Tablet")</f>
        <v>Tablet</v>
      </c>
      <c r="O17" s="28" t="str">
        <f>IFERROR(__xludf.DUMMYFUNCTION("""COMPUTED_VALUE"""),"Mini")</f>
        <v>Mini</v>
      </c>
      <c r="P17" s="28" t="str">
        <f>IFERROR(__xludf.DUMMYFUNCTION("""COMPUTED_VALUE"""),"32GB")</f>
        <v>32GB</v>
      </c>
      <c r="Q17" s="29">
        <f t="shared" si="1"/>
        <v>2246.48</v>
      </c>
      <c r="R17" s="28">
        <f t="shared" si="2"/>
        <v>1</v>
      </c>
      <c r="S17" s="29">
        <f t="shared" si="3"/>
        <v>2246.48</v>
      </c>
      <c r="T17" s="28" t="str">
        <f>IFERROR(__xludf.DUMMYFUNCTION("PROPER(TRIM(
  LET(
    texto1, REGEXREPLACE(G17,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"),"Hilda Mónica Acuña Zedillo")</f>
        <v>Hilda Mónica Acuña Zedillo</v>
      </c>
      <c r="U17" s="28" t="str">
        <f t="shared" si="4"/>
        <v>6d865eac-7ee1-4c9f-bf09-98a0163a585b</v>
      </c>
      <c r="V17" s="30" t="str">
        <f t="shared" si="5"/>
        <v>Tablet Mini 32GB</v>
      </c>
    </row>
    <row r="18" ht="15.75" customHeight="1">
      <c r="A18" s="6" t="s">
        <v>95</v>
      </c>
      <c r="B18" s="2" t="s">
        <v>16</v>
      </c>
      <c r="C18" s="2" t="s">
        <v>96</v>
      </c>
      <c r="D18" s="7">
        <v>129.07</v>
      </c>
      <c r="E18" s="2">
        <v>4.0</v>
      </c>
      <c r="F18" s="7">
        <v>516.28</v>
      </c>
      <c r="G18" s="2" t="s">
        <v>97</v>
      </c>
      <c r="H18" s="2" t="s">
        <v>98</v>
      </c>
      <c r="I18" s="2" t="s">
        <v>99</v>
      </c>
      <c r="K18" s="19" t="str">
        <f>IFERROR(__xludf.DUMMYFUNCTION("IF(ISBLANK(A18),
  """",
  IF(ISNUMBER(A18),
    TEXT(A18,""dd/mm/yyyy""),
    IF(
      REGEXMATCH(TRIM(A18),""^\d{1,2}/\d{1,2}/\d{4}$""),
      TRIM(A18),
      IFERROR(
        TEXT(DATEVALUE(SUBSTITUTE(SUBSTITUTE(TRIM(A18),""-"",""/""),""."",""/"")),"&amp;"""dd/mm/yyyy""),
        TRIM(A18)
      )
    )
  )
)
"),"22/10/2024")</f>
        <v>22/10/2024</v>
      </c>
      <c r="L18" s="20">
        <v>45587.0</v>
      </c>
      <c r="M18" s="21" t="str">
        <f>IFERROR(__xludf.DUMMYFUNCTION("PROPER(TRIM(
  REGEXREPLACE(
    REGEXREPLACE(
      SUBSTITUTE(SUBSTITUTE(SUBSTITUTE(SUBSTITUTE(SUBSTITUTE(SUBSTITUTE(SUBSTITUTE(SUBSTITUTE(SUBSTITUTE(SUBSTITUTE(SUBSTITUTE(
        B18,""√©"",""é""),""√°"",""á""),""√±"",""ñ""),""√≥"",""ó""),""√â"",""é"""&amp;"),""√Å"",""á""),""√ç"",""í""),""√Ç"",""Í""),""√Â"",""é""),""√≠"",""í""),""√º"",""ú""),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18" s="22" t="str">
        <f>IFERROR(__xludf.DUMMYFUNCTION("SPLIT(
  TRIM(
    SUBSTITUTE(
      SUBSTITUTE(
        SUBSTITUTE(
          SUBSTITUTE(
            C18,
            ""√©"", ""é""
          ),
          ""√±"", ""ñ""
        ),
        ""√°"", ""á""
      ),
      ""√≥"", ""ó""
    )
  ),
  ""-""
)
"),"Auriculares")</f>
        <v>Auriculares</v>
      </c>
      <c r="O18" s="22" t="str">
        <f>IFERROR(__xludf.DUMMYFUNCTION("""COMPUTED_VALUE"""),"Cancelación de ruido")</f>
        <v>Cancelación de ruido</v>
      </c>
      <c r="P18" s="22" t="str">
        <f>IFERROR(__xludf.DUMMYFUNCTION("""COMPUTED_VALUE"""),"4GB")</f>
        <v>4GB</v>
      </c>
      <c r="Q18" s="23">
        <f t="shared" si="1"/>
        <v>129.07</v>
      </c>
      <c r="R18" s="22">
        <f t="shared" si="2"/>
        <v>4</v>
      </c>
      <c r="S18" s="23">
        <f t="shared" si="3"/>
        <v>516.28</v>
      </c>
      <c r="T18" s="22" t="str">
        <f>IFERROR(__xludf.DUMMYFUNCTION("PROPER(TRIM(
  LET(
    texto1, REGEXREPLACE(G18,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"),"Iván Sanches Vallejo")</f>
        <v>Iván Sanches Vallejo</v>
      </c>
      <c r="U18" s="22" t="str">
        <f t="shared" si="4"/>
        <v>166ba421-1a83-493d-b4f5-5832605721e4</v>
      </c>
      <c r="V18" s="24" t="str">
        <f t="shared" si="5"/>
        <v>Auriculares Cancelación de ruido 4GB</v>
      </c>
    </row>
    <row r="19" ht="15.75" customHeight="1">
      <c r="A19" s="6">
        <v>45654.0</v>
      </c>
      <c r="B19" s="2" t="s">
        <v>101</v>
      </c>
      <c r="C19" s="2" t="s">
        <v>65</v>
      </c>
      <c r="D19" s="7">
        <v>1724.31</v>
      </c>
      <c r="E19" s="2">
        <v>2.0</v>
      </c>
      <c r="F19" s="7">
        <v>3448.62</v>
      </c>
      <c r="G19" s="2" t="s">
        <v>102</v>
      </c>
      <c r="H19" s="2" t="s">
        <v>103</v>
      </c>
      <c r="I19" s="2" t="s">
        <v>104</v>
      </c>
      <c r="K19" s="25" t="str">
        <f>IFERROR(__xludf.DUMMYFUNCTION("IF(ISBLANK(A19),
  """",
  IF(ISNUMBER(A19),
    TEXT(A19,""dd/mm/yyyy""),
    IF(
      REGEXMATCH(TRIM(A19),""^\d{1,2}/\d{1,2}/\d{4}$""),
      TRIM(A19),
      IFERROR(
        TEXT(DATEVALUE(SUBSTITUTE(SUBSTITUTE(TRIM(A19),""-"",""/""),""."",""/"")),"&amp;"""dd/mm/yyyy""),
        TRIM(A19)
      )
    )
  )
)
"),"28/12/2024")</f>
        <v>28/12/2024</v>
      </c>
      <c r="L19" s="26">
        <v>45654.0</v>
      </c>
      <c r="M19" s="27" t="str">
        <f>IFERROR(__xludf.DUMMYFUNCTION("PROPER(TRIM(
  REGEXREPLACE(
    REGEXREPLACE(
      SUBSTITUTE(SUBSTITUTE(SUBSTITUTE(SUBSTITUTE(SUBSTITUTE(SUBSTITUTE(SUBSTITUTE(SUBSTITUTE(SUBSTITUTE(SUBSTITUTE(SUBSTITUTE(
        B19,""√©"",""é""),""√°"",""á""),""√±"",""ñ""),""√≥"",""ó""),""√â"",""é"""&amp;"),""√Å"",""á""),""√ç"",""í""),""√Ç"",""Í""),""√Â"",""é""),""√≠"",""í""),""√º"",""ú""),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19" s="28" t="str">
        <f>IFERROR(__xludf.DUMMYFUNCTION("SPLIT(
  TRIM(
    SUBSTITUTE(
      SUBSTITUTE(
        SUBSTITUTE(
          SUBSTITUTE(
            C19,
            ""√©"", ""é""
          ),
          ""√±"", ""ñ""
        ),
        ""√°"", ""á""
      ),
      ""√≥"", ""ó""
    )
  ),
  ""-""
)
"),"Auriculares")</f>
        <v>Auriculares</v>
      </c>
      <c r="O19" s="28" t="str">
        <f>IFERROR(__xludf.DUMMYFUNCTION("""COMPUTED_VALUE"""),"Bluetooth")</f>
        <v>Bluetooth</v>
      </c>
      <c r="P19" s="28" t="str">
        <f>IFERROR(__xludf.DUMMYFUNCTION("""COMPUTED_VALUE"""),"16GB")</f>
        <v>16GB</v>
      </c>
      <c r="Q19" s="29">
        <f t="shared" si="1"/>
        <v>1724.31</v>
      </c>
      <c r="R19" s="28">
        <f t="shared" si="2"/>
        <v>2</v>
      </c>
      <c r="S19" s="29">
        <f t="shared" si="3"/>
        <v>3448.62</v>
      </c>
      <c r="T19" s="28" t="str">
        <f>IFERROR(__xludf.DUMMYFUNCTION("PROPER(TRIM(
  LET(
    texto1, REGEXREPLACE(G19,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"),"Alejandra Roldán")</f>
        <v>Alejandra Roldán</v>
      </c>
      <c r="U19" s="28" t="str">
        <f t="shared" si="4"/>
        <v>530801f5-4c88-4d00-b297-5944ebece83d</v>
      </c>
      <c r="V19" s="30" t="str">
        <f t="shared" si="5"/>
        <v>Auriculares Bluetooth 16GB</v>
      </c>
    </row>
    <row r="20" ht="15.75" customHeight="1">
      <c r="A20" s="6">
        <v>45577.0</v>
      </c>
      <c r="B20" s="2" t="s">
        <v>16</v>
      </c>
      <c r="C20" s="2" t="s">
        <v>106</v>
      </c>
      <c r="D20" s="7">
        <v>1445.1</v>
      </c>
      <c r="E20" s="2">
        <v>4.0</v>
      </c>
      <c r="F20" s="7">
        <v>5780.4</v>
      </c>
      <c r="G20" s="2" t="s">
        <v>107</v>
      </c>
      <c r="H20" s="2" t="s">
        <v>108</v>
      </c>
      <c r="I20" s="2" t="s">
        <v>109</v>
      </c>
      <c r="K20" s="19" t="str">
        <f>IFERROR(__xludf.DUMMYFUNCTION("IF(ISBLANK(A20),
  """",
  IF(ISNUMBER(A20),
    TEXT(A20,""dd/mm/yyyy""),
    IF(
      REGEXMATCH(TRIM(A20),""^\d{1,2}/\d{1,2}/\d{4}$""),
      TRIM(A20),
      IFERROR(
        TEXT(DATEVALUE(SUBSTITUTE(SUBSTITUTE(TRIM(A20),""-"",""/""),""."",""/"")),"&amp;"""dd/mm/yyyy""),
        TRIM(A20)
      )
    )
  )
)
"),"12/10/2024")</f>
        <v>12/10/2024</v>
      </c>
      <c r="L20" s="20">
        <v>45577.0</v>
      </c>
      <c r="M20" s="21" t="str">
        <f>IFERROR(__xludf.DUMMYFUNCTION("PROPER(TRIM(
  REGEXREPLACE(
    REGEXREPLACE(
      SUBSTITUTE(SUBSTITUTE(SUBSTITUTE(SUBSTITUTE(SUBSTITUTE(SUBSTITUTE(SUBSTITUTE(SUBSTITUTE(SUBSTITUTE(SUBSTITUTE(SUBSTITUTE(
        B20,""√©"",""é""),""√°"",""á""),""√±"",""ñ""),""√≥"",""ó""),""√â"",""é"""&amp;"),""√Å"",""á""),""√ç"",""í""),""√Ç"",""Í""),""√Â"",""é""),""√≠"",""í""),""√º"",""ú""),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20" s="22" t="str">
        <f>IFERROR(__xludf.DUMMYFUNCTION("SPLIT(
  TRIM(
    SUBSTITUTE(
      SUBSTITUTE(
        SUBSTITUTE(
          SUBSTITUTE(
            C20,
            ""√©"", ""é""
          ),
          ""√±"", ""ñ""
        ),
        ""√°"", ""á""
      ),
      ""√≥"", ""ó""
    )
  ),
  ""-""
)
"),"Teléfono")</f>
        <v>Teléfono</v>
      </c>
      <c r="O20" s="22" t="str">
        <f>IFERROR(__xludf.DUMMYFUNCTION("""COMPUTED_VALUE"""),"Gama alta")</f>
        <v>Gama alta</v>
      </c>
      <c r="P20" s="22" t="str">
        <f>IFERROR(__xludf.DUMMYFUNCTION("""COMPUTED_VALUE"""),"16GB")</f>
        <v>16GB</v>
      </c>
      <c r="Q20" s="23">
        <f t="shared" si="1"/>
        <v>1445.1</v>
      </c>
      <c r="R20" s="22">
        <f t="shared" si="2"/>
        <v>4</v>
      </c>
      <c r="S20" s="23">
        <f t="shared" si="3"/>
        <v>5780.4</v>
      </c>
      <c r="T20" s="22" t="str">
        <f>IFERROR(__xludf.DUMMYFUNCTION("PROPER(TRIM(
  LET(
    texto1, REGEXREPLACE(G20,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"),"Lorenzo Wendolin Méndez Gollum")</f>
        <v>Lorenzo Wendolin Méndez Gollum</v>
      </c>
      <c r="U20" s="22" t="str">
        <f t="shared" si="4"/>
        <v>116022d7-56fc-4596-aeba-30c58ab21dbf</v>
      </c>
      <c r="V20" s="24" t="str">
        <f t="shared" si="5"/>
        <v>Teléfono Gama alta 16GB</v>
      </c>
    </row>
    <row r="21" ht="15.75" customHeight="1">
      <c r="A21" s="6">
        <v>45610.0</v>
      </c>
      <c r="B21" s="2" t="s">
        <v>38</v>
      </c>
      <c r="C21" s="2" t="s">
        <v>111</v>
      </c>
      <c r="D21" s="7">
        <v>1618.43</v>
      </c>
      <c r="E21" s="2">
        <v>3.0</v>
      </c>
      <c r="F21" s="7">
        <v>4855.29</v>
      </c>
      <c r="G21" s="2" t="s">
        <v>112</v>
      </c>
      <c r="H21" s="2" t="s">
        <v>113</v>
      </c>
      <c r="I21" s="2" t="s">
        <v>114</v>
      </c>
      <c r="K21" s="25" t="str">
        <f>IFERROR(__xludf.DUMMYFUNCTION("IF(ISBLANK(A21),
  """",
  IF(ISNUMBER(A21),
    TEXT(A21,""dd/mm/yyyy""),
    IF(
      REGEXMATCH(TRIM(A21),""^\d{1,2}/\d{1,2}/\d{4}$""),
      TRIM(A21),
      IFERROR(
        TEXT(DATEVALUE(SUBSTITUTE(SUBSTITUTE(TRIM(A21),""-"",""/""),""."",""/"")),"&amp;"""dd/mm/yyyy""),
        TRIM(A21)
      )
    )
  )
)
"),"14/11/2024")</f>
        <v>14/11/2024</v>
      </c>
      <c r="L21" s="26">
        <v>45610.0</v>
      </c>
      <c r="M21" s="27" t="str">
        <f>IFERROR(__xludf.DUMMYFUNCTION("PROPER(TRIM(
  REGEXREPLACE(
    REGEXREPLACE(
      SUBSTITUTE(SUBSTITUTE(SUBSTITUTE(SUBSTITUTE(SUBSTITUTE(SUBSTITUTE(SUBSTITUTE(SUBSTITUTE(SUBSTITUTE(SUBSTITUTE(SUBSTITUTE(
        B21,""√©"",""é""),""√°"",""á""),""√±"",""ñ""),""√≥"",""ó""),""√â"",""é"""&amp;"),""√Å"",""á""),""√ç"",""í""),""√Ç"",""Í""),""√Â"",""é""),""√≠"",""í""),""√º"",""ú""),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21" s="28" t="str">
        <f>IFERROR(__xludf.DUMMYFUNCTION("SPLIT(
  TRIM(
    SUBSTITUTE(
      SUBSTITUTE(
        SUBSTITUTE(
          SUBSTITUTE(
            C21,
            ""√©"", ""é""
          ),
          ""√±"", ""ñ""
        ),
        ""√°"", ""á""
      ),
      ""√≥"", ""ó""
    )
  ),
  ""-""
)
"),"Tablet")</f>
        <v>Tablet</v>
      </c>
      <c r="O21" s="28" t="str">
        <f>IFERROR(__xludf.DUMMYFUNCTION("""COMPUTED_VALUE"""),"Estándar")</f>
        <v>Estándar</v>
      </c>
      <c r="P21" s="28" t="str">
        <f>IFERROR(__xludf.DUMMYFUNCTION("""COMPUTED_VALUE"""),"16GB")</f>
        <v>16GB</v>
      </c>
      <c r="Q21" s="29">
        <f t="shared" si="1"/>
        <v>1618.43</v>
      </c>
      <c r="R21" s="28">
        <f t="shared" si="2"/>
        <v>3</v>
      </c>
      <c r="S21" s="29">
        <f t="shared" si="3"/>
        <v>4855.29</v>
      </c>
      <c r="T21" s="28" t="str">
        <f>IFERROR(__xludf.DUMMYFUNCTION("PROPER(TRIM(
  LET(
    texto1, REGEXREPLACE(G21,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"),"Catalina Adela Galarza Camacho")</f>
        <v>Catalina Adela Galarza Camacho</v>
      </c>
      <c r="U21" s="28" t="str">
        <f t="shared" si="4"/>
        <v>6685e5bb-9081-494c-b6aa-422ddb87955d</v>
      </c>
      <c r="V21" s="30" t="str">
        <f t="shared" si="5"/>
        <v>Tablet Estándar 16GB</v>
      </c>
    </row>
    <row r="22" ht="15.75" customHeight="1">
      <c r="A22" s="6" t="s">
        <v>115</v>
      </c>
      <c r="B22" s="2" t="s">
        <v>50</v>
      </c>
      <c r="C22" s="2" t="s">
        <v>116</v>
      </c>
      <c r="D22" s="7">
        <v>2070.23</v>
      </c>
      <c r="E22" s="2">
        <v>5.0</v>
      </c>
      <c r="F22" s="7">
        <v>10351.15</v>
      </c>
      <c r="G22" s="2" t="s">
        <v>117</v>
      </c>
      <c r="H22" s="2" t="s">
        <v>118</v>
      </c>
      <c r="I22" s="2" t="s">
        <v>119</v>
      </c>
      <c r="K22" s="19" t="str">
        <f>IFERROR(__xludf.DUMMYFUNCTION("IF(ISBLANK(A22),
  """",
  IF(ISNUMBER(A22),
    TEXT(A22,""dd/mm/yyyy""),
    IF(
      REGEXMATCH(TRIM(A22),""^\d{1,2}/\d{1,2}/\d{4}$""),
      TRIM(A22),
      IFERROR(
        TEXT(DATEVALUE(SUBSTITUTE(SUBSTITUTE(TRIM(A22),""-"",""/""),""."",""/"")),"&amp;"""dd/mm/yyyy""),
        TRIM(A22)
      )
    )
  )
)
"),"29/12/2024")</f>
        <v>29/12/2024</v>
      </c>
      <c r="L22" s="20">
        <v>45655.0</v>
      </c>
      <c r="M22" s="21" t="str">
        <f>IFERROR(__xludf.DUMMYFUNCTION("PROPER(TRIM(
  REGEXREPLACE(
    REGEXREPLACE(
      SUBSTITUTE(SUBSTITUTE(SUBSTITUTE(SUBSTITUTE(SUBSTITUTE(SUBSTITUTE(SUBSTITUTE(SUBSTITUTE(SUBSTITUTE(SUBSTITUTE(SUBSTITUTE(
        B22,""√©"",""é""),""√°"",""á""),""√±"",""ñ""),""√≥"",""ó""),""√â"",""é"""&amp;"),""√Å"",""á""),""√ç"",""í""),""√Ç"",""Í""),""√Â"",""é""),""√≠"",""í""),""√º"",""ú""),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22" s="22" t="str">
        <f>IFERROR(__xludf.DUMMYFUNCTION("SPLIT(
  TRIM(
    SUBSTITUTE(
      SUBSTITUTE(
        SUBSTITUTE(
          SUBSTITUTE(
            C22,
            ""√©"", ""é""
          ),
          ""√±"", ""ñ""
        ),
        ""√°"", ""á""
      ),
      ""√≥"", ""ó""
    )
  ),
  ""-""
)
"),"Teléfono")</f>
        <v>Teléfono</v>
      </c>
      <c r="O22" s="22" t="str">
        <f>IFERROR(__xludf.DUMMYFUNCTION("""COMPUTED_VALUE"""),"Gama media")</f>
        <v>Gama media</v>
      </c>
      <c r="P22" s="22" t="str">
        <f>IFERROR(__xludf.DUMMYFUNCTION("""COMPUTED_VALUE"""),"4GB")</f>
        <v>4GB</v>
      </c>
      <c r="Q22" s="23">
        <f t="shared" si="1"/>
        <v>2070.23</v>
      </c>
      <c r="R22" s="22">
        <f t="shared" si="2"/>
        <v>5</v>
      </c>
      <c r="S22" s="23">
        <f t="shared" si="3"/>
        <v>10351.15</v>
      </c>
      <c r="T22" s="22" t="str">
        <f>IFERROR(__xludf.DUMMYFUNCTION("PROPER(TRIM(
  LET(
    texto1, REGEXREPLACE(G22,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"),"Aldo Rodrígez")</f>
        <v>Aldo Rodrígez</v>
      </c>
      <c r="U22" s="22" t="str">
        <f t="shared" si="4"/>
        <v>f8087330-1de4-4af6-8cae-e91d660b819f</v>
      </c>
      <c r="V22" s="24" t="str">
        <f t="shared" si="5"/>
        <v>Teléfono Gama media 4GB</v>
      </c>
    </row>
    <row r="23" ht="15.75" customHeight="1">
      <c r="A23" s="6">
        <v>45606.0</v>
      </c>
      <c r="B23" s="2" t="s">
        <v>27</v>
      </c>
      <c r="C23" s="2" t="s">
        <v>121</v>
      </c>
      <c r="D23" s="7">
        <v>763.62</v>
      </c>
      <c r="E23" s="2">
        <v>1.0</v>
      </c>
      <c r="F23" s="7">
        <v>763.62</v>
      </c>
      <c r="G23" s="2" t="s">
        <v>122</v>
      </c>
      <c r="H23" s="2" t="s">
        <v>123</v>
      </c>
      <c r="I23" s="2" t="s">
        <v>124</v>
      </c>
      <c r="K23" s="25" t="str">
        <f>IFERROR(__xludf.DUMMYFUNCTION("IF(ISBLANK(A23),
  """",
  IF(ISNUMBER(A23),
    TEXT(A23,""dd/mm/yyyy""),
    IF(
      REGEXMATCH(TRIM(A23),""^\d{1,2}/\d{1,2}/\d{4}$""),
      TRIM(A23),
      IFERROR(
        TEXT(DATEVALUE(SUBSTITUTE(SUBSTITUTE(TRIM(A23),""-"",""/""),""."",""/"")),"&amp;"""dd/mm/yyyy""),
        TRIM(A23)
      )
    )
  )
)
"),"10/11/2024")</f>
        <v>10/11/2024</v>
      </c>
      <c r="L23" s="26">
        <v>45606.0</v>
      </c>
      <c r="M23" s="27" t="str">
        <f>IFERROR(__xludf.DUMMYFUNCTION("PROPER(TRIM(
  REGEXREPLACE(
    REGEXREPLACE(
      SUBSTITUTE(SUBSTITUTE(SUBSTITUTE(SUBSTITUTE(SUBSTITUTE(SUBSTITUTE(SUBSTITUTE(SUBSTITUTE(SUBSTITUTE(SUBSTITUTE(SUBSTITUTE(
        B23,""√©"",""é""),""√°"",""á""),""√±"",""ñ""),""√≥"",""ó""),""√â"",""é"""&amp;"),""√Å"",""á""),""√ç"",""í""),""√Ç"",""Í""),""√Â"",""é""),""√≠"",""í""),""√º"",""ú""),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23" s="28" t="str">
        <f>IFERROR(__xludf.DUMMYFUNCTION("SPLIT(
  TRIM(
    SUBSTITUTE(
      SUBSTITUTE(
        SUBSTITUTE(
          SUBSTITUTE(
            C23,
            ""√©"", ""é""
          ),
          ""√±"", ""ñ""
        ),
        ""√°"", ""á""
      ),
      ""√≥"", ""ó""
    )
  ),
  ""-""
)
"),"Teléfono")</f>
        <v>Teléfono</v>
      </c>
      <c r="O23" s="28" t="str">
        <f>IFERROR(__xludf.DUMMYFUNCTION("""COMPUTED_VALUE"""),"Gama baja")</f>
        <v>Gama baja</v>
      </c>
      <c r="P23" s="28" t="str">
        <f>IFERROR(__xludf.DUMMYFUNCTION("""COMPUTED_VALUE"""),"8GB")</f>
        <v>8GB</v>
      </c>
      <c r="Q23" s="29">
        <f t="shared" si="1"/>
        <v>763.62</v>
      </c>
      <c r="R23" s="28">
        <f t="shared" si="2"/>
        <v>1</v>
      </c>
      <c r="S23" s="29">
        <f t="shared" si="3"/>
        <v>763.62</v>
      </c>
      <c r="T23" s="28" t="str">
        <f>IFERROR(__xludf.DUMMYFUNCTION("PROPER(TRIM(
  LET(
    texto1, REGEXREPLACE(G23,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"),"Carlota Aguayo")</f>
        <v>Carlota Aguayo</v>
      </c>
      <c r="U23" s="28" t="str">
        <f t="shared" si="4"/>
        <v>d58eb71d-bd78-4ec3-8a70-34213c01464b</v>
      </c>
      <c r="V23" s="30" t="str">
        <f t="shared" si="5"/>
        <v>Teléfono Gama baja 8GB</v>
      </c>
    </row>
    <row r="24" ht="15.75" customHeight="1">
      <c r="A24" s="6">
        <v>45642.0</v>
      </c>
      <c r="B24" s="2" t="s">
        <v>101</v>
      </c>
      <c r="C24" s="2" t="s">
        <v>116</v>
      </c>
      <c r="D24" s="7">
        <v>658.01</v>
      </c>
      <c r="E24" s="2">
        <v>5.0</v>
      </c>
      <c r="F24" s="7">
        <v>3290.05</v>
      </c>
      <c r="G24" s="2" t="s">
        <v>126</v>
      </c>
      <c r="H24" s="2" t="s">
        <v>127</v>
      </c>
      <c r="I24" s="2" t="s">
        <v>128</v>
      </c>
      <c r="K24" s="19" t="str">
        <f>IFERROR(__xludf.DUMMYFUNCTION("IF(ISBLANK(A24),
  """",
  IF(ISNUMBER(A24),
    TEXT(A24,""dd/mm/yyyy""),
    IF(
      REGEXMATCH(TRIM(A24),""^\d{1,2}/\d{1,2}/\d{4}$""),
      TRIM(A24),
      IFERROR(
        TEXT(DATEVALUE(SUBSTITUTE(SUBSTITUTE(TRIM(A24),""-"",""/""),""."",""/"")),"&amp;"""dd/mm/yyyy""),
        TRIM(A24)
      )
    )
  )
)
"),"16/12/2024")</f>
        <v>16/12/2024</v>
      </c>
      <c r="L24" s="20">
        <v>45642.0</v>
      </c>
      <c r="M24" s="21" t="str">
        <f>IFERROR(__xludf.DUMMYFUNCTION("PROPER(TRIM(
  REGEXREPLACE(
    REGEXREPLACE(
      SUBSTITUTE(SUBSTITUTE(SUBSTITUTE(SUBSTITUTE(SUBSTITUTE(SUBSTITUTE(SUBSTITUTE(SUBSTITUTE(SUBSTITUTE(SUBSTITUTE(SUBSTITUTE(
        B24,""√©"",""é""),""√°"",""á""),""√±"",""ñ""),""√≥"",""ó""),""√â"",""é"""&amp;"),""√Å"",""á""),""√ç"",""í""),""√Ç"",""Í""),""√Â"",""é""),""√≠"",""í""),""√º"",""ú""),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24" s="22" t="str">
        <f>IFERROR(__xludf.DUMMYFUNCTION("SPLIT(
  TRIM(
    SUBSTITUTE(
      SUBSTITUTE(
        SUBSTITUTE(
          SUBSTITUTE(
            C24,
            ""√©"", ""é""
          ),
          ""√±"", ""ñ""
        ),
        ""√°"", ""á""
      ),
      ""√≥"", ""ó""
    )
  ),
  ""-""
)
"),"Teléfono")</f>
        <v>Teléfono</v>
      </c>
      <c r="O24" s="22" t="str">
        <f>IFERROR(__xludf.DUMMYFUNCTION("""COMPUTED_VALUE"""),"Gama media")</f>
        <v>Gama media</v>
      </c>
      <c r="P24" s="22" t="str">
        <f>IFERROR(__xludf.DUMMYFUNCTION("""COMPUTED_VALUE"""),"4GB")</f>
        <v>4GB</v>
      </c>
      <c r="Q24" s="23">
        <f t="shared" si="1"/>
        <v>658.01</v>
      </c>
      <c r="R24" s="22">
        <f t="shared" si="2"/>
        <v>5</v>
      </c>
      <c r="S24" s="23">
        <f t="shared" si="3"/>
        <v>3290.05</v>
      </c>
      <c r="T24" s="22" t="str">
        <f>IFERROR(__xludf.DUMMYFUNCTION("PROPER(TRIM(
  LET(
    texto1, REGEXREPLACE(G24,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"),"Aurora Amador Mendoza Prieto")</f>
        <v>Aurora Amador Mendoza Prieto</v>
      </c>
      <c r="U24" s="22" t="str">
        <f t="shared" si="4"/>
        <v>45698812-aa8b-4fea-b214-81743c8c3e1d</v>
      </c>
      <c r="V24" s="24" t="str">
        <f t="shared" si="5"/>
        <v>Teléfono Gama media 4GB</v>
      </c>
    </row>
    <row r="25" ht="15.75" customHeight="1">
      <c r="A25" s="6" t="s">
        <v>129</v>
      </c>
      <c r="B25" s="2" t="s">
        <v>130</v>
      </c>
      <c r="C25" s="2" t="s">
        <v>75</v>
      </c>
      <c r="D25" s="7">
        <v>162.56</v>
      </c>
      <c r="E25" s="2">
        <v>4.0</v>
      </c>
      <c r="F25" s="7">
        <v>650.24</v>
      </c>
      <c r="G25" s="2" t="s">
        <v>131</v>
      </c>
      <c r="H25" s="2" t="s">
        <v>132</v>
      </c>
      <c r="I25" s="2" t="s">
        <v>133</v>
      </c>
      <c r="K25" s="25" t="str">
        <f>IFERROR(__xludf.DUMMYFUNCTION("IF(ISBLANK(A25),
  """",
  IF(ISNUMBER(A25),
    TEXT(A25,""dd/mm/yyyy""),
    IF(
      REGEXMATCH(TRIM(A25),""^\d{1,2}/\d{1,2}/\d{4}$""),
      TRIM(A25),
      IFERROR(
        TEXT(DATEVALUE(SUBSTITUTE(SUBSTITUTE(TRIM(A25),""-"",""/""),""."",""/"")),"&amp;"""dd/mm/yyyy""),
        TRIM(A25)
      )
    )
  )
)
"),"14/10/2024")</f>
        <v>14/10/2024</v>
      </c>
      <c r="L25" s="26">
        <v>45579.0</v>
      </c>
      <c r="M25" s="27" t="str">
        <f>IFERROR(__xludf.DUMMYFUNCTION("PROPER(TRIM(
  REGEXREPLACE(
    REGEXREPLACE(
      SUBSTITUTE(SUBSTITUTE(SUBSTITUTE(SUBSTITUTE(SUBSTITUTE(SUBSTITUTE(SUBSTITUTE(SUBSTITUTE(SUBSTITUTE(SUBSTITUTE(SUBSTITUTE(
        B25,""√©"",""é""),""√°"",""á""),""√±"",""ñ""),""√≥"",""ó""),""√â"",""é"""&amp;"),""√Å"",""á""),""√ç"",""í""),""√Ç"",""Í""),""√Â"",""é""),""√≠"",""í""),""√º"",""ú""),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25" s="28" t="str">
        <f>IFERROR(__xludf.DUMMYFUNCTION("SPLIT(
  TRIM(
    SUBSTITUTE(
      SUBSTITUTE(
        SUBSTITUTE(
          SUBSTITUTE(
            C25,
            ""√©"", ""é""
          ),
          ""√±"", ""ñ""
        ),
        ""√°"", ""á""
      ),
      ""√≥"", ""ó""
    )
  ),
  ""-""
)
"),"Tablet")</f>
        <v>Tablet</v>
      </c>
      <c r="O25" s="28" t="str">
        <f>IFERROR(__xludf.DUMMYFUNCTION("""COMPUTED_VALUE"""),"Pro")</f>
        <v>Pro</v>
      </c>
      <c r="P25" s="28" t="str">
        <f>IFERROR(__xludf.DUMMYFUNCTION("""COMPUTED_VALUE"""),"4GB")</f>
        <v>4GB</v>
      </c>
      <c r="Q25" s="29">
        <f t="shared" si="1"/>
        <v>162.56</v>
      </c>
      <c r="R25" s="28">
        <f t="shared" si="2"/>
        <v>4</v>
      </c>
      <c r="S25" s="29">
        <f t="shared" si="3"/>
        <v>650.24</v>
      </c>
      <c r="T25" s="28" t="str">
        <f>IFERROR(__xludf.DUMMYFUNCTION("PROPER(TRIM(
  LET(
    texto1, REGEXREPLACE(G25,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"),"Gabino Rubén Menéndez")</f>
        <v>Gabino Rubén Menéndez</v>
      </c>
      <c r="U25" s="28" t="str">
        <f t="shared" si="4"/>
        <v>df7f87e2-753a-411f-bbe9-b634b149f17c</v>
      </c>
      <c r="V25" s="30" t="str">
        <f t="shared" si="5"/>
        <v>Tablet Pro 4GB</v>
      </c>
    </row>
    <row r="26" ht="15.75" customHeight="1">
      <c r="A26" s="6">
        <v>45657.0</v>
      </c>
      <c r="B26" s="2" t="s">
        <v>38</v>
      </c>
      <c r="C26" s="2" t="s">
        <v>135</v>
      </c>
      <c r="D26" s="7">
        <v>1721.22</v>
      </c>
      <c r="E26" s="2">
        <v>4.0</v>
      </c>
      <c r="F26" s="7">
        <v>6884.88</v>
      </c>
      <c r="G26" s="2" t="s">
        <v>136</v>
      </c>
      <c r="H26" s="2" t="s">
        <v>137</v>
      </c>
      <c r="I26" s="2" t="s">
        <v>138</v>
      </c>
      <c r="K26" s="19" t="str">
        <f>IFERROR(__xludf.DUMMYFUNCTION("IF(ISBLANK(A26),
  """",
  IF(ISNUMBER(A26),
    TEXT(A26,""dd/mm/yyyy""),
    IF(
      REGEXMATCH(TRIM(A26),""^\d{1,2}/\d{1,2}/\d{4}$""),
      TRIM(A26),
      IFERROR(
        TEXT(DATEVALUE(SUBSTITUTE(SUBSTITUTE(TRIM(A26),""-"",""/""),""."",""/"")),"&amp;"""dd/mm/yyyy""),
        TRIM(A26)
      )
    )
  )
)
"),"31/12/2024")</f>
        <v>31/12/2024</v>
      </c>
      <c r="L26" s="20">
        <v>45657.0</v>
      </c>
      <c r="M26" s="21" t="str">
        <f>IFERROR(__xludf.DUMMYFUNCTION("PROPER(TRIM(
  REGEXREPLACE(
    REGEXREPLACE(
      SUBSTITUTE(SUBSTITUTE(SUBSTITUTE(SUBSTITUTE(SUBSTITUTE(SUBSTITUTE(SUBSTITUTE(SUBSTITUTE(SUBSTITUTE(SUBSTITUTE(SUBSTITUTE(
        B26,""√©"",""é""),""√°"",""á""),""√±"",""ñ""),""√≥"",""ó""),""√â"",""é"""&amp;"),""√Å"",""á""),""√ç"",""í""),""√Ç"",""Í""),""√Â"",""é""),""√≠"",""í""),""√º"",""ú""),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26" s="22" t="str">
        <f>IFERROR(__xludf.DUMMYFUNCTION("SPLIT(
  TRIM(
    SUBSTITUTE(
      SUBSTITUTE(
        SUBSTITUTE(
          SUBSTITUTE(
            C26,
            ""√©"", ""é""
          ),
          ""√±"", ""ñ""
        ),
        ""√°"", ""á""
      ),
      ""√≥"", ""ó""
    )
  ),
  ""-""
)
"),"Laptop")</f>
        <v>Laptop</v>
      </c>
      <c r="O26" s="22" t="str">
        <f>IFERROR(__xludf.DUMMYFUNCTION("""COMPUTED_VALUE"""),"Ultraliviana")</f>
        <v>Ultraliviana</v>
      </c>
      <c r="P26" s="22" t="str">
        <f>IFERROR(__xludf.DUMMYFUNCTION("""COMPUTED_VALUE"""),"32GB")</f>
        <v>32GB</v>
      </c>
      <c r="Q26" s="23">
        <f t="shared" si="1"/>
        <v>1721.22</v>
      </c>
      <c r="R26" s="22">
        <f t="shared" si="2"/>
        <v>4</v>
      </c>
      <c r="S26" s="23">
        <f t="shared" si="3"/>
        <v>6884.88</v>
      </c>
      <c r="T26" s="22" t="str">
        <f>IFERROR(__xludf.DUMMYFUNCTION("PROPER(TRIM(
  LET(
    texto1, REGEXREPLACE(G26,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"),"Roberto María Cristina Madera Alejandro")</f>
        <v>Roberto María Cristina Madera Alejandro</v>
      </c>
      <c r="U26" s="22" t="str">
        <f t="shared" si="4"/>
        <v>bfde20ee-a837-4bd7-af36-f9e5b40dfe3b</v>
      </c>
      <c r="V26" s="24" t="str">
        <f t="shared" si="5"/>
        <v>Laptop Ultraliviana 32GB</v>
      </c>
    </row>
    <row r="27" ht="15.75" customHeight="1">
      <c r="A27" s="6">
        <v>45568.0</v>
      </c>
      <c r="B27" s="2" t="s">
        <v>16</v>
      </c>
      <c r="C27" s="2" t="s">
        <v>111</v>
      </c>
      <c r="D27" s="7">
        <v>741.79</v>
      </c>
      <c r="E27" s="2">
        <v>2.0</v>
      </c>
      <c r="F27" s="7">
        <v>1483.58</v>
      </c>
      <c r="G27" s="2" t="s">
        <v>139</v>
      </c>
      <c r="H27" s="2" t="s">
        <v>140</v>
      </c>
      <c r="I27" s="2" t="s">
        <v>141</v>
      </c>
      <c r="K27" s="25" t="str">
        <f>IFERROR(__xludf.DUMMYFUNCTION("IF(ISBLANK(A27),
  """",
  IF(ISNUMBER(A27),
    TEXT(A27,""dd/mm/yyyy""),
    IF(
      REGEXMATCH(TRIM(A27),""^\d{1,2}/\d{1,2}/\d{4}$""),
      TRIM(A27),
      IFERROR(
        TEXT(DATEVALUE(SUBSTITUTE(SUBSTITUTE(TRIM(A27),""-"",""/""),""."",""/"")),"&amp;"""dd/mm/yyyy""),
        TRIM(A27)
      )
    )
  )
)
"),"03/10/2024")</f>
        <v>03/10/2024</v>
      </c>
      <c r="L27" s="26">
        <v>45568.0</v>
      </c>
      <c r="M27" s="27" t="str">
        <f>IFERROR(__xludf.DUMMYFUNCTION("PROPER(TRIM(
  REGEXREPLACE(
    REGEXREPLACE(
      SUBSTITUTE(SUBSTITUTE(SUBSTITUTE(SUBSTITUTE(SUBSTITUTE(SUBSTITUTE(SUBSTITUTE(SUBSTITUTE(SUBSTITUTE(SUBSTITUTE(SUBSTITUTE(
        B27,""√©"",""é""),""√°"",""á""),""√±"",""ñ""),""√≥"",""ó""),""√â"",""é"""&amp;"),""√Å"",""á""),""√ç"",""í""),""√Ç"",""Í""),""√Â"",""é""),""√≠"",""í""),""√º"",""ú""),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27" s="28" t="str">
        <f>IFERROR(__xludf.DUMMYFUNCTION("SPLIT(
  TRIM(
    SUBSTITUTE(
      SUBSTITUTE(
        SUBSTITUTE(
          SUBSTITUTE(
            C27,
            ""√©"", ""é""
          ),
          ""√±"", ""ñ""
        ),
        ""√°"", ""á""
      ),
      ""√≥"", ""ó""
    )
  ),
  ""-""
)
"),"Tablet")</f>
        <v>Tablet</v>
      </c>
      <c r="O27" s="28" t="str">
        <f>IFERROR(__xludf.DUMMYFUNCTION("""COMPUTED_VALUE"""),"Estándar")</f>
        <v>Estándar</v>
      </c>
      <c r="P27" s="28" t="str">
        <f>IFERROR(__xludf.DUMMYFUNCTION("""COMPUTED_VALUE"""),"16GB")</f>
        <v>16GB</v>
      </c>
      <c r="Q27" s="29">
        <f t="shared" si="1"/>
        <v>741.79</v>
      </c>
      <c r="R27" s="28">
        <f t="shared" si="2"/>
        <v>2</v>
      </c>
      <c r="S27" s="29">
        <f t="shared" si="3"/>
        <v>1483.58</v>
      </c>
      <c r="T27" s="28" t="str">
        <f>IFERROR(__xludf.DUMMYFUNCTION("PROPER(TRIM(
  LET(
    texto1, REGEXREPLACE(G27,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"),"Uriel Helena Caldera")</f>
        <v>Uriel Helena Caldera</v>
      </c>
      <c r="U27" s="28" t="str">
        <f t="shared" si="4"/>
        <v>91de2837-a873-4607-8185-7fa6844d2be8</v>
      </c>
      <c r="V27" s="30" t="str">
        <f t="shared" si="5"/>
        <v>Tablet Estándar 16GB</v>
      </c>
    </row>
    <row r="28" ht="15.75" customHeight="1">
      <c r="A28" s="6">
        <v>45606.0</v>
      </c>
      <c r="B28" s="2" t="s">
        <v>142</v>
      </c>
      <c r="C28" s="2" t="s">
        <v>96</v>
      </c>
      <c r="D28" s="7">
        <v>489.42</v>
      </c>
      <c r="E28" s="2">
        <v>3.0</v>
      </c>
      <c r="F28" s="7">
        <v>1468.26</v>
      </c>
      <c r="G28" s="2" t="s">
        <v>143</v>
      </c>
      <c r="H28" s="2" t="s">
        <v>144</v>
      </c>
      <c r="I28" s="3" t="s">
        <v>145</v>
      </c>
      <c r="K28" s="19" t="str">
        <f>IFERROR(__xludf.DUMMYFUNCTION("IF(ISBLANK(A28),
  """",
  IF(ISNUMBER(A28),
    TEXT(A28,""dd/mm/yyyy""),
    IF(
      REGEXMATCH(TRIM(A28),""^\d{1,2}/\d{1,2}/\d{4}$""),
      TRIM(A28),
      IFERROR(
        TEXT(DATEVALUE(SUBSTITUTE(SUBSTITUTE(TRIM(A28),""-"",""/""),""."",""/"")),"&amp;"""dd/mm/yyyy""),
        TRIM(A28)
      )
    )
  )
)
"),"10/11/2024")</f>
        <v>10/11/2024</v>
      </c>
      <c r="L28" s="20">
        <v>45606.0</v>
      </c>
      <c r="M28" s="21" t="str">
        <f>IFERROR(__xludf.DUMMYFUNCTION("PROPER(TRIM(
  REGEXREPLACE(
    REGEXREPLACE(
      SUBSTITUTE(SUBSTITUTE(SUBSTITUTE(SUBSTITUTE(SUBSTITUTE(SUBSTITUTE(SUBSTITUTE(SUBSTITUTE(SUBSTITUTE(SUBSTITUTE(SUBSTITUTE(
        B28,""√©"",""é""),""√°"",""á""),""√±"",""ñ""),""√≥"",""ó""),""√â"",""é"""&amp;"),""√Å"",""á""),""√ç"",""í""),""√Ç"",""Í""),""√Â"",""é""),""√≠"",""í""),""√º"",""ú""),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28" s="22" t="str">
        <f>IFERROR(__xludf.DUMMYFUNCTION("SPLIT(
  TRIM(
    SUBSTITUTE(
      SUBSTITUTE(
        SUBSTITUTE(
          SUBSTITUTE(
            C28,
            ""√©"", ""é""
          ),
          ""√±"", ""ñ""
        ),
        ""√°"", ""á""
      ),
      ""√≥"", ""ó""
    )
  ),
  ""-""
)
"),"Auriculares")</f>
        <v>Auriculares</v>
      </c>
      <c r="O28" s="22" t="str">
        <f>IFERROR(__xludf.DUMMYFUNCTION("""COMPUTED_VALUE"""),"Cancelación de ruido")</f>
        <v>Cancelación de ruido</v>
      </c>
      <c r="P28" s="22" t="str">
        <f>IFERROR(__xludf.DUMMYFUNCTION("""COMPUTED_VALUE"""),"4GB")</f>
        <v>4GB</v>
      </c>
      <c r="Q28" s="23">
        <f t="shared" si="1"/>
        <v>489.42</v>
      </c>
      <c r="R28" s="22">
        <f t="shared" si="2"/>
        <v>3</v>
      </c>
      <c r="S28" s="23">
        <f t="shared" si="3"/>
        <v>1468.26</v>
      </c>
      <c r="T28" s="22" t="str">
        <f>IFERROR(__xludf.DUMMYFUNCTION("PROPER(TRIM(
  LET(
    texto1, REGEXREPLACE(G28,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"),"Mónica Cortez")</f>
        <v>Mónica Cortez</v>
      </c>
      <c r="U28" s="33" t="str">
        <f t="shared" si="4"/>
        <v>814e531c-1781-4af9-86e2-0da4494565c9</v>
      </c>
      <c r="V28" s="24" t="str">
        <f t="shared" si="5"/>
        <v>Auriculares Cancelación de ruido 4GB</v>
      </c>
    </row>
    <row r="29" ht="15.75" customHeight="1">
      <c r="A29" s="6">
        <v>45650.0</v>
      </c>
      <c r="B29" s="2" t="s">
        <v>50</v>
      </c>
      <c r="C29" s="2" t="s">
        <v>147</v>
      </c>
      <c r="D29" s="7">
        <v>1247.53</v>
      </c>
      <c r="E29" s="2">
        <v>4.0</v>
      </c>
      <c r="F29" s="7">
        <v>4990.12</v>
      </c>
      <c r="G29" s="2" t="s">
        <v>148</v>
      </c>
      <c r="H29" s="2" t="s">
        <v>149</v>
      </c>
      <c r="I29" s="2" t="s">
        <v>150</v>
      </c>
      <c r="K29" s="25" t="str">
        <f>IFERROR(__xludf.DUMMYFUNCTION("IF(ISBLANK(A29),
  """",
  IF(ISNUMBER(A29),
    TEXT(A29,""dd/mm/yyyy""),
    IF(
      REGEXMATCH(TRIM(A29),""^\d{1,2}/\d{1,2}/\d{4}$""),
      TRIM(A29),
      IFERROR(
        TEXT(DATEVALUE(SUBSTITUTE(SUBSTITUTE(TRIM(A29),""-"",""/""),""."",""/"")),"&amp;"""dd/mm/yyyy""),
        TRIM(A29)
      )
    )
  )
)
"),"24/12/2024")</f>
        <v>24/12/2024</v>
      </c>
      <c r="L29" s="26">
        <v>45650.0</v>
      </c>
      <c r="M29" s="27" t="str">
        <f>IFERROR(__xludf.DUMMYFUNCTION("PROPER(TRIM(
  REGEXREPLACE(
    REGEXREPLACE(
      SUBSTITUTE(SUBSTITUTE(SUBSTITUTE(SUBSTITUTE(SUBSTITUTE(SUBSTITUTE(SUBSTITUTE(SUBSTITUTE(SUBSTITUTE(SUBSTITUTE(SUBSTITUTE(
        B29,""√©"",""é""),""√°"",""á""),""√±"",""ñ""),""√≥"",""ó""),""√â"",""é"""&amp;"),""√Å"",""á""),""√ç"",""í""),""√Ç"",""Í""),""√Â"",""é""),""√≠"",""í""),""√º"",""ú""),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29" s="28" t="str">
        <f>IFERROR(__xludf.DUMMYFUNCTION("SPLIT(
  TRIM(
    SUBSTITUTE(
      SUBSTITUTE(
        SUBSTITUTE(
          SUBSTITUTE(
            C29,
            ""√©"", ""é""
          ),
          ""√±"", ""ñ""
        ),
        ""√°"", ""á""
      ),
      ""√≥"", ""ó""
    )
  ),
  ""-""
)
"),"Laptop")</f>
        <v>Laptop</v>
      </c>
      <c r="O29" s="28" t="str">
        <f>IFERROR(__xludf.DUMMYFUNCTION("""COMPUTED_VALUE"""),"Oficina")</f>
        <v>Oficina</v>
      </c>
      <c r="P29" s="28" t="str">
        <f>IFERROR(__xludf.DUMMYFUNCTION("""COMPUTED_VALUE"""),"16GB")</f>
        <v>16GB</v>
      </c>
      <c r="Q29" s="29">
        <f t="shared" si="1"/>
        <v>1247.53</v>
      </c>
      <c r="R29" s="28">
        <f t="shared" si="2"/>
        <v>4</v>
      </c>
      <c r="S29" s="29">
        <f t="shared" si="3"/>
        <v>4990.12</v>
      </c>
      <c r="T29" s="28" t="str">
        <f>IFERROR(__xludf.DUMMYFUNCTION("PROPER(TRIM(
  LET(
    texto1, REGEXREPLACE(G29,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"),"Trinidad Badillo")</f>
        <v>Trinidad Badillo</v>
      </c>
      <c r="U29" s="28" t="str">
        <f t="shared" si="4"/>
        <v>698672ae-dbbd-4086-a5f7-90c3dfe00ff8</v>
      </c>
      <c r="V29" s="30" t="str">
        <f t="shared" si="5"/>
        <v>Laptop Oficina 16GB</v>
      </c>
    </row>
    <row r="30" ht="15.75" customHeight="1">
      <c r="A30" s="6">
        <v>45592.0</v>
      </c>
      <c r="B30" s="2" t="s">
        <v>38</v>
      </c>
      <c r="C30" s="2" t="s">
        <v>152</v>
      </c>
      <c r="D30" s="7">
        <v>273.42</v>
      </c>
      <c r="E30" s="2">
        <v>4.0</v>
      </c>
      <c r="F30" s="7">
        <v>1093.68</v>
      </c>
      <c r="G30" s="2" t="s">
        <v>153</v>
      </c>
      <c r="H30" s="2" t="s">
        <v>154</v>
      </c>
      <c r="I30" s="2" t="s">
        <v>155</v>
      </c>
      <c r="K30" s="19" t="str">
        <f>IFERROR(__xludf.DUMMYFUNCTION("IF(ISBLANK(A30),
  """",
  IF(ISNUMBER(A30),
    TEXT(A30,""dd/mm/yyyy""),
    IF(
      REGEXMATCH(TRIM(A30),""^\d{1,2}/\d{1,2}/\d{4}$""),
      TRIM(A30),
      IFERROR(
        TEXT(DATEVALUE(SUBSTITUTE(SUBSTITUTE(TRIM(A30),""-"",""/""),""."",""/"")),"&amp;"""dd/mm/yyyy""),
        TRIM(A30)
      )
    )
  )
)
"),"27/10/2024")</f>
        <v>27/10/2024</v>
      </c>
      <c r="L30" s="20">
        <v>45592.0</v>
      </c>
      <c r="M30" s="21" t="str">
        <f>IFERROR(__xludf.DUMMYFUNCTION("PROPER(TRIM(
  REGEXREPLACE(
    REGEXREPLACE(
      SUBSTITUTE(SUBSTITUTE(SUBSTITUTE(SUBSTITUTE(SUBSTITUTE(SUBSTITUTE(SUBSTITUTE(SUBSTITUTE(SUBSTITUTE(SUBSTITUTE(SUBSTITUTE(
        B30,""√©"",""é""),""√°"",""á""),""√±"",""ñ""),""√≥"",""ó""),""√â"",""é"""&amp;"),""√Å"",""á""),""√ç"",""í""),""√Ç"",""Í""),""√Â"",""é""),""√≠"",""í""),""√º"",""ú""),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30" s="22" t="str">
        <f>IFERROR(__xludf.DUMMYFUNCTION("SPLIT(
  TRIM(
    SUBSTITUTE(
      SUBSTITUTE(
        SUBSTITUTE(
          SUBSTITUTE(
            C30,
            ""√©"", ""é""
          ),
          ""√±"", ""ñ""
        ),
        ""√°"", ""á""
      ),
      ""√≥"", ""ó""
    )
  ),
  ""-""
)
"),"Teléfono")</f>
        <v>Teléfono</v>
      </c>
      <c r="O30" s="22" t="str">
        <f>IFERROR(__xludf.DUMMYFUNCTION("""COMPUTED_VALUE"""),"Gama baja")</f>
        <v>Gama baja</v>
      </c>
      <c r="P30" s="22" t="str">
        <f>IFERROR(__xludf.DUMMYFUNCTION("""COMPUTED_VALUE"""),"4GB")</f>
        <v>4GB</v>
      </c>
      <c r="Q30" s="23">
        <f t="shared" si="1"/>
        <v>273.42</v>
      </c>
      <c r="R30" s="22">
        <f t="shared" si="2"/>
        <v>4</v>
      </c>
      <c r="S30" s="23">
        <f t="shared" si="3"/>
        <v>1093.68</v>
      </c>
      <c r="T30" s="22" t="str">
        <f>IFERROR(__xludf.DUMMYFUNCTION("PROPER(TRIM(
  LET(
    texto1, REGEXREPLACE(G30,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"),"Noemí Julia Zepeda")</f>
        <v>Noemí Julia Zepeda</v>
      </c>
      <c r="U30" s="22" t="str">
        <f t="shared" si="4"/>
        <v>102bcf63-b887-46cb-8d4f-8c9404340da9</v>
      </c>
      <c r="V30" s="24" t="str">
        <f t="shared" si="5"/>
        <v>Teléfono Gama baja 4GB</v>
      </c>
    </row>
    <row r="31" ht="15.75" customHeight="1">
      <c r="A31" s="6" t="s">
        <v>156</v>
      </c>
      <c r="B31" s="2" t="s">
        <v>16</v>
      </c>
      <c r="C31" s="2" t="s">
        <v>116</v>
      </c>
      <c r="D31" s="7">
        <v>160.68</v>
      </c>
      <c r="E31" s="2">
        <v>1.0</v>
      </c>
      <c r="F31" s="7">
        <v>160.68</v>
      </c>
      <c r="G31" s="2" t="s">
        <v>157</v>
      </c>
      <c r="H31" s="2" t="s">
        <v>158</v>
      </c>
      <c r="I31" s="2" t="s">
        <v>159</v>
      </c>
      <c r="K31" s="25" t="str">
        <f>IFERROR(__xludf.DUMMYFUNCTION("IF(ISBLANK(A31),
  """",
  IF(ISNUMBER(A31),
    TEXT(A31,""dd/mm/yyyy""),
    IF(
      REGEXMATCH(TRIM(A31),""^\d{1,2}/\d{1,2}/\d{4}$""),
      TRIM(A31),
      IFERROR(
        TEXT(DATEVALUE(SUBSTITUTE(SUBSTITUTE(TRIM(A31),""-"",""/""),""."",""/"")),"&amp;"""dd/mm/yyyy""),
        TRIM(A31)
      )
    )
  )
)
"),"14/11/2024")</f>
        <v>14/11/2024</v>
      </c>
      <c r="L31" s="26">
        <v>45610.0</v>
      </c>
      <c r="M31" s="27" t="str">
        <f>IFERROR(__xludf.DUMMYFUNCTION("PROPER(TRIM(
  REGEXREPLACE(
    REGEXREPLACE(
      SUBSTITUTE(SUBSTITUTE(SUBSTITUTE(SUBSTITUTE(SUBSTITUTE(SUBSTITUTE(SUBSTITUTE(SUBSTITUTE(SUBSTITUTE(SUBSTITUTE(SUBSTITUTE(
        B31,""√©"",""é""),""√°"",""á""),""√±"",""ñ""),""√≥"",""ó""),""√â"",""é"""&amp;"),""√Å"",""á""),""√ç"",""í""),""√Ç"",""Í""),""√Â"",""é""),""√≠"",""í""),""√º"",""ú""),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31" s="28" t="str">
        <f>IFERROR(__xludf.DUMMYFUNCTION("SPLIT(
  TRIM(
    SUBSTITUTE(
      SUBSTITUTE(
        SUBSTITUTE(
          SUBSTITUTE(
            C31,
            ""√©"", ""é""
          ),
          ""√±"", ""ñ""
        ),
        ""√°"", ""á""
      ),
      ""√≥"", ""ó""
    )
  ),
  ""-""
)
"),"Teléfono")</f>
        <v>Teléfono</v>
      </c>
      <c r="O31" s="28" t="str">
        <f>IFERROR(__xludf.DUMMYFUNCTION("""COMPUTED_VALUE"""),"Gama media")</f>
        <v>Gama media</v>
      </c>
      <c r="P31" s="28" t="str">
        <f>IFERROR(__xludf.DUMMYFUNCTION("""COMPUTED_VALUE"""),"4GB")</f>
        <v>4GB</v>
      </c>
      <c r="Q31" s="29">
        <f t="shared" si="1"/>
        <v>160.68</v>
      </c>
      <c r="R31" s="28">
        <f t="shared" si="2"/>
        <v>1</v>
      </c>
      <c r="S31" s="29">
        <f t="shared" si="3"/>
        <v>160.68</v>
      </c>
      <c r="T31" s="28" t="str">
        <f>IFERROR(__xludf.DUMMYFUNCTION("PROPER(TRIM(
  LET(
    texto1, REGEXREPLACE(G31,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"),"Armando Ricardo Durán")</f>
        <v>Armando Ricardo Durán</v>
      </c>
      <c r="U31" s="28" t="str">
        <f t="shared" si="4"/>
        <v>c2c34b94-f490-4a39-9f0d-d895d228fae3</v>
      </c>
      <c r="V31" s="30" t="str">
        <f t="shared" si="5"/>
        <v>Teléfono Gama media 4GB</v>
      </c>
    </row>
    <row r="32" ht="15.75" customHeight="1">
      <c r="A32" s="6">
        <v>45624.0</v>
      </c>
      <c r="B32" s="2" t="s">
        <v>161</v>
      </c>
      <c r="C32" s="2" t="s">
        <v>162</v>
      </c>
      <c r="D32" s="7">
        <v>2297.62</v>
      </c>
      <c r="E32" s="2">
        <v>4.0</v>
      </c>
      <c r="F32" s="7">
        <v>9190.48</v>
      </c>
      <c r="G32" s="2" t="s">
        <v>163</v>
      </c>
      <c r="H32" s="2" t="s">
        <v>164</v>
      </c>
      <c r="I32" s="2" t="s">
        <v>165</v>
      </c>
      <c r="K32" s="19" t="str">
        <f>IFERROR(__xludf.DUMMYFUNCTION("IF(ISBLANK(A32),
  """",
  IF(ISNUMBER(A32),
    TEXT(A32,""dd/mm/yyyy""),
    IF(
      REGEXMATCH(TRIM(A32),""^\d{1,2}/\d{1,2}/\d{4}$""),
      TRIM(A32),
      IFERROR(
        TEXT(DATEVALUE(SUBSTITUTE(SUBSTITUTE(TRIM(A32),""-"",""/""),""."",""/"")),"&amp;"""dd/mm/yyyy""),
        TRIM(A32)
      )
    )
  )
)
"),"28/11/2024")</f>
        <v>28/11/2024</v>
      </c>
      <c r="L32" s="20">
        <v>45624.0</v>
      </c>
      <c r="M32" s="21" t="str">
        <f>IFERROR(__xludf.DUMMYFUNCTION("PROPER(TRIM(
  REGEXREPLACE(
    REGEXREPLACE(
      SUBSTITUTE(SUBSTITUTE(SUBSTITUTE(SUBSTITUTE(SUBSTITUTE(SUBSTITUTE(SUBSTITUTE(SUBSTITUTE(SUBSTITUTE(SUBSTITUTE(SUBSTITUTE(
        B32,""√©"",""é""),""√°"",""á""),""√±"",""ñ""),""√≥"",""ó""),""√â"",""é"""&amp;"),""√Å"",""á""),""√ç"",""í""),""√Ç"",""Í""),""√Â"",""é""),""√≠"",""í""),""√º"",""ú""),
      ""[,\\.√]"",""""),
    ""\\s+"","" "")
))
"),"Tulum")</f>
        <v>Tulum</v>
      </c>
      <c r="N32" s="22" t="str">
        <f>IFERROR(__xludf.DUMMYFUNCTION("SPLIT(
  TRIM(
    SUBSTITUTE(
      SUBSTITUTE(
        SUBSTITUTE(
          SUBSTITUTE(
            C32,
            ""√©"", ""é""
          ),
          ""√±"", ""ñ""
        ),
        ""√°"", ""á""
      ),
      ""√≥"", ""ó""
    )
  ),
  ""-""
)
"),"Teléfono")</f>
        <v>Teléfono</v>
      </c>
      <c r="O32" s="22" t="str">
        <f>IFERROR(__xludf.DUMMYFUNCTION("""COMPUTED_VALUE"""),"Gama alta")</f>
        <v>Gama alta</v>
      </c>
      <c r="P32" s="22" t="str">
        <f>IFERROR(__xludf.DUMMYFUNCTION("""COMPUTED_VALUE"""),"16GB")</f>
        <v>16GB</v>
      </c>
      <c r="Q32" s="23">
        <f t="shared" si="1"/>
        <v>2297.62</v>
      </c>
      <c r="R32" s="22">
        <f t="shared" si="2"/>
        <v>4</v>
      </c>
      <c r="S32" s="23">
        <f t="shared" si="3"/>
        <v>9190.48</v>
      </c>
      <c r="T32" s="22" t="str">
        <f>IFERROR(__xludf.DUMMYFUNCTION("PROPER(TRIM(
  LET(
    texto1, REGEXREPLACE(G32,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"),"Asunción Rebeca Rivero")</f>
        <v>Asunción Rebeca Rivero</v>
      </c>
      <c r="U32" s="22" t="str">
        <f t="shared" si="4"/>
        <v>dba5fcd9-c9cd-46ba-a785-12d580ffe57a</v>
      </c>
      <c r="V32" s="24" t="str">
        <f t="shared" si="5"/>
        <v>Teléfono Gama alta 16GB</v>
      </c>
    </row>
    <row r="33" ht="15.75" customHeight="1">
      <c r="A33" s="6">
        <v>45601.0</v>
      </c>
      <c r="B33" s="2" t="s">
        <v>50</v>
      </c>
      <c r="C33" s="2" t="s">
        <v>167</v>
      </c>
      <c r="D33" s="7">
        <v>1040.78</v>
      </c>
      <c r="E33" s="2">
        <v>2.0</v>
      </c>
      <c r="F33" s="7">
        <v>2081.56</v>
      </c>
      <c r="G33" s="2" t="s">
        <v>168</v>
      </c>
      <c r="H33" s="2" t="s">
        <v>169</v>
      </c>
      <c r="I33" s="2" t="s">
        <v>170</v>
      </c>
      <c r="K33" s="25" t="str">
        <f>IFERROR(__xludf.DUMMYFUNCTION("IF(ISBLANK(A33),
  """",
  IF(ISNUMBER(A33),
    TEXT(A33,""dd/mm/yyyy""),
    IF(
      REGEXMATCH(TRIM(A33),""^\d{1,2}/\d{1,2}/\d{4}$""),
      TRIM(A33),
      IFERROR(
        TEXT(DATEVALUE(SUBSTITUTE(SUBSTITUTE(TRIM(A33),""-"",""/""),""."",""/"")),"&amp;"""dd/mm/yyyy""),
        TRIM(A33)
      )
    )
  )
)
"),"05/11/2024")</f>
        <v>05/11/2024</v>
      </c>
      <c r="L33" s="26">
        <v>45601.0</v>
      </c>
      <c r="M33" s="27" t="str">
        <f>IFERROR(__xludf.DUMMYFUNCTION("PROPER(TRIM(
  REGEXREPLACE(
    REGEXREPLACE(
      SUBSTITUTE(SUBSTITUTE(SUBSTITUTE(SUBSTITUTE(SUBSTITUTE(SUBSTITUTE(SUBSTITUTE(SUBSTITUTE(SUBSTITUTE(SUBSTITUTE(SUBSTITUTE(
        B33,""√©"",""é""),""√°"",""á""),""√±"",""ñ""),""√≥"",""ó""),""√â"",""é"""&amp;"),""√Å"",""á""),""√ç"",""í""),""√Ç"",""Í""),""√Â"",""é""),""√≠"",""í""),""√º"",""ú""),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33" s="28" t="str">
        <f>IFERROR(__xludf.DUMMYFUNCTION("SPLIT(
  TRIM(
    SUBSTITUTE(
      SUBSTITUTE(
        SUBSTITUTE(
          SUBSTITUTE(
            C33,
            ""√©"", ""é""
          ),
          ""√±"", ""ñ""
        ),
        ""√°"", ""á""
      ),
      ""√≥"", ""ó""
    )
  ),
  ""-""
)
"),"Laptop")</f>
        <v>Laptop</v>
      </c>
      <c r="O33" s="28" t="str">
        <f>IFERROR(__xludf.DUMMYFUNCTION("""COMPUTED_VALUE"""),"Gaming")</f>
        <v>Gaming</v>
      </c>
      <c r="P33" s="28" t="str">
        <f>IFERROR(__xludf.DUMMYFUNCTION("""COMPUTED_VALUE"""),"8GB")</f>
        <v>8GB</v>
      </c>
      <c r="Q33" s="29">
        <f t="shared" si="1"/>
        <v>1040.78</v>
      </c>
      <c r="R33" s="28">
        <f t="shared" si="2"/>
        <v>2</v>
      </c>
      <c r="S33" s="29">
        <f t="shared" si="3"/>
        <v>2081.56</v>
      </c>
      <c r="T33" s="28" t="str">
        <f>IFERROR(__xludf.DUMMYFUNCTION("PROPER(TRIM(
  LET(
    texto1, REGEXREPLACE(G33,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"),"Ruby Virginia Salcido")</f>
        <v>Ruby Virginia Salcido</v>
      </c>
      <c r="U33" s="28" t="str">
        <f t="shared" si="4"/>
        <v>10459092-6977-440d-ad85-b85e03763cf7</v>
      </c>
      <c r="V33" s="30" t="str">
        <f t="shared" si="5"/>
        <v>Laptop Gaming 8GB</v>
      </c>
    </row>
    <row r="34" ht="15.75" customHeight="1">
      <c r="A34" s="6" t="s">
        <v>171</v>
      </c>
      <c r="B34" s="2" t="s">
        <v>38</v>
      </c>
      <c r="C34" s="2" t="s">
        <v>172</v>
      </c>
      <c r="D34" s="7">
        <v>1850.94</v>
      </c>
      <c r="E34" s="2">
        <v>1.0</v>
      </c>
      <c r="F34" s="7">
        <v>1850.94</v>
      </c>
      <c r="G34" s="2" t="s">
        <v>173</v>
      </c>
      <c r="H34" s="2" t="s">
        <v>174</v>
      </c>
      <c r="I34" s="2" t="s">
        <v>175</v>
      </c>
      <c r="K34" s="19" t="str">
        <f>IFERROR(__xludf.DUMMYFUNCTION("IF(ISBLANK(A34),
  """",
  IF(ISNUMBER(A34),
    TEXT(A34,""dd/mm/yyyy""),
    IF(
      REGEXMATCH(TRIM(A34),""^\d{1,2}/\d{1,2}/\d{4}$""),
      TRIM(A34),
      IFERROR(
        TEXT(DATEVALUE(SUBSTITUTE(SUBSTITUTE(TRIM(A34),""-"",""/""),""."",""/"")),"&amp;"""dd/mm/yyyy""),
        TRIM(A34)
      )
    )
  )
)
"),"23/10/2024")</f>
        <v>23/10/2024</v>
      </c>
      <c r="L34" s="20">
        <v>45588.0</v>
      </c>
      <c r="M34" s="21" t="str">
        <f>IFERROR(__xludf.DUMMYFUNCTION("PROPER(TRIM(
  REGEXREPLACE(
    REGEXREPLACE(
      SUBSTITUTE(SUBSTITUTE(SUBSTITUTE(SUBSTITUTE(SUBSTITUTE(SUBSTITUTE(SUBSTITUTE(SUBSTITUTE(SUBSTITUTE(SUBSTITUTE(SUBSTITUTE(
        B34,""√©"",""é""),""√°"",""á""),""√±"",""ñ""),""√≥"",""ó""),""√â"",""é"""&amp;"),""√Å"",""á""),""√ç"",""í""),""√Ç"",""Í""),""√Â"",""é""),""√≠"",""í""),""√º"",""ú""),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34" s="22" t="str">
        <f>IFERROR(__xludf.DUMMYFUNCTION("SPLIT(
  TRIM(
    SUBSTITUTE(
      SUBSTITUTE(
        SUBSTITUTE(
          SUBSTITUTE(
            C34,
            ""√©"", ""é""
          ),
          ""√±"", ""ñ""
        ),
        ""√°"", ""á""
      ),
      ""√≥"", ""ó""
    )
  ),
  ""-""
)
"),"Laptop")</f>
        <v>Laptop</v>
      </c>
      <c r="O34" s="22" t="str">
        <f>IFERROR(__xludf.DUMMYFUNCTION("""COMPUTED_VALUE"""),"Oficina")</f>
        <v>Oficina</v>
      </c>
      <c r="P34" s="22" t="str">
        <f>IFERROR(__xludf.DUMMYFUNCTION("""COMPUTED_VALUE"""),"8GB")</f>
        <v>8GB</v>
      </c>
      <c r="Q34" s="23">
        <f t="shared" si="1"/>
        <v>1850.94</v>
      </c>
      <c r="R34" s="22">
        <f t="shared" si="2"/>
        <v>1</v>
      </c>
      <c r="S34" s="23">
        <f t="shared" si="3"/>
        <v>1850.94</v>
      </c>
      <c r="T34" s="22" t="str">
        <f>IFERROR(__xludf.DUMMYFUNCTION("PROPER(TRIM(
  LET(
    texto1, REGEXREPLACE(G34,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"),"Blanca Ordóñez Matos")</f>
        <v>Blanca Ordóñez Matos</v>
      </c>
      <c r="U34" s="22" t="str">
        <f t="shared" si="4"/>
        <v>e9bf9df3-945d-4164-9afd-4e3cdee9991c</v>
      </c>
      <c r="V34" s="24" t="str">
        <f t="shared" si="5"/>
        <v>Laptop Oficina 8GB</v>
      </c>
    </row>
    <row r="35" ht="15.75" customHeight="1">
      <c r="A35" s="6">
        <v>45657.0</v>
      </c>
      <c r="B35" s="2" t="s">
        <v>85</v>
      </c>
      <c r="C35" s="2" t="s">
        <v>176</v>
      </c>
      <c r="D35" s="7">
        <v>134.89</v>
      </c>
      <c r="E35" s="2">
        <v>5.0</v>
      </c>
      <c r="F35" s="7">
        <v>674.45</v>
      </c>
      <c r="G35" s="2" t="s">
        <v>177</v>
      </c>
      <c r="H35" s="2" t="s">
        <v>178</v>
      </c>
      <c r="I35" s="2" t="s">
        <v>179</v>
      </c>
      <c r="K35" s="25" t="str">
        <f>IFERROR(__xludf.DUMMYFUNCTION("IF(ISBLANK(A35),
  """",
  IF(ISNUMBER(A35),
    TEXT(A35,""dd/mm/yyyy""),
    IF(
      REGEXMATCH(TRIM(A35),""^\d{1,2}/\d{1,2}/\d{4}$""),
      TRIM(A35),
      IFERROR(
        TEXT(DATEVALUE(SUBSTITUTE(SUBSTITUTE(TRIM(A35),""-"",""/""),""."",""/"")),"&amp;"""dd/mm/yyyy""),
        TRIM(A35)
      )
    )
  )
)
"),"31/12/2024")</f>
        <v>31/12/2024</v>
      </c>
      <c r="L35" s="26">
        <v>45657.0</v>
      </c>
      <c r="M35" s="27" t="str">
        <f>IFERROR(__xludf.DUMMYFUNCTION("PROPER(TRIM(
  REGEXREPLACE(
    REGEXREPLACE(
      SUBSTITUTE(SUBSTITUTE(SUBSTITUTE(SUBSTITUTE(SUBSTITUTE(SUBSTITUTE(SUBSTITUTE(SUBSTITUTE(SUBSTITUTE(SUBSTITUTE(SUBSTITUTE(
        B35,""√©"",""é""),""√°"",""á""),""√±"",""ñ""),""√≥"",""ó""),""√â"",""é"""&amp;"),""√Å"",""á""),""√ç"",""í""),""√Ç"",""Í""),""√Â"",""é""),""√≠"",""í""),""√º"",""ú""),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35" s="28" t="str">
        <f>IFERROR(__xludf.DUMMYFUNCTION("SPLIT(
  TRIM(
    SUBSTITUTE(
      SUBSTITUTE(
        SUBSTITUTE(
          SUBSTITUTE(
            C35,
            ""√©"", ""é""
          ),
          ""√±"", ""ñ""
        ),
        ""√°"", ""á""
      ),
      ""√≥"", ""ó""
    )
  ),
  ""-""
)
"),"Auriculares")</f>
        <v>Auriculares</v>
      </c>
      <c r="O35" s="28" t="str">
        <f>IFERROR(__xludf.DUMMYFUNCTION("""COMPUTED_VALUE"""),"Con cable")</f>
        <v>Con cable</v>
      </c>
      <c r="P35" s="28" t="str">
        <f>IFERROR(__xludf.DUMMYFUNCTION("""COMPUTED_VALUE"""),"8GB")</f>
        <v>8GB</v>
      </c>
      <c r="Q35" s="29">
        <f t="shared" si="1"/>
        <v>134.89</v>
      </c>
      <c r="R35" s="28">
        <f t="shared" si="2"/>
        <v>5</v>
      </c>
      <c r="S35" s="29">
        <f t="shared" si="3"/>
        <v>674.45</v>
      </c>
      <c r="T35" s="28" t="str">
        <f>IFERROR(__xludf.DUMMYFUNCTION("PROPER(TRIM(
  LET(
    texto1, REGEXREPLACE(G35,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José Jacobo Perales Ortiz")</f>
        <v>María José Jacobo Perales Ortiz</v>
      </c>
      <c r="U35" s="28" t="str">
        <f t="shared" si="4"/>
        <v>ead07a50-6dc3-4997-a078-77b5ae38bb54</v>
      </c>
      <c r="V35" s="30" t="str">
        <f t="shared" si="5"/>
        <v>Auriculares Con cable 8GB</v>
      </c>
    </row>
    <row r="36" ht="15.75" customHeight="1">
      <c r="A36" s="6">
        <v>45573.0</v>
      </c>
      <c r="B36" s="2" t="s">
        <v>27</v>
      </c>
      <c r="C36" s="2" t="s">
        <v>181</v>
      </c>
      <c r="D36" s="7">
        <v>2314.37</v>
      </c>
      <c r="E36" s="2">
        <v>5.0</v>
      </c>
      <c r="F36" s="7">
        <v>11571.85</v>
      </c>
      <c r="G36" s="2" t="s">
        <v>182</v>
      </c>
      <c r="H36" s="2" t="s">
        <v>183</v>
      </c>
      <c r="I36" s="2" t="s">
        <v>184</v>
      </c>
      <c r="K36" s="19" t="str">
        <f>IFERROR(__xludf.DUMMYFUNCTION("IF(ISBLANK(A36),
  """",
  IF(ISNUMBER(A36),
    TEXT(A36,""dd/mm/yyyy""),
    IF(
      REGEXMATCH(TRIM(A36),""^\d{1,2}/\d{1,2}/\d{4}$""),
      TRIM(A36),
      IFERROR(
        TEXT(DATEVALUE(SUBSTITUTE(SUBSTITUTE(TRIM(A36),""-"",""/""),""."",""/"")),"&amp;"""dd/mm/yyyy""),
        TRIM(A36)
      )
    )
  )
)
"),"08/10/2024")</f>
        <v>08/10/2024</v>
      </c>
      <c r="L36" s="20">
        <v>45573.0</v>
      </c>
      <c r="M36" s="21" t="str">
        <f>IFERROR(__xludf.DUMMYFUNCTION("PROPER(TRIM(
  REGEXREPLACE(
    REGEXREPLACE(
      SUBSTITUTE(SUBSTITUTE(SUBSTITUTE(SUBSTITUTE(SUBSTITUTE(SUBSTITUTE(SUBSTITUTE(SUBSTITUTE(SUBSTITUTE(SUBSTITUTE(SUBSTITUTE(
        B36,""√©"",""é""),""√°"",""á""),""√±"",""ñ""),""√≥"",""ó""),""√â"",""é"""&amp;"),""√Å"",""á""),""√ç"",""í""),""√Ç"",""Í""),""√Â"",""é""),""√≠"",""í""),""√º"",""ú""),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36" s="22" t="str">
        <f>IFERROR(__xludf.DUMMYFUNCTION("SPLIT(
  TRIM(
    SUBSTITUTE(
      SUBSTITUTE(
        SUBSTITUTE(
          SUBSTITUTE(
            C36,
            ""√©"", ""é""
          ),
          ""√±"", ""ñ""
        ),
        ""√°"", ""á""
      ),
      ""√≥"", ""ó""
    )
  ),
  ""-""
)
"),"Laptop")</f>
        <v>Laptop</v>
      </c>
      <c r="O36" s="22" t="str">
        <f>IFERROR(__xludf.DUMMYFUNCTION("""COMPUTED_VALUE"""),"Ultraliviana")</f>
        <v>Ultraliviana</v>
      </c>
      <c r="P36" s="22" t="str">
        <f>IFERROR(__xludf.DUMMYFUNCTION("""COMPUTED_VALUE"""),"4GB")</f>
        <v>4GB</v>
      </c>
      <c r="Q36" s="23">
        <f t="shared" si="1"/>
        <v>2314.37</v>
      </c>
      <c r="R36" s="22">
        <f t="shared" si="2"/>
        <v>5</v>
      </c>
      <c r="S36" s="23">
        <f t="shared" si="3"/>
        <v>11571.85</v>
      </c>
      <c r="T36" s="22" t="str">
        <f>IFERROR(__xludf.DUMMYFUNCTION("PROPER(TRIM(
  LET(
    texto1, REGEXREPLACE(G36,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"),"Rosalia Alcántar")</f>
        <v>Rosalia Alcántar</v>
      </c>
      <c r="U36" s="22" t="str">
        <f t="shared" si="4"/>
        <v>a9fee7b5-3729-4db8-815f-355ff6236823</v>
      </c>
      <c r="V36" s="24" t="str">
        <f t="shared" si="5"/>
        <v>Laptop Ultraliviana 4GB</v>
      </c>
    </row>
    <row r="37" ht="15.75" customHeight="1">
      <c r="A37" s="6">
        <v>45641.0</v>
      </c>
      <c r="B37" s="2" t="s">
        <v>101</v>
      </c>
      <c r="C37" s="2" t="s">
        <v>186</v>
      </c>
      <c r="D37" s="7">
        <v>787.6</v>
      </c>
      <c r="E37" s="2">
        <v>1.0</v>
      </c>
      <c r="F37" s="7">
        <v>787.6</v>
      </c>
      <c r="G37" s="2" t="s">
        <v>187</v>
      </c>
      <c r="H37" s="2" t="s">
        <v>188</v>
      </c>
      <c r="I37" s="2" t="s">
        <v>189</v>
      </c>
      <c r="K37" s="25" t="str">
        <f>IFERROR(__xludf.DUMMYFUNCTION("IF(ISBLANK(A37),
  """",
  IF(ISNUMBER(A37),
    TEXT(A37,""dd/mm/yyyy""),
    IF(
      REGEXMATCH(TRIM(A37),""^\d{1,2}/\d{1,2}/\d{4}$""),
      TRIM(A37),
      IFERROR(
        TEXT(DATEVALUE(SUBSTITUTE(SUBSTITUTE(TRIM(A37),""-"",""/""),""."",""/"")),"&amp;"""dd/mm/yyyy""),
        TRIM(A37)
      )
    )
  )
)
"),"15/12/2024")</f>
        <v>15/12/2024</v>
      </c>
      <c r="L37" s="26">
        <v>45641.0</v>
      </c>
      <c r="M37" s="27" t="str">
        <f>IFERROR(__xludf.DUMMYFUNCTION("PROPER(TRIM(
  REGEXREPLACE(
    REGEXREPLACE(
      SUBSTITUTE(SUBSTITUTE(SUBSTITUTE(SUBSTITUTE(SUBSTITUTE(SUBSTITUTE(SUBSTITUTE(SUBSTITUTE(SUBSTITUTE(SUBSTITUTE(SUBSTITUTE(
        B37,""√©"",""é""),""√°"",""á""),""√±"",""ñ""),""√≥"",""ó""),""√â"",""é"""&amp;"),""√Å"",""á""),""√ç"",""í""),""√Ç"",""Í""),""√Â"",""é""),""√≠"",""í""),""√º"",""ú""),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37" s="28" t="str">
        <f>IFERROR(__xludf.DUMMYFUNCTION("SPLIT(
  TRIM(
    SUBSTITUTE(
      SUBSTITUTE(
        SUBSTITUTE(
          SUBSTITUTE(
            C37,
            ""√©"", ""é""
          ),
          ""√±"", ""ñ""
        ),
        ""√°"", ""á""
      ),
      ""√≥"", ""ó""
    )
  ),
  ""-""
)
"),"Tablet")</f>
        <v>Tablet</v>
      </c>
      <c r="O37" s="28" t="str">
        <f>IFERROR(__xludf.DUMMYFUNCTION("""COMPUTED_VALUE"""),"Mini")</f>
        <v>Mini</v>
      </c>
      <c r="P37" s="28" t="str">
        <f>IFERROR(__xludf.DUMMYFUNCTION("""COMPUTED_VALUE"""),"8GB")</f>
        <v>8GB</v>
      </c>
      <c r="Q37" s="29">
        <f t="shared" si="1"/>
        <v>787.6</v>
      </c>
      <c r="R37" s="28">
        <f t="shared" si="2"/>
        <v>1</v>
      </c>
      <c r="S37" s="29">
        <f t="shared" si="3"/>
        <v>787.6</v>
      </c>
      <c r="T37" s="28" t="str">
        <f>IFERROR(__xludf.DUMMYFUNCTION("PROPER(TRIM(
  LET(
    texto1, REGEXREPLACE(G37,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"),"Emilio Almaraz")</f>
        <v>Emilio Almaraz</v>
      </c>
      <c r="U37" s="28" t="str">
        <f t="shared" si="4"/>
        <v>72bb2e02-f0ab-4425-ad19-83e3487dfc79</v>
      </c>
      <c r="V37" s="30" t="str">
        <f t="shared" si="5"/>
        <v>Tablet Mini 8GB</v>
      </c>
    </row>
    <row r="38" ht="15.75" customHeight="1">
      <c r="A38" s="6" t="s">
        <v>190</v>
      </c>
      <c r="B38" s="2" t="s">
        <v>85</v>
      </c>
      <c r="C38" s="2" t="s">
        <v>191</v>
      </c>
      <c r="D38" s="7">
        <v>1532.2</v>
      </c>
      <c r="E38" s="2">
        <v>1.0</v>
      </c>
      <c r="F38" s="7">
        <v>1532.2</v>
      </c>
      <c r="G38" s="2" t="s">
        <v>192</v>
      </c>
      <c r="H38" s="2" t="s">
        <v>193</v>
      </c>
      <c r="I38" s="2" t="s">
        <v>194</v>
      </c>
      <c r="K38" s="19" t="str">
        <f>IFERROR(__xludf.DUMMYFUNCTION("IF(ISBLANK(A38),
  """",
  IF(ISNUMBER(A38),
    TEXT(A38,""dd/mm/yyyy""),
    IF(
      REGEXMATCH(TRIM(A38),""^\d{1,2}/\d{1,2}/\d{4}$""),
      TRIM(A38),
      IFERROR(
        TEXT(DATEVALUE(SUBSTITUTE(SUBSTITUTE(TRIM(A38),""-"",""/""),""."",""/"")),"&amp;"""dd/mm/yyyy""),
        TRIM(A38)
      )
    )
  )
)
"),"25/12/2024")</f>
        <v>25/12/2024</v>
      </c>
      <c r="L38" s="20">
        <v>45651.0</v>
      </c>
      <c r="M38" s="21" t="str">
        <f>IFERROR(__xludf.DUMMYFUNCTION("PROPER(TRIM(
  REGEXREPLACE(
    REGEXREPLACE(
      SUBSTITUTE(SUBSTITUTE(SUBSTITUTE(SUBSTITUTE(SUBSTITUTE(SUBSTITUTE(SUBSTITUTE(SUBSTITUTE(SUBSTITUTE(SUBSTITUTE(SUBSTITUTE(
        B38,""√©"",""é""),""√°"",""á""),""√±"",""ñ""),""√≥"",""ó""),""√â"",""é"""&amp;"),""√Å"",""á""),""√ç"",""í""),""√Ç"",""Í""),""√Â"",""é""),""√≠"",""í""),""√º"",""ú""),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38" s="22" t="str">
        <f>IFERROR(__xludf.DUMMYFUNCTION("SPLIT(
  TRIM(
    SUBSTITUTE(
      SUBSTITUTE(
        SUBSTITUTE(
          SUBSTITUTE(
            C38,
            ""√©"", ""é""
          ),
          ""√±"", ""ñ""
        ),
        ""√°"", ""á""
      ),
      ""√≥"", ""ó""
    )
  ),
  ""-""
)
"),"Auriculares")</f>
        <v>Auriculares</v>
      </c>
      <c r="O38" s="22" t="str">
        <f>IFERROR(__xludf.DUMMYFUNCTION("""COMPUTED_VALUE"""),"Cancelación de ruido")</f>
        <v>Cancelación de ruido</v>
      </c>
      <c r="P38" s="22" t="str">
        <f>IFERROR(__xludf.DUMMYFUNCTION("""COMPUTED_VALUE"""),"32GB")</f>
        <v>32GB</v>
      </c>
      <c r="Q38" s="23">
        <f t="shared" si="1"/>
        <v>1532.2</v>
      </c>
      <c r="R38" s="22">
        <f t="shared" si="2"/>
        <v>1</v>
      </c>
      <c r="S38" s="23">
        <f t="shared" si="3"/>
        <v>1532.2</v>
      </c>
      <c r="T38" s="22" t="str">
        <f>IFERROR(__xludf.DUMMYFUNCTION("PROPER(TRIM(
  LET(
    texto1, REGEXREPLACE(G38,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"),"Darío Martín Tovar")</f>
        <v>Darío Martín Tovar</v>
      </c>
      <c r="U38" s="22" t="str">
        <f t="shared" si="4"/>
        <v>ced0a1f9-ee13-48fd-ae58-db4f7cdfb189</v>
      </c>
      <c r="V38" s="24" t="str">
        <f t="shared" si="5"/>
        <v>Auriculares Cancelación de ruido 32GB</v>
      </c>
    </row>
    <row r="39" ht="15.75" customHeight="1">
      <c r="A39" s="6">
        <v>45594.0</v>
      </c>
      <c r="B39" s="2" t="s">
        <v>85</v>
      </c>
      <c r="C39" s="2" t="s">
        <v>196</v>
      </c>
      <c r="D39" s="7">
        <v>1741.09</v>
      </c>
      <c r="E39" s="2">
        <v>4.0</v>
      </c>
      <c r="F39" s="7">
        <v>6964.36</v>
      </c>
      <c r="G39" s="2" t="s">
        <v>197</v>
      </c>
      <c r="H39" s="2" t="s">
        <v>198</v>
      </c>
      <c r="I39" s="2" t="s">
        <v>199</v>
      </c>
      <c r="K39" s="25" t="str">
        <f>IFERROR(__xludf.DUMMYFUNCTION("IF(ISBLANK(A39),
  """",
  IF(ISNUMBER(A39),
    TEXT(A39,""dd/mm/yyyy""),
    IF(
      REGEXMATCH(TRIM(A39),""^\d{1,2}/\d{1,2}/\d{4}$""),
      TRIM(A39),
      IFERROR(
        TEXT(DATEVALUE(SUBSTITUTE(SUBSTITUTE(TRIM(A39),""-"",""/""),""."",""/"")),"&amp;"""dd/mm/yyyy""),
        TRIM(A39)
      )
    )
  )
)
"),"29/10/2024")</f>
        <v>29/10/2024</v>
      </c>
      <c r="L39" s="26">
        <v>45594.0</v>
      </c>
      <c r="M39" s="27" t="str">
        <f>IFERROR(__xludf.DUMMYFUNCTION("PROPER(TRIM(
  REGEXREPLACE(
    REGEXREPLACE(
      SUBSTITUTE(SUBSTITUTE(SUBSTITUTE(SUBSTITUTE(SUBSTITUTE(SUBSTITUTE(SUBSTITUTE(SUBSTITUTE(SUBSTITUTE(SUBSTITUTE(SUBSTITUTE(
        B39,""√©"",""é""),""√°"",""á""),""√±"",""ñ""),""√≥"",""ó""),""√â"",""é"""&amp;"),""√Å"",""á""),""√ç"",""í""),""√Ç"",""Í""),""√Â"",""é""),""√≠"",""í""),""√º"",""ú""),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39" s="28" t="str">
        <f>IFERROR(__xludf.DUMMYFUNCTION("SPLIT(
  TRIM(
    SUBSTITUTE(
      SUBSTITUTE(
        SUBSTITUTE(
          SUBSTITUTE(
            C39,
            ""√©"", ""é""
          ),
          ""√±"", ""ñ""
        ),
        ""√°"", ""á""
      ),
      ""√≥"", ""ó""
    )
  ),
  ""-""
)
"),"Auriculares")</f>
        <v>Auriculares</v>
      </c>
      <c r="O39" s="28" t="str">
        <f>IFERROR(__xludf.DUMMYFUNCTION("""COMPUTED_VALUE"""),"Cancelación de ruido")</f>
        <v>Cancelación de ruido</v>
      </c>
      <c r="P39" s="28" t="str">
        <f>IFERROR(__xludf.DUMMYFUNCTION("""COMPUTED_VALUE"""),"8GB")</f>
        <v>8GB</v>
      </c>
      <c r="Q39" s="29">
        <f t="shared" si="1"/>
        <v>1741.09</v>
      </c>
      <c r="R39" s="28">
        <f t="shared" si="2"/>
        <v>4</v>
      </c>
      <c r="S39" s="29">
        <f t="shared" si="3"/>
        <v>6964.36</v>
      </c>
      <c r="T39" s="28" t="str">
        <f>IFERROR(__xludf.DUMMYFUNCTION("PROPER(TRIM(
  LET(
    texto1, REGEXREPLACE(G39,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"),"Nadia Ana María Merino Arteaga")</f>
        <v>Nadia Ana María Merino Arteaga</v>
      </c>
      <c r="U39" s="28" t="str">
        <f t="shared" si="4"/>
        <v>446489c3-d916-48e8-af47-535cb42956ac</v>
      </c>
      <c r="V39" s="30" t="str">
        <f t="shared" si="5"/>
        <v>Auriculares Cancelación de ruido 8GB</v>
      </c>
    </row>
    <row r="40" ht="15.75" customHeight="1">
      <c r="A40" s="6">
        <v>45640.0</v>
      </c>
      <c r="B40" s="2" t="s">
        <v>38</v>
      </c>
      <c r="C40" s="2" t="s">
        <v>201</v>
      </c>
      <c r="D40" s="7">
        <v>2116.69</v>
      </c>
      <c r="E40" s="2">
        <v>2.0</v>
      </c>
      <c r="F40" s="7">
        <v>4233.38</v>
      </c>
      <c r="G40" s="2" t="s">
        <v>202</v>
      </c>
      <c r="H40" s="2" t="s">
        <v>203</v>
      </c>
      <c r="I40" s="2" t="s">
        <v>204</v>
      </c>
      <c r="K40" s="19" t="str">
        <f>IFERROR(__xludf.DUMMYFUNCTION("IF(ISBLANK(A40),
  """",
  IF(ISNUMBER(A40),
    TEXT(A40,""dd/mm/yyyy""),
    IF(
      REGEXMATCH(TRIM(A40),""^\d{1,2}/\d{1,2}/\d{4}$""),
      TRIM(A40),
      IFERROR(
        TEXT(DATEVALUE(SUBSTITUTE(SUBSTITUTE(TRIM(A40),""-"",""/""),""."",""/"")),"&amp;"""dd/mm/yyyy""),
        TRIM(A40)
      )
    )
  )
)
"),"14/12/2024")</f>
        <v>14/12/2024</v>
      </c>
      <c r="L40" s="20">
        <v>45640.0</v>
      </c>
      <c r="M40" s="21" t="str">
        <f>IFERROR(__xludf.DUMMYFUNCTION("PROPER(TRIM(
  REGEXREPLACE(
    REGEXREPLACE(
      SUBSTITUTE(SUBSTITUTE(SUBSTITUTE(SUBSTITUTE(SUBSTITUTE(SUBSTITUTE(SUBSTITUTE(SUBSTITUTE(SUBSTITUTE(SUBSTITUTE(SUBSTITUTE(
        B40,""√©"",""é""),""√°"",""á""),""√±"",""ñ""),""√≥"",""ó""),""√â"",""é"""&amp;"),""√Å"",""á""),""√ç"",""í""),""√Ç"",""Í""),""√Â"",""é""),""√≠"",""í""),""√º"",""ú""),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40" s="22" t="str">
        <f>IFERROR(__xludf.DUMMYFUNCTION("SPLIT(
  TRIM(
    SUBSTITUTE(
      SUBSTITUTE(
        SUBSTITUTE(
          SUBSTITUTE(
            C40,
            ""√©"", ""é""
          ),
          ""√±"", ""ñ""
        ),
        ""√°"", ""á""
      ),
      ""√≥"", ""ó""
    )
  ),
  ""-""
)
"),"Laptop")</f>
        <v>Laptop</v>
      </c>
      <c r="O40" s="22" t="str">
        <f>IFERROR(__xludf.DUMMYFUNCTION("""COMPUTED_VALUE"""),"Gaming")</f>
        <v>Gaming</v>
      </c>
      <c r="P40" s="22" t="str">
        <f>IFERROR(__xludf.DUMMYFUNCTION("""COMPUTED_VALUE"""),"4GB")</f>
        <v>4GB</v>
      </c>
      <c r="Q40" s="23">
        <f t="shared" si="1"/>
        <v>2116.69</v>
      </c>
      <c r="R40" s="22">
        <f t="shared" si="2"/>
        <v>2</v>
      </c>
      <c r="S40" s="23">
        <f t="shared" si="3"/>
        <v>4233.38</v>
      </c>
      <c r="T40" s="22" t="str">
        <f>IFERROR(__xludf.DUMMYFUNCTION("PROPER(TRIM(
  LET(
    texto1, REGEXREPLACE(G40,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"),"Uriel Montes Contreras")</f>
        <v>Uriel Montes Contreras</v>
      </c>
      <c r="U40" s="22" t="str">
        <f t="shared" si="4"/>
        <v>ab896c73-e2a6-4dc5-922f-889ab750954e</v>
      </c>
      <c r="V40" s="24" t="str">
        <f t="shared" si="5"/>
        <v>Laptop Gaming 4GB</v>
      </c>
    </row>
    <row r="41" ht="15.75" customHeight="1">
      <c r="A41" s="6">
        <v>45577.0</v>
      </c>
      <c r="B41" s="2" t="s">
        <v>85</v>
      </c>
      <c r="C41" s="2" t="s">
        <v>206</v>
      </c>
      <c r="D41" s="7">
        <v>1065.52</v>
      </c>
      <c r="E41" s="2">
        <v>2.0</v>
      </c>
      <c r="F41" s="7">
        <v>2131.04</v>
      </c>
      <c r="G41" s="2" t="s">
        <v>207</v>
      </c>
      <c r="H41" s="2" t="s">
        <v>208</v>
      </c>
      <c r="I41" s="2" t="s">
        <v>209</v>
      </c>
      <c r="K41" s="25" t="str">
        <f>IFERROR(__xludf.DUMMYFUNCTION("IF(ISBLANK(A41),
  """",
  IF(ISNUMBER(A41),
    TEXT(A41,""dd/mm/yyyy""),
    IF(
      REGEXMATCH(TRIM(A41),""^\d{1,2}/\d{1,2}/\d{4}$""),
      TRIM(A41),
      IFERROR(
        TEXT(DATEVALUE(SUBSTITUTE(SUBSTITUTE(TRIM(A41),""-"",""/""),""."",""/"")),"&amp;"""dd/mm/yyyy""),
        TRIM(A41)
      )
    )
  )
)
"),"12/10/2024")</f>
        <v>12/10/2024</v>
      </c>
      <c r="L41" s="26">
        <v>45577.0</v>
      </c>
      <c r="M41" s="27" t="str">
        <f>IFERROR(__xludf.DUMMYFUNCTION("PROPER(TRIM(
  REGEXREPLACE(
    REGEXREPLACE(
      SUBSTITUTE(SUBSTITUTE(SUBSTITUTE(SUBSTITUTE(SUBSTITUTE(SUBSTITUTE(SUBSTITUTE(SUBSTITUTE(SUBSTITUTE(SUBSTITUTE(SUBSTITUTE(
        B41,""√©"",""é""),""√°"",""á""),""√±"",""ñ""),""√≥"",""ó""),""√â"",""é"""&amp;"),""√Å"",""á""),""√ç"",""í""),""√Ç"",""Í""),""√Â"",""é""),""√≠"",""í""),""√º"",""ú""),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41" s="28" t="str">
        <f>IFERROR(__xludf.DUMMYFUNCTION("SPLIT(
  TRIM(
    SUBSTITUTE(
      SUBSTITUTE(
        SUBSTITUTE(
          SUBSTITUTE(
            C41,
            ""√©"", ""é""
          ),
          ""√±"", ""ñ""
        ),
        ""√°"", ""á""
      ),
      ""√≥"", ""ó""
    )
  ),
  ""-""
)
"),"Auriculares")</f>
        <v>Auriculares</v>
      </c>
      <c r="O41" s="28" t="str">
        <f>IFERROR(__xludf.DUMMYFUNCTION("""COMPUTED_VALUE"""),"Bluetooth")</f>
        <v>Bluetooth</v>
      </c>
      <c r="P41" s="28" t="str">
        <f>IFERROR(__xludf.DUMMYFUNCTION("""COMPUTED_VALUE"""),"4GB")</f>
        <v>4GB</v>
      </c>
      <c r="Q41" s="29">
        <f t="shared" si="1"/>
        <v>1065.52</v>
      </c>
      <c r="R41" s="28">
        <f t="shared" si="2"/>
        <v>2</v>
      </c>
      <c r="S41" s="29">
        <f t="shared" si="3"/>
        <v>2131.04</v>
      </c>
      <c r="T41" s="28" t="str">
        <f>IFERROR(__xludf.DUMMYFUNCTION("PROPER(TRIM(
  LET(
    texto1, REGEXREPLACE(G41,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"),"Serafín Samuel Tamayo Báez")</f>
        <v>Serafín Samuel Tamayo Báez</v>
      </c>
      <c r="U41" s="28" t="str">
        <f t="shared" si="4"/>
        <v>c196a64f-ac47-4c79-b416-d0807432cfa3</v>
      </c>
      <c r="V41" s="30" t="str">
        <f t="shared" si="5"/>
        <v>Auriculares Bluetooth 4GB</v>
      </c>
    </row>
    <row r="42" ht="15.75" customHeight="1">
      <c r="A42" s="6">
        <v>45302.0</v>
      </c>
      <c r="B42" s="2" t="s">
        <v>16</v>
      </c>
      <c r="C42" s="2" t="s">
        <v>70</v>
      </c>
      <c r="D42" s="7">
        <v>1919.71</v>
      </c>
      <c r="E42" s="2">
        <v>4.0</v>
      </c>
      <c r="F42" s="7">
        <v>7678.84</v>
      </c>
      <c r="G42" s="2" t="s">
        <v>211</v>
      </c>
      <c r="H42" s="2" t="s">
        <v>212</v>
      </c>
      <c r="I42" s="2" t="s">
        <v>213</v>
      </c>
      <c r="K42" s="19" t="str">
        <f>IFERROR(__xludf.DUMMYFUNCTION("IF(ISBLANK(A42),
  """",
  IF(ISNUMBER(A42),
    TEXT(A42,""dd/mm/yyyy""),
    IF(
      REGEXMATCH(TRIM(A42),""^\d{1,2}/\d{1,2}/\d{4}$""),
      TRIM(A42),
      IFERROR(
        TEXT(DATEVALUE(SUBSTITUTE(SUBSTITUTE(TRIM(A42),""-"",""/""),""."",""/"")),"&amp;"""dd/mm/yyyy""),
        TRIM(A42)
      )
    )
  )
)
"),"11/01/2024")</f>
        <v>11/01/2024</v>
      </c>
      <c r="L42" s="20">
        <v>45302.0</v>
      </c>
      <c r="M42" s="21" t="str">
        <f>IFERROR(__xludf.DUMMYFUNCTION("PROPER(TRIM(
  REGEXREPLACE(
    REGEXREPLACE(
      SUBSTITUTE(SUBSTITUTE(SUBSTITUTE(SUBSTITUTE(SUBSTITUTE(SUBSTITUTE(SUBSTITUTE(SUBSTITUTE(SUBSTITUTE(SUBSTITUTE(SUBSTITUTE(
        B42,""√©"",""é""),""√°"",""á""),""√±"",""ñ""),""√≥"",""ó""),""√â"",""é"""&amp;"),""√Å"",""á""),""√ç"",""í""),""√Ç"",""Í""),""√Â"",""é""),""√≠"",""í""),""√º"",""ú""),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42" s="22" t="str">
        <f>IFERROR(__xludf.DUMMYFUNCTION("SPLIT(
  TRIM(
    SUBSTITUTE(
      SUBSTITUTE(
        SUBSTITUTE(
          SUBSTITUTE(
            C42,
            ""√©"", ""é""
          ),
          ""√±"", ""ñ""
        ),
        ""√°"", ""á""
      ),
      ""√≥"", ""ó""
    )
  ),
  ""-""
)
"),"Auriculares")</f>
        <v>Auriculares</v>
      </c>
      <c r="O42" s="22" t="str">
        <f>IFERROR(__xludf.DUMMYFUNCTION("""COMPUTED_VALUE"""),"Con cable")</f>
        <v>Con cable</v>
      </c>
      <c r="P42" s="22" t="str">
        <f>IFERROR(__xludf.DUMMYFUNCTION("""COMPUTED_VALUE"""),"16GB")</f>
        <v>16GB</v>
      </c>
      <c r="Q42" s="23">
        <f t="shared" si="1"/>
        <v>1919.71</v>
      </c>
      <c r="R42" s="22">
        <f t="shared" si="2"/>
        <v>4</v>
      </c>
      <c r="S42" s="23">
        <f t="shared" si="3"/>
        <v>7678.84</v>
      </c>
      <c r="T42" s="22" t="str">
        <f>IFERROR(__xludf.DUMMYFUNCTION("PROPER(TRIM(
  LET(
    texto1, REGEXREPLACE(G42,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Manuél Torres")</f>
        <v>José Manuél Torres</v>
      </c>
      <c r="U42" s="22" t="str">
        <f t="shared" si="4"/>
        <v>5004d2bb-d9ba-4955-8ee4-bf09d5db221e</v>
      </c>
      <c r="V42" s="24" t="str">
        <f t="shared" si="5"/>
        <v>Auriculares Con cable 16GB</v>
      </c>
    </row>
    <row r="43" ht="15.75" customHeight="1">
      <c r="A43" s="6">
        <v>45611.0</v>
      </c>
      <c r="B43" s="2" t="s">
        <v>27</v>
      </c>
      <c r="C43" s="2" t="s">
        <v>28</v>
      </c>
      <c r="D43" s="7">
        <v>450.01</v>
      </c>
      <c r="E43" s="2">
        <v>4.0</v>
      </c>
      <c r="F43" s="7">
        <v>1800.04</v>
      </c>
      <c r="G43" s="2" t="s">
        <v>215</v>
      </c>
      <c r="H43" s="2" t="s">
        <v>216</v>
      </c>
      <c r="I43" s="2" t="s">
        <v>217</v>
      </c>
      <c r="K43" s="25" t="str">
        <f>IFERROR(__xludf.DUMMYFUNCTION("IF(ISBLANK(A43),
  """",
  IF(ISNUMBER(A43),
    TEXT(A43,""dd/mm/yyyy""),
    IF(
      REGEXMATCH(TRIM(A43),""^\d{1,2}/\d{1,2}/\d{4}$""),
      TRIM(A43),
      IFERROR(
        TEXT(DATEVALUE(SUBSTITUTE(SUBSTITUTE(TRIM(A43),""-"",""/""),""."",""/"")),"&amp;"""dd/mm/yyyy""),
        TRIM(A43)
      )
    )
  )
)
"),"15/11/2024")</f>
        <v>15/11/2024</v>
      </c>
      <c r="L43" s="26">
        <v>45611.0</v>
      </c>
      <c r="M43" s="27" t="str">
        <f>IFERROR(__xludf.DUMMYFUNCTION("PROPER(TRIM(
  REGEXREPLACE(
    REGEXREPLACE(
      SUBSTITUTE(SUBSTITUTE(SUBSTITUTE(SUBSTITUTE(SUBSTITUTE(SUBSTITUTE(SUBSTITUTE(SUBSTITUTE(SUBSTITUTE(SUBSTITUTE(SUBSTITUTE(
        B43,""√©"",""é""),""√°"",""á""),""√±"",""ñ""),""√≥"",""ó""),""√â"",""é"""&amp;"),""√Å"",""á""),""√ç"",""í""),""√Ç"",""Í""),""√Â"",""é""),""√≠"",""í""),""√º"",""ú""),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43" s="28" t="str">
        <f>IFERROR(__xludf.DUMMYFUNCTION("SPLIT(
  TRIM(
    SUBSTITUTE(
      SUBSTITUTE(
        SUBSTITUTE(
          SUBSTITUTE(
            C43,
            ""√©"", ""é""
          ),
          ""√±"", ""ñ""
        ),
        ""√°"", ""á""
      ),
      ""√≥"", ""ó""
    )
  ),
  ""-""
)
"),"Tablet")</f>
        <v>Tablet</v>
      </c>
      <c r="O43" s="28" t="str">
        <f>IFERROR(__xludf.DUMMYFUNCTION("""COMPUTED_VALUE"""),"Pro")</f>
        <v>Pro</v>
      </c>
      <c r="P43" s="28" t="str">
        <f>IFERROR(__xludf.DUMMYFUNCTION("""COMPUTED_VALUE"""),"8GB")</f>
        <v>8GB</v>
      </c>
      <c r="Q43" s="29">
        <f t="shared" si="1"/>
        <v>450.01</v>
      </c>
      <c r="R43" s="28">
        <f t="shared" si="2"/>
        <v>4</v>
      </c>
      <c r="S43" s="29">
        <f t="shared" si="3"/>
        <v>1800.04</v>
      </c>
      <c r="T43" s="28" t="str">
        <f>IFERROR(__xludf.DUMMYFUNCTION("PROPER(TRIM(
  LET(
    texto1, REGEXREPLACE(G43,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 Carlota Arredondo Linares")</f>
        <v>Daniel Carlota Arredondo Linares</v>
      </c>
      <c r="U43" s="28" t="str">
        <f t="shared" si="4"/>
        <v>50132920-f6aa-4e4d-8964-c48df8dcf12f</v>
      </c>
      <c r="V43" s="30" t="str">
        <f t="shared" si="5"/>
        <v>Tablet Pro 8GB</v>
      </c>
    </row>
    <row r="44" ht="15.75" customHeight="1">
      <c r="A44" s="6">
        <v>45629.0</v>
      </c>
      <c r="B44" s="2" t="s">
        <v>27</v>
      </c>
      <c r="C44" s="2" t="s">
        <v>22</v>
      </c>
      <c r="D44" s="7">
        <v>2294.28</v>
      </c>
      <c r="E44" s="2">
        <v>1.0</v>
      </c>
      <c r="F44" s="7">
        <v>2294.28</v>
      </c>
      <c r="G44" s="2" t="s">
        <v>219</v>
      </c>
      <c r="H44" s="2" t="s">
        <v>220</v>
      </c>
      <c r="I44" s="2" t="s">
        <v>221</v>
      </c>
      <c r="K44" s="19" t="str">
        <f>IFERROR(__xludf.DUMMYFUNCTION("IF(ISBLANK(A44),
  """",
  IF(ISNUMBER(A44),
    TEXT(A44,""dd/mm/yyyy""),
    IF(
      REGEXMATCH(TRIM(A44),""^\d{1,2}/\d{1,2}/\d{4}$""),
      TRIM(A44),
      IFERROR(
        TEXT(DATEVALUE(SUBSTITUTE(SUBSTITUTE(TRIM(A44),""-"",""/""),""."",""/"")),"&amp;"""dd/mm/yyyy""),
        TRIM(A44)
      )
    )
  )
)
"),"03/12/2024")</f>
        <v>03/12/2024</v>
      </c>
      <c r="L44" s="20">
        <v>45629.0</v>
      </c>
      <c r="M44" s="21" t="str">
        <f>IFERROR(__xludf.DUMMYFUNCTION("PROPER(TRIM(
  REGEXREPLACE(
    REGEXREPLACE(
      SUBSTITUTE(SUBSTITUTE(SUBSTITUTE(SUBSTITUTE(SUBSTITUTE(SUBSTITUTE(SUBSTITUTE(SUBSTITUTE(SUBSTITUTE(SUBSTITUTE(SUBSTITUTE(
        B44,""√©"",""é""),""√°"",""á""),""√±"",""ñ""),""√≥"",""ó""),""√â"",""é"""&amp;"),""√Å"",""á""),""√ç"",""í""),""√Ç"",""Í""),""√Â"",""é""),""√≠"",""í""),""√º"",""ú""),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44" s="22" t="str">
        <f>IFERROR(__xludf.DUMMYFUNCTION("SPLIT(
  TRIM(
    SUBSTITUTE(
      SUBSTITUTE(
        SUBSTITUTE(
          SUBSTITUTE(
            C44,
            ""√©"", ""é""
          ),
          ""√±"", ""ñ""
        ),
        ""√°"", ""á""
      ),
      ""√≥"", ""ó""
    )
  ),
  ""-""
)
"),"Laptop")</f>
        <v>Laptop</v>
      </c>
      <c r="O44" s="22" t="str">
        <f>IFERROR(__xludf.DUMMYFUNCTION("""COMPUTED_VALUE"""),"Gaming")</f>
        <v>Gaming</v>
      </c>
      <c r="P44" s="22" t="str">
        <f>IFERROR(__xludf.DUMMYFUNCTION("""COMPUTED_VALUE"""),"32GB")</f>
        <v>32GB</v>
      </c>
      <c r="Q44" s="23">
        <f t="shared" si="1"/>
        <v>2294.28</v>
      </c>
      <c r="R44" s="22">
        <f t="shared" si="2"/>
        <v>1</v>
      </c>
      <c r="S44" s="23">
        <f t="shared" si="3"/>
        <v>2294.28</v>
      </c>
      <c r="T44" s="22" t="str">
        <f>IFERROR(__xludf.DUMMYFUNCTION("PROPER(TRIM(
  LET(
    texto1, REGEXREPLACE(G44,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"),"Hilda Razo Lerma")</f>
        <v>Hilda Razo Lerma</v>
      </c>
      <c r="U44" s="22" t="str">
        <f t="shared" si="4"/>
        <v>5eb1511c-6bde-49b4-b1e9-39aeeca914bc</v>
      </c>
      <c r="V44" s="24" t="str">
        <f t="shared" si="5"/>
        <v>Laptop Gaming 32GB</v>
      </c>
    </row>
    <row r="45" ht="15.75" customHeight="1">
      <c r="A45" s="6">
        <v>45631.0</v>
      </c>
      <c r="B45" s="2" t="s">
        <v>50</v>
      </c>
      <c r="C45" s="2" t="s">
        <v>45</v>
      </c>
      <c r="D45" s="7">
        <v>496.1</v>
      </c>
      <c r="E45" s="2">
        <v>3.0</v>
      </c>
      <c r="F45" s="7">
        <v>1488.3</v>
      </c>
      <c r="G45" s="2" t="s">
        <v>222</v>
      </c>
      <c r="H45" s="2" t="s">
        <v>223</v>
      </c>
      <c r="I45" s="2" t="s">
        <v>224</v>
      </c>
      <c r="K45" s="25" t="str">
        <f>IFERROR(__xludf.DUMMYFUNCTION("IF(ISBLANK(A45),
  """",
  IF(ISNUMBER(A45),
    TEXT(A45,""dd/mm/yyyy""),
    IF(
      REGEXMATCH(TRIM(A45),""^\d{1,2}/\d{1,2}/\d{4}$""),
      TRIM(A45),
      IFERROR(
        TEXT(DATEVALUE(SUBSTITUTE(SUBSTITUTE(TRIM(A45),""-"",""/""),""."",""/"")),"&amp;"""dd/mm/yyyy""),
        TRIM(A45)
      )
    )
  )
)
"),"05/12/2024")</f>
        <v>05/12/2024</v>
      </c>
      <c r="L45" s="26">
        <v>45631.0</v>
      </c>
      <c r="M45" s="27" t="str">
        <f>IFERROR(__xludf.DUMMYFUNCTION("PROPER(TRIM(
  REGEXREPLACE(
    REGEXREPLACE(
      SUBSTITUTE(SUBSTITUTE(SUBSTITUTE(SUBSTITUTE(SUBSTITUTE(SUBSTITUTE(SUBSTITUTE(SUBSTITUTE(SUBSTITUTE(SUBSTITUTE(SUBSTITUTE(
        B45,""√©"",""é""),""√°"",""á""),""√±"",""ñ""),""√≥"",""ó""),""√â"",""é"""&amp;"),""√Å"",""á""),""√ç"",""í""),""√Ç"",""Í""),""√Â"",""é""),""√≠"",""í""),""√º"",""ú""),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45" s="28" t="str">
        <f>IFERROR(__xludf.DUMMYFUNCTION("SPLIT(
  TRIM(
    SUBSTITUTE(
      SUBSTITUTE(
        SUBSTITUTE(
          SUBSTITUTE(
            C45,
            ""√©"", ""é""
          ),
          ""√±"", ""ñ""
        ),
        ""√°"", ""á""
      ),
      ""√≥"", ""ó""
    )
  ),
  ""-""
)
"),"Tablet")</f>
        <v>Tablet</v>
      </c>
      <c r="O45" s="28" t="str">
        <f>IFERROR(__xludf.DUMMYFUNCTION("""COMPUTED_VALUE"""),"Mini")</f>
        <v>Mini</v>
      </c>
      <c r="P45" s="28" t="str">
        <f>IFERROR(__xludf.DUMMYFUNCTION("""COMPUTED_VALUE"""),"4GB")</f>
        <v>4GB</v>
      </c>
      <c r="Q45" s="29">
        <f t="shared" si="1"/>
        <v>496.1</v>
      </c>
      <c r="R45" s="28">
        <f t="shared" si="2"/>
        <v>3</v>
      </c>
      <c r="S45" s="29">
        <f t="shared" si="3"/>
        <v>1488.3</v>
      </c>
      <c r="T45" s="28" t="str">
        <f>IFERROR(__xludf.DUMMYFUNCTION("PROPER(TRIM(
  LET(
    texto1, REGEXREPLACE(G45,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"),"Mauricio Oquendo Bustos")</f>
        <v>Mauricio Oquendo Bustos</v>
      </c>
      <c r="U45" s="28" t="str">
        <f t="shared" si="4"/>
        <v>36d91d20-825b-4909-9326-ca55a5ba261f</v>
      </c>
      <c r="V45" s="30" t="str">
        <f t="shared" si="5"/>
        <v>Tablet Mini 4GB</v>
      </c>
    </row>
    <row r="46" ht="15.75" customHeight="1">
      <c r="A46" s="6" t="s">
        <v>225</v>
      </c>
      <c r="B46" s="2" t="s">
        <v>50</v>
      </c>
      <c r="C46" s="2" t="s">
        <v>226</v>
      </c>
      <c r="D46" s="7">
        <v>1529.1</v>
      </c>
      <c r="E46" s="2">
        <v>1.0</v>
      </c>
      <c r="F46" s="7">
        <v>1529.1</v>
      </c>
      <c r="G46" s="2" t="s">
        <v>227</v>
      </c>
      <c r="H46" s="2" t="s">
        <v>228</v>
      </c>
      <c r="I46" s="2" t="s">
        <v>229</v>
      </c>
      <c r="K46" s="19" t="str">
        <f>IFERROR(__xludf.DUMMYFUNCTION("IF(ISBLANK(A46),
  """",
  IF(ISNUMBER(A46),
    TEXT(A46,""dd/mm/yyyy""),
    IF(
      REGEXMATCH(TRIM(A46),""^\d{1,2}/\d{1,2}/\d{4}$""),
      TRIM(A46),
      IFERROR(
        TEXT(DATEVALUE(SUBSTITUTE(SUBSTITUTE(TRIM(A46),""-"",""/""),""."",""/"")),"&amp;"""dd/mm/yyyy""),
        TRIM(A46)
      )
    )
  )
)
"),"20/10/2024")</f>
        <v>20/10/2024</v>
      </c>
      <c r="L46" s="20">
        <v>45585.0</v>
      </c>
      <c r="M46" s="21" t="str">
        <f>IFERROR(__xludf.DUMMYFUNCTION("PROPER(TRIM(
  REGEXREPLACE(
    REGEXREPLACE(
      SUBSTITUTE(SUBSTITUTE(SUBSTITUTE(SUBSTITUTE(SUBSTITUTE(SUBSTITUTE(SUBSTITUTE(SUBSTITUTE(SUBSTITUTE(SUBSTITUTE(SUBSTITUTE(
        B46,""√©"",""é""),""√°"",""á""),""√±"",""ñ""),""√≥"",""ó""),""√â"",""é"""&amp;"),""√Å"",""á""),""√ç"",""í""),""√Ç"",""Í""),""√Â"",""é""),""√≠"",""í""),""√º"",""ú""),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46" s="22" t="str">
        <f>IFERROR(__xludf.DUMMYFUNCTION("SPLIT(
  TRIM(
    SUBSTITUTE(
      SUBSTITUTE(
        SUBSTITUTE(
          SUBSTITUTE(
            C46,
            ""√©"", ""é""
          ),
          ""√±"", ""ñ""
        ),
        ""√°"", ""á""
      ),
      ""√≥"", ""ó""
    )
  ),
  ""-""
)
"),"Tablet")</f>
        <v>Tablet</v>
      </c>
      <c r="O46" s="22" t="str">
        <f>IFERROR(__xludf.DUMMYFUNCTION("""COMPUTED_VALUE"""),"Mini")</f>
        <v>Mini</v>
      </c>
      <c r="P46" s="22" t="str">
        <f>IFERROR(__xludf.DUMMYFUNCTION("""COMPUTED_VALUE"""),"16GB")</f>
        <v>16GB</v>
      </c>
      <c r="Q46" s="23">
        <f t="shared" si="1"/>
        <v>1529.1</v>
      </c>
      <c r="R46" s="22">
        <f t="shared" si="2"/>
        <v>1</v>
      </c>
      <c r="S46" s="23">
        <f t="shared" si="3"/>
        <v>1529.1</v>
      </c>
      <c r="T46" s="22" t="str">
        <f>IFERROR(__xludf.DUMMYFUNCTION("PROPER(TRIM(
  LET(
    texto1, REGEXREPLACE(G46,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"),"Amalia Guillermina Ozuna Santana")</f>
        <v>Amalia Guillermina Ozuna Santana</v>
      </c>
      <c r="U46" s="22" t="str">
        <f t="shared" si="4"/>
        <v>62a28aa3-fc75-41e7-abc8-fbb577726ebd</v>
      </c>
      <c r="V46" s="24" t="str">
        <f t="shared" si="5"/>
        <v>Tablet Mini 16GB</v>
      </c>
    </row>
    <row r="47" ht="15.75" customHeight="1">
      <c r="A47" s="6">
        <v>45626.0</v>
      </c>
      <c r="B47" s="2" t="s">
        <v>27</v>
      </c>
      <c r="C47" s="2" t="s">
        <v>147</v>
      </c>
      <c r="D47" s="7">
        <v>2256.04</v>
      </c>
      <c r="E47" s="2">
        <v>5.0</v>
      </c>
      <c r="F47" s="7">
        <v>11280.2</v>
      </c>
      <c r="G47" s="2" t="s">
        <v>231</v>
      </c>
      <c r="H47" s="2" t="s">
        <v>232</v>
      </c>
      <c r="I47" s="2" t="s">
        <v>233</v>
      </c>
      <c r="K47" s="25" t="str">
        <f>IFERROR(__xludf.DUMMYFUNCTION("IF(ISBLANK(A47),
  """",
  IF(ISNUMBER(A47),
    TEXT(A47,""dd/mm/yyyy""),
    IF(
      REGEXMATCH(TRIM(A47),""^\d{1,2}/\d{1,2}/\d{4}$""),
      TRIM(A47),
      IFERROR(
        TEXT(DATEVALUE(SUBSTITUTE(SUBSTITUTE(TRIM(A47),""-"",""/""),""."",""/"")),"&amp;"""dd/mm/yyyy""),
        TRIM(A47)
      )
    )
  )
)
"),"30/11/2024")</f>
        <v>30/11/2024</v>
      </c>
      <c r="L47" s="26">
        <v>45626.0</v>
      </c>
      <c r="M47" s="27" t="str">
        <f>IFERROR(__xludf.DUMMYFUNCTION("PROPER(TRIM(
  REGEXREPLACE(
    REGEXREPLACE(
      SUBSTITUTE(SUBSTITUTE(SUBSTITUTE(SUBSTITUTE(SUBSTITUTE(SUBSTITUTE(SUBSTITUTE(SUBSTITUTE(SUBSTITUTE(SUBSTITUTE(SUBSTITUTE(
        B47,""√©"",""é""),""√°"",""á""),""√±"",""ñ""),""√≥"",""ó""),""√â"",""é"""&amp;"),""√Å"",""á""),""√ç"",""í""),""√Ç"",""Í""),""√Â"",""é""),""√≠"",""í""),""√º"",""ú""),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47" s="28" t="str">
        <f>IFERROR(__xludf.DUMMYFUNCTION("SPLIT(
  TRIM(
    SUBSTITUTE(
      SUBSTITUTE(
        SUBSTITUTE(
          SUBSTITUTE(
            C47,
            ""√©"", ""é""
          ),
          ""√±"", ""ñ""
        ),
        ""√°"", ""á""
      ),
      ""√≥"", ""ó""
    )
  ),
  ""-""
)
"),"Laptop")</f>
        <v>Laptop</v>
      </c>
      <c r="O47" s="28" t="str">
        <f>IFERROR(__xludf.DUMMYFUNCTION("""COMPUTED_VALUE"""),"Oficina")</f>
        <v>Oficina</v>
      </c>
      <c r="P47" s="28" t="str">
        <f>IFERROR(__xludf.DUMMYFUNCTION("""COMPUTED_VALUE"""),"16GB")</f>
        <v>16GB</v>
      </c>
      <c r="Q47" s="29">
        <f t="shared" si="1"/>
        <v>2256.04</v>
      </c>
      <c r="R47" s="28">
        <f t="shared" si="2"/>
        <v>5</v>
      </c>
      <c r="S47" s="29">
        <f t="shared" si="3"/>
        <v>11280.2</v>
      </c>
      <c r="T47" s="28" t="str">
        <f>IFERROR(__xludf.DUMMYFUNCTION("PROPER(TRIM(
  LET(
    texto1, REGEXREPLACE(G47,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"),"Gabino Barrera Quiroz")</f>
        <v>Gabino Barrera Quiroz</v>
      </c>
      <c r="U47" s="28" t="str">
        <f t="shared" si="4"/>
        <v>02858336-ce07-4437-8326-04e65dd55fe4</v>
      </c>
      <c r="V47" s="30" t="str">
        <f t="shared" si="5"/>
        <v>Laptop Oficina 16GB</v>
      </c>
    </row>
    <row r="48" ht="15.75" customHeight="1">
      <c r="A48" s="6">
        <v>45649.0</v>
      </c>
      <c r="B48" s="2" t="s">
        <v>85</v>
      </c>
      <c r="C48" s="2" t="s">
        <v>235</v>
      </c>
      <c r="D48" s="7">
        <v>625.26</v>
      </c>
      <c r="E48" s="2">
        <v>5.0</v>
      </c>
      <c r="F48" s="7">
        <v>3126.3</v>
      </c>
      <c r="G48" s="2" t="s">
        <v>236</v>
      </c>
      <c r="H48" s="2" t="s">
        <v>237</v>
      </c>
      <c r="I48" s="2" t="s">
        <v>238</v>
      </c>
      <c r="K48" s="19" t="str">
        <f>IFERROR(__xludf.DUMMYFUNCTION("IF(ISBLANK(A48),
  """",
  IF(ISNUMBER(A48),
    TEXT(A48,""dd/mm/yyyy""),
    IF(
      REGEXMATCH(TRIM(A48),""^\d{1,2}/\d{1,2}/\d{4}$""),
      TRIM(A48),
      IFERROR(
        TEXT(DATEVALUE(SUBSTITUTE(SUBSTITUTE(TRIM(A48),""-"",""/""),""."",""/"")),"&amp;"""dd/mm/yyyy""),
        TRIM(A48)
      )
    )
  )
)
"),"23/12/2024")</f>
        <v>23/12/2024</v>
      </c>
      <c r="L48" s="20">
        <v>45649.0</v>
      </c>
      <c r="M48" s="21" t="str">
        <f>IFERROR(__xludf.DUMMYFUNCTION("PROPER(TRIM(
  REGEXREPLACE(
    REGEXREPLACE(
      SUBSTITUTE(SUBSTITUTE(SUBSTITUTE(SUBSTITUTE(SUBSTITUTE(SUBSTITUTE(SUBSTITUTE(SUBSTITUTE(SUBSTITUTE(SUBSTITUTE(SUBSTITUTE(
        B48,""√©"",""é""),""√°"",""á""),""√±"",""ñ""),""√≥"",""ó""),""√â"",""é"""&amp;"),""√Å"",""á""),""√ç"",""í""),""√Ç"",""Í""),""√Â"",""é""),""√≠"",""í""),""√º"",""ú""),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48" s="22" t="str">
        <f>IFERROR(__xludf.DUMMYFUNCTION("SPLIT(
  TRIM(
    SUBSTITUTE(
      SUBSTITUTE(
        SUBSTITUTE(
          SUBSTITUTE(
            C48,
            ""√©"", ""é""
          ),
          ""√±"", ""ñ""
        ),
        ""√°"", ""á""
      ),
      ""√≥"", ""ó""
    )
  ),
  ""-""
)
"),"Tablet")</f>
        <v>Tablet</v>
      </c>
      <c r="O48" s="22" t="str">
        <f>IFERROR(__xludf.DUMMYFUNCTION("""COMPUTED_VALUE"""),"Estándar")</f>
        <v>Estándar</v>
      </c>
      <c r="P48" s="22" t="str">
        <f>IFERROR(__xludf.DUMMYFUNCTION("""COMPUTED_VALUE"""),"4GB")</f>
        <v>4GB</v>
      </c>
      <c r="Q48" s="23">
        <f t="shared" si="1"/>
        <v>625.26</v>
      </c>
      <c r="R48" s="22">
        <f t="shared" si="2"/>
        <v>5</v>
      </c>
      <c r="S48" s="23">
        <f t="shared" si="3"/>
        <v>3126.3</v>
      </c>
      <c r="T48" s="22" t="str">
        <f>IFERROR(__xludf.DUMMYFUNCTION("PROPER(TRIM(
  LET(
    texto1, REGEXREPLACE(G48,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"),"Alonso Lucero")</f>
        <v>Alonso Lucero</v>
      </c>
      <c r="U48" s="22" t="str">
        <f t="shared" si="4"/>
        <v>46930688-ab22-4f38-922e-c8bdee972554</v>
      </c>
      <c r="V48" s="24" t="str">
        <f t="shared" si="5"/>
        <v>Tablet Estándar 4GB</v>
      </c>
    </row>
    <row r="49" ht="15.75" customHeight="1">
      <c r="A49" s="6">
        <v>45607.0</v>
      </c>
      <c r="B49" s="2" t="s">
        <v>38</v>
      </c>
      <c r="C49" s="2" t="s">
        <v>55</v>
      </c>
      <c r="D49" s="7">
        <v>1933.07</v>
      </c>
      <c r="E49" s="2">
        <v>3.0</v>
      </c>
      <c r="F49" s="7">
        <v>5799.21</v>
      </c>
      <c r="G49" s="2" t="s">
        <v>240</v>
      </c>
      <c r="H49" s="2" t="s">
        <v>241</v>
      </c>
      <c r="I49" s="2" t="s">
        <v>242</v>
      </c>
      <c r="K49" s="25" t="str">
        <f>IFERROR(__xludf.DUMMYFUNCTION("IF(ISBLANK(A49),
  """",
  IF(ISNUMBER(A49),
    TEXT(A49,""dd/mm/yyyy""),
    IF(
      REGEXMATCH(TRIM(A49),""^\d{1,2}/\d{1,2}/\d{4}$""),
      TRIM(A49),
      IFERROR(
        TEXT(DATEVALUE(SUBSTITUTE(SUBSTITUTE(TRIM(A49),""-"",""/""),""."",""/"")),"&amp;"""dd/mm/yyyy""),
        TRIM(A49)
      )
    )
  )
)
"),"11/11/2024")</f>
        <v>11/11/2024</v>
      </c>
      <c r="L49" s="26">
        <v>45607.0</v>
      </c>
      <c r="M49" s="27" t="str">
        <f>IFERROR(__xludf.DUMMYFUNCTION("PROPER(TRIM(
  REGEXREPLACE(
    REGEXREPLACE(
      SUBSTITUTE(SUBSTITUTE(SUBSTITUTE(SUBSTITUTE(SUBSTITUTE(SUBSTITUTE(SUBSTITUTE(SUBSTITUTE(SUBSTITUTE(SUBSTITUTE(SUBSTITUTE(
        B49,""√©"",""é""),""√°"",""á""),""√±"",""ñ""),""√≥"",""ó""),""√â"",""é"""&amp;"),""√Å"",""á""),""√ç"",""í""),""√Ç"",""Í""),""√Â"",""é""),""√≠"",""í""),""√º"",""ú""),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49" s="28" t="str">
        <f>IFERROR(__xludf.DUMMYFUNCTION("SPLIT(
  TRIM(
    SUBSTITUTE(
      SUBSTITUTE(
        SUBSTITUTE(
          SUBSTITUTE(
            C49,
            ""√©"", ""é""
          ),
          ""√±"", ""ñ""
        ),
        ""√°"", ""á""
      ),
      ""√≥"", ""ó""
    )
  ),
  ""-""
)
"),"Laptop")</f>
        <v>Laptop</v>
      </c>
      <c r="O49" s="28" t="str">
        <f>IFERROR(__xludf.DUMMYFUNCTION("""COMPUTED_VALUE"""),"Ultraliviana")</f>
        <v>Ultraliviana</v>
      </c>
      <c r="P49" s="28" t="str">
        <f>IFERROR(__xludf.DUMMYFUNCTION("""COMPUTED_VALUE"""),"16GB")</f>
        <v>16GB</v>
      </c>
      <c r="Q49" s="29">
        <f t="shared" si="1"/>
        <v>1933.07</v>
      </c>
      <c r="R49" s="28">
        <f t="shared" si="2"/>
        <v>3</v>
      </c>
      <c r="S49" s="29">
        <f t="shared" si="3"/>
        <v>5799.21</v>
      </c>
      <c r="T49" s="28" t="str">
        <f>IFERROR(__xludf.DUMMYFUNCTION("PROPER(TRIM(
  LET(
    texto1, REGEXREPLACE(G49,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"),"Zeferino Clara Ureña Ramos")</f>
        <v>Zeferino Clara Ureña Ramos</v>
      </c>
      <c r="U49" s="28" t="str">
        <f t="shared" si="4"/>
        <v>00f3b5c0-94a8-46ed-a8a8-4d11bde44da7</v>
      </c>
      <c r="V49" s="30" t="str">
        <f t="shared" si="5"/>
        <v>Laptop Ultraliviana 16GB</v>
      </c>
    </row>
    <row r="50" ht="15.75" customHeight="1">
      <c r="A50" s="6">
        <v>45597.0</v>
      </c>
      <c r="B50" s="2" t="s">
        <v>244</v>
      </c>
      <c r="C50" s="2" t="s">
        <v>245</v>
      </c>
      <c r="D50" s="7">
        <v>434.9</v>
      </c>
      <c r="E50" s="2">
        <v>1.0</v>
      </c>
      <c r="F50" s="7">
        <v>434.9</v>
      </c>
      <c r="G50" s="2" t="s">
        <v>246</v>
      </c>
      <c r="H50" s="2" t="s">
        <v>247</v>
      </c>
      <c r="I50" s="2" t="s">
        <v>248</v>
      </c>
      <c r="K50" s="19" t="str">
        <f>IFERROR(__xludf.DUMMYFUNCTION("IF(ISBLANK(A50),
  """",
  IF(ISNUMBER(A50),
    TEXT(A50,""dd/mm/yyyy""),
    IF(
      REGEXMATCH(TRIM(A50),""^\d{1,2}/\d{1,2}/\d{4}$""),
      TRIM(A50),
      IFERROR(
        TEXT(DATEVALUE(SUBSTITUTE(SUBSTITUTE(TRIM(A50),""-"",""/""),""."",""/"")),"&amp;"""dd/mm/yyyy""),
        TRIM(A50)
      )
    )
  )
)
"),"01/11/2024")</f>
        <v>01/11/2024</v>
      </c>
      <c r="L50" s="20">
        <v>45597.0</v>
      </c>
      <c r="M50" s="21" t="str">
        <f>IFERROR(__xludf.DUMMYFUNCTION("PROPER(TRIM(
  REGEXREPLACE(
    REGEXREPLACE(
      SUBSTITUTE(SUBSTITUTE(SUBSTITUTE(SUBSTITUTE(SUBSTITUTE(SUBSTITUTE(SUBSTITUTE(SUBSTITUTE(SUBSTITUTE(SUBSTITUTE(SUBSTITUTE(
        B50,""√©"",""é""),""√°"",""á""),""√±"",""ñ""),""√≥"",""ó""),""√â"",""é"""&amp;"),""√Å"",""á""),""√ç"",""í""),""√Ç"",""Í""),""√Â"",""é""),""√≠"",""í""),""√º"",""ú""),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50" s="22" t="str">
        <f>IFERROR(__xludf.DUMMYFUNCTION("SPLIT(
  TRIM(
    SUBSTITUTE(
      SUBSTITUTE(
        SUBSTITUTE(
          SUBSTITUTE(
            C50,
            ""√©"", ""é""
          ),
          ""√±"", ""ñ""
        ),
        ""√°"", ""á""
      ),
      ""√≥"", ""ó""
    )
  ),
  ""-""
)
"),"Teléfono")</f>
        <v>Teléfono</v>
      </c>
      <c r="O50" s="22" t="str">
        <f>IFERROR(__xludf.DUMMYFUNCTION("""COMPUTED_VALUE"""),"Gama baja")</f>
        <v>Gama baja</v>
      </c>
      <c r="P50" s="22" t="str">
        <f>IFERROR(__xludf.DUMMYFUNCTION("""COMPUTED_VALUE"""),"32GB")</f>
        <v>32GB</v>
      </c>
      <c r="Q50" s="23">
        <f t="shared" si="1"/>
        <v>434.9</v>
      </c>
      <c r="R50" s="22">
        <f t="shared" si="2"/>
        <v>1</v>
      </c>
      <c r="S50" s="23">
        <f t="shared" si="3"/>
        <v>434.9</v>
      </c>
      <c r="T50" s="22" t="str">
        <f>IFERROR(__xludf.DUMMYFUNCTION("PROPER(TRIM(
  LET(
    texto1, REGEXREPLACE(G50,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"),"Magdalena Morales")</f>
        <v>Magdalena Morales</v>
      </c>
      <c r="U50" s="22" t="str">
        <f t="shared" si="4"/>
        <v>9d83faf6-b95d-4623-85a1-78d8b416dd3f</v>
      </c>
      <c r="V50" s="24" t="str">
        <f t="shared" si="5"/>
        <v>Teléfono Gama baja 32GB</v>
      </c>
    </row>
    <row r="51" ht="15.75" customHeight="1">
      <c r="A51" s="6">
        <v>45596.0</v>
      </c>
      <c r="B51" s="2" t="s">
        <v>161</v>
      </c>
      <c r="C51" s="2" t="s">
        <v>250</v>
      </c>
      <c r="D51" s="7">
        <v>1889.28</v>
      </c>
      <c r="E51" s="2">
        <v>4.0</v>
      </c>
      <c r="F51" s="7">
        <v>7557.12</v>
      </c>
      <c r="G51" s="2" t="s">
        <v>251</v>
      </c>
      <c r="H51" s="2" t="s">
        <v>252</v>
      </c>
      <c r="I51" s="2" t="s">
        <v>253</v>
      </c>
      <c r="K51" s="25" t="str">
        <f>IFERROR(__xludf.DUMMYFUNCTION("IF(ISBLANK(A51),
  """",
  IF(ISNUMBER(A51),
    TEXT(A51,""dd/mm/yyyy""),
    IF(
      REGEXMATCH(TRIM(A51),""^\d{1,2}/\d{1,2}/\d{4}$""),
      TRIM(A51),
      IFERROR(
        TEXT(DATEVALUE(SUBSTITUTE(SUBSTITUTE(TRIM(A51),""-"",""/""),""."",""/"")),"&amp;"""dd/mm/yyyy""),
        TRIM(A51)
      )
    )
  )
)
"),"31/10/2024")</f>
        <v>31/10/2024</v>
      </c>
      <c r="L51" s="26">
        <v>45596.0</v>
      </c>
      <c r="M51" s="27" t="str">
        <f>IFERROR(__xludf.DUMMYFUNCTION("PROPER(TRIM(
  REGEXREPLACE(
    REGEXREPLACE(
      SUBSTITUTE(SUBSTITUTE(SUBSTITUTE(SUBSTITUTE(SUBSTITUTE(SUBSTITUTE(SUBSTITUTE(SUBSTITUTE(SUBSTITUTE(SUBSTITUTE(SUBSTITUTE(
        B51,""√©"",""é""),""√°"",""á""),""√±"",""ñ""),""√≥"",""ó""),""√â"",""é"""&amp;"),""√Å"",""á""),""√ç"",""í""),""√Ç"",""Í""),""√Â"",""é""),""√≠"",""í""),""√º"",""ú""),
      ""[,\\.√]"",""""),
    ""\\s+"","" "")
))
"),"Tulum")</f>
        <v>Tulum</v>
      </c>
      <c r="N51" s="28" t="str">
        <f>IFERROR(__xludf.DUMMYFUNCTION("SPLIT(
  TRIM(
    SUBSTITUTE(
      SUBSTITUTE(
        SUBSTITUTE(
          SUBSTITUTE(
            C51,
            ""√©"", ""é""
          ),
          ""√±"", ""ñ""
        ),
        ""√°"", ""á""
      ),
      ""√≥"", ""ó""
    )
  ),
  ""-""
)
"),"Laptop")</f>
        <v>Laptop</v>
      </c>
      <c r="O51" s="28" t="str">
        <f>IFERROR(__xludf.DUMMYFUNCTION("""COMPUTED_VALUE"""),"Oficina")</f>
        <v>Oficina</v>
      </c>
      <c r="P51" s="28" t="str">
        <f>IFERROR(__xludf.DUMMYFUNCTION("""COMPUTED_VALUE"""),"32GB")</f>
        <v>32GB</v>
      </c>
      <c r="Q51" s="29">
        <f t="shared" si="1"/>
        <v>1889.28</v>
      </c>
      <c r="R51" s="28">
        <f t="shared" si="2"/>
        <v>4</v>
      </c>
      <c r="S51" s="29">
        <f t="shared" si="3"/>
        <v>7557.12</v>
      </c>
      <c r="T51" s="28" t="str">
        <f>IFERROR(__xludf.DUMMYFUNCTION("PROPER(TRIM(
  LET(
    texto1, REGEXREPLACE(G51,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Cristina Raquel Carranza Orosco")</f>
        <v>María Cristina Raquel Carranza Orosco</v>
      </c>
      <c r="U51" s="28" t="str">
        <f t="shared" si="4"/>
        <v>3217ab5c-f143-443a-aece-3a47846a3ff2</v>
      </c>
      <c r="V51" s="30" t="str">
        <f t="shared" si="5"/>
        <v>Laptop Oficina 32GB</v>
      </c>
    </row>
    <row r="52" ht="15.75" customHeight="1">
      <c r="A52" s="6">
        <v>45636.0</v>
      </c>
      <c r="B52" s="2" t="s">
        <v>101</v>
      </c>
      <c r="C52" s="2" t="s">
        <v>250</v>
      </c>
      <c r="D52" s="7">
        <v>1708.81</v>
      </c>
      <c r="E52" s="2">
        <v>1.0</v>
      </c>
      <c r="F52" s="7">
        <v>1708.81</v>
      </c>
      <c r="G52" s="2" t="s">
        <v>254</v>
      </c>
      <c r="H52" s="2" t="s">
        <v>255</v>
      </c>
      <c r="I52" s="2" t="s">
        <v>256</v>
      </c>
      <c r="K52" s="19" t="str">
        <f>IFERROR(__xludf.DUMMYFUNCTION("IF(ISBLANK(A52),
  """",
  IF(ISNUMBER(A52),
    TEXT(A52,""dd/mm/yyyy""),
    IF(
      REGEXMATCH(TRIM(A52),""^\d{1,2}/\d{1,2}/\d{4}$""),
      TRIM(A52),
      IFERROR(
        TEXT(DATEVALUE(SUBSTITUTE(SUBSTITUTE(TRIM(A52),""-"",""/""),""."",""/"")),"&amp;"""dd/mm/yyyy""),
        TRIM(A52)
      )
    )
  )
)
"),"10/12/2024")</f>
        <v>10/12/2024</v>
      </c>
      <c r="L52" s="20">
        <v>45636.0</v>
      </c>
      <c r="M52" s="21" t="str">
        <f>IFERROR(__xludf.DUMMYFUNCTION("PROPER(TRIM(
  REGEXREPLACE(
    REGEXREPLACE(
      SUBSTITUTE(SUBSTITUTE(SUBSTITUTE(SUBSTITUTE(SUBSTITUTE(SUBSTITUTE(SUBSTITUTE(SUBSTITUTE(SUBSTITUTE(SUBSTITUTE(SUBSTITUTE(
        B52,""√©"",""é""),""√°"",""á""),""√±"",""ñ""),""√≥"",""ó""),""√â"",""é"""&amp;"),""√Å"",""á""),""√ç"",""í""),""√Ç"",""Í""),""√Â"",""é""),""√≠"",""í""),""√º"",""ú""),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52" s="22" t="str">
        <f>IFERROR(__xludf.DUMMYFUNCTION("SPLIT(
  TRIM(
    SUBSTITUTE(
      SUBSTITUTE(
        SUBSTITUTE(
          SUBSTITUTE(
            C52,
            ""√©"", ""é""
          ),
          ""√±"", ""ñ""
        ),
        ""√°"", ""á""
      ),
      ""√≥"", ""ó""
    )
  ),
  ""-""
)
"),"Laptop")</f>
        <v>Laptop</v>
      </c>
      <c r="O52" s="22" t="str">
        <f>IFERROR(__xludf.DUMMYFUNCTION("""COMPUTED_VALUE"""),"Oficina")</f>
        <v>Oficina</v>
      </c>
      <c r="P52" s="22" t="str">
        <f>IFERROR(__xludf.DUMMYFUNCTION("""COMPUTED_VALUE"""),"32GB")</f>
        <v>32GB</v>
      </c>
      <c r="Q52" s="23">
        <f t="shared" si="1"/>
        <v>1708.81</v>
      </c>
      <c r="R52" s="22">
        <f t="shared" si="2"/>
        <v>1</v>
      </c>
      <c r="S52" s="23">
        <f t="shared" si="3"/>
        <v>1708.81</v>
      </c>
      <c r="T52" s="22" t="str">
        <f>IFERROR(__xludf.DUMMYFUNCTION("PROPER(TRIM(
  LET(
    texto1, REGEXREPLACE(G52,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"),"Jorge Luis Baca")</f>
        <v>Jorge Luis Baca</v>
      </c>
      <c r="U52" s="22" t="str">
        <f t="shared" si="4"/>
        <v>2f12cb9e-2010-490d-9bfa-31410ba27433</v>
      </c>
      <c r="V52" s="24" t="str">
        <f t="shared" si="5"/>
        <v>Laptop Oficina 32GB</v>
      </c>
    </row>
    <row r="53" ht="15.75" customHeight="1">
      <c r="A53" s="6">
        <v>45587.0</v>
      </c>
      <c r="B53" s="2" t="s">
        <v>50</v>
      </c>
      <c r="C53" s="2" t="s">
        <v>258</v>
      </c>
      <c r="D53" s="7">
        <v>1524.07</v>
      </c>
      <c r="E53" s="2">
        <v>1.0</v>
      </c>
      <c r="F53" s="7">
        <v>1524.07</v>
      </c>
      <c r="G53" s="2" t="s">
        <v>259</v>
      </c>
      <c r="H53" s="2" t="s">
        <v>260</v>
      </c>
      <c r="I53" s="2" t="s">
        <v>261</v>
      </c>
      <c r="K53" s="25" t="str">
        <f>IFERROR(__xludf.DUMMYFUNCTION("IF(ISBLANK(A53),
  """",
  IF(ISNUMBER(A53),
    TEXT(A53,""dd/mm/yyyy""),
    IF(
      REGEXMATCH(TRIM(A53),""^\d{1,2}/\d{1,2}/\d{4}$""),
      TRIM(A53),
      IFERROR(
        TEXT(DATEVALUE(SUBSTITUTE(SUBSTITUTE(TRIM(A53),""-"",""/""),""."",""/"")),"&amp;"""dd/mm/yyyy""),
        TRIM(A53)
      )
    )
  )
)
"),"22/10/2024")</f>
        <v>22/10/2024</v>
      </c>
      <c r="L53" s="26">
        <v>45587.0</v>
      </c>
      <c r="M53" s="27" t="str">
        <f>IFERROR(__xludf.DUMMYFUNCTION("PROPER(TRIM(
  REGEXREPLACE(
    REGEXREPLACE(
      SUBSTITUTE(SUBSTITUTE(SUBSTITUTE(SUBSTITUTE(SUBSTITUTE(SUBSTITUTE(SUBSTITUTE(SUBSTITUTE(SUBSTITUTE(SUBSTITUTE(SUBSTITUTE(
        B53,""√©"",""é""),""√°"",""á""),""√±"",""ñ""),""√≥"",""ó""),""√â"",""é"""&amp;"),""√Å"",""á""),""√ç"",""í""),""√Ç"",""Í""),""√Â"",""é""),""√≠"",""í""),""√º"",""ú""),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53" s="28" t="str">
        <f>IFERROR(__xludf.DUMMYFUNCTION("SPLIT(
  TRIM(
    SUBSTITUTE(
      SUBSTITUTE(
        SUBSTITUTE(
          SUBSTITUTE(
            C53,
            ""√©"", ""é""
          ),
          ""√±"", ""ñ""
        ),
        ""√°"", ""á""
      ),
      ""√≥"", ""ó""
    )
  ),
  ""-""
)
"),"Laptop")</f>
        <v>Laptop</v>
      </c>
      <c r="O53" s="28" t="str">
        <f>IFERROR(__xludf.DUMMYFUNCTION("""COMPUTED_VALUE"""),"Oficina")</f>
        <v>Oficina</v>
      </c>
      <c r="P53" s="28" t="str">
        <f>IFERROR(__xludf.DUMMYFUNCTION("""COMPUTED_VALUE"""),"8GB")</f>
        <v>8GB</v>
      </c>
      <c r="Q53" s="29">
        <f t="shared" si="1"/>
        <v>1524.07</v>
      </c>
      <c r="R53" s="28">
        <f t="shared" si="2"/>
        <v>1</v>
      </c>
      <c r="S53" s="29">
        <f t="shared" si="3"/>
        <v>1524.07</v>
      </c>
      <c r="T53" s="28" t="str">
        <f>IFERROR(__xludf.DUMMYFUNCTION("PROPER(TRIM(
  LET(
    texto1, REGEXREPLACE(G53,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"),"Abelardo Héctor Brito Solorzano")</f>
        <v>Abelardo Héctor Brito Solorzano</v>
      </c>
      <c r="U53" s="28" t="str">
        <f t="shared" si="4"/>
        <v>ac86de05-18a9-4269-876c-d1c20900fd8f</v>
      </c>
      <c r="V53" s="30" t="str">
        <f t="shared" si="5"/>
        <v>Laptop Oficina 8GB</v>
      </c>
    </row>
    <row r="54" ht="15.75" customHeight="1">
      <c r="A54" s="6">
        <v>45654.0</v>
      </c>
      <c r="B54" s="2" t="s">
        <v>101</v>
      </c>
      <c r="C54" s="2" t="s">
        <v>181</v>
      </c>
      <c r="D54" s="7">
        <v>372.92</v>
      </c>
      <c r="E54" s="2">
        <v>3.0</v>
      </c>
      <c r="F54" s="7">
        <v>1118.76</v>
      </c>
      <c r="G54" s="2" t="s">
        <v>262</v>
      </c>
      <c r="H54" s="2" t="s">
        <v>263</v>
      </c>
      <c r="I54" s="2" t="s">
        <v>264</v>
      </c>
      <c r="K54" s="19" t="str">
        <f>IFERROR(__xludf.DUMMYFUNCTION("IF(ISBLANK(A54),
  """",
  IF(ISNUMBER(A54),
    TEXT(A54,""dd/mm/yyyy""),
    IF(
      REGEXMATCH(TRIM(A54),""^\d{1,2}/\d{1,2}/\d{4}$""),
      TRIM(A54),
      IFERROR(
        TEXT(DATEVALUE(SUBSTITUTE(SUBSTITUTE(TRIM(A54),""-"",""/""),""."",""/"")),"&amp;"""dd/mm/yyyy""),
        TRIM(A54)
      )
    )
  )
)
"),"28/12/2024")</f>
        <v>28/12/2024</v>
      </c>
      <c r="L54" s="20">
        <v>45654.0</v>
      </c>
      <c r="M54" s="21" t="str">
        <f>IFERROR(__xludf.DUMMYFUNCTION("PROPER(TRIM(
  REGEXREPLACE(
    REGEXREPLACE(
      SUBSTITUTE(SUBSTITUTE(SUBSTITUTE(SUBSTITUTE(SUBSTITUTE(SUBSTITUTE(SUBSTITUTE(SUBSTITUTE(SUBSTITUTE(SUBSTITUTE(SUBSTITUTE(
        B54,""√©"",""é""),""√°"",""á""),""√±"",""ñ""),""√≥"",""ó""),""√â"",""é"""&amp;"),""√Å"",""á""),""√ç"",""í""),""√Ç"",""Í""),""√Â"",""é""),""√≠"",""í""),""√º"",""ú""),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54" s="22" t="str">
        <f>IFERROR(__xludf.DUMMYFUNCTION("SPLIT(
  TRIM(
    SUBSTITUTE(
      SUBSTITUTE(
        SUBSTITUTE(
          SUBSTITUTE(
            C54,
            ""√©"", ""é""
          ),
          ""√±"", ""ñ""
        ),
        ""√°"", ""á""
      ),
      ""√≥"", ""ó""
    )
  ),
  ""-""
)
"),"Laptop")</f>
        <v>Laptop</v>
      </c>
      <c r="O54" s="22" t="str">
        <f>IFERROR(__xludf.DUMMYFUNCTION("""COMPUTED_VALUE"""),"Ultraliviana")</f>
        <v>Ultraliviana</v>
      </c>
      <c r="P54" s="22" t="str">
        <f>IFERROR(__xludf.DUMMYFUNCTION("""COMPUTED_VALUE"""),"4GB")</f>
        <v>4GB</v>
      </c>
      <c r="Q54" s="23">
        <f t="shared" si="1"/>
        <v>372.92</v>
      </c>
      <c r="R54" s="22">
        <f t="shared" si="2"/>
        <v>3</v>
      </c>
      <c r="S54" s="23">
        <f t="shared" si="3"/>
        <v>1118.76</v>
      </c>
      <c r="T54" s="22" t="str">
        <f>IFERROR(__xludf.DUMMYFUNCTION("PROPER(TRIM(
  LET(
    texto1, REGEXREPLACE(G54,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"),"Pilar Luisa Bonilla Garrido")</f>
        <v>Pilar Luisa Bonilla Garrido</v>
      </c>
      <c r="U54" s="22" t="str">
        <f t="shared" si="4"/>
        <v>403acb42-0f8a-41c6-b42a-d1adc4b62bfb</v>
      </c>
      <c r="V54" s="24" t="str">
        <f t="shared" si="5"/>
        <v>Laptop Ultraliviana 4GB</v>
      </c>
    </row>
    <row r="55" ht="15.75" customHeight="1">
      <c r="A55" s="6">
        <v>45573.0</v>
      </c>
      <c r="B55" s="2" t="s">
        <v>27</v>
      </c>
      <c r="C55" s="2" t="s">
        <v>235</v>
      </c>
      <c r="D55" s="7">
        <v>2168.25</v>
      </c>
      <c r="E55" s="2">
        <v>3.0</v>
      </c>
      <c r="F55" s="7">
        <v>6504.75</v>
      </c>
      <c r="G55" s="2" t="s">
        <v>266</v>
      </c>
      <c r="H55" s="2" t="s">
        <v>267</v>
      </c>
      <c r="I55" s="2" t="s">
        <v>268</v>
      </c>
      <c r="K55" s="25" t="str">
        <f>IFERROR(__xludf.DUMMYFUNCTION("IF(ISBLANK(A55),
  """",
  IF(ISNUMBER(A55),
    TEXT(A55,""dd/mm/yyyy""),
    IF(
      REGEXMATCH(TRIM(A55),""^\d{1,2}/\d{1,2}/\d{4}$""),
      TRIM(A55),
      IFERROR(
        TEXT(DATEVALUE(SUBSTITUTE(SUBSTITUTE(TRIM(A55),""-"",""/""),""."",""/"")),"&amp;"""dd/mm/yyyy""),
        TRIM(A55)
      )
    )
  )
)
"),"08/10/2024")</f>
        <v>08/10/2024</v>
      </c>
      <c r="L55" s="26">
        <v>45573.0</v>
      </c>
      <c r="M55" s="27" t="str">
        <f>IFERROR(__xludf.DUMMYFUNCTION("PROPER(TRIM(
  REGEXREPLACE(
    REGEXREPLACE(
      SUBSTITUTE(SUBSTITUTE(SUBSTITUTE(SUBSTITUTE(SUBSTITUTE(SUBSTITUTE(SUBSTITUTE(SUBSTITUTE(SUBSTITUTE(SUBSTITUTE(SUBSTITUTE(
        B55,""√©"",""é""),""√°"",""á""),""√±"",""ñ""),""√≥"",""ó""),""√â"",""é"""&amp;"),""√Å"",""á""),""√ç"",""í""),""√Ç"",""Í""),""√Â"",""é""),""√≠"",""í""),""√º"",""ú""),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55" s="28" t="str">
        <f>IFERROR(__xludf.DUMMYFUNCTION("SPLIT(
  TRIM(
    SUBSTITUTE(
      SUBSTITUTE(
        SUBSTITUTE(
          SUBSTITUTE(
            C55,
            ""√©"", ""é""
          ),
          ""√±"", ""ñ""
        ),
        ""√°"", ""á""
      ),
      ""√≥"", ""ó""
    )
  ),
  ""-""
)
"),"Tablet")</f>
        <v>Tablet</v>
      </c>
      <c r="O55" s="28" t="str">
        <f>IFERROR(__xludf.DUMMYFUNCTION("""COMPUTED_VALUE"""),"Estándar")</f>
        <v>Estándar</v>
      </c>
      <c r="P55" s="28" t="str">
        <f>IFERROR(__xludf.DUMMYFUNCTION("""COMPUTED_VALUE"""),"4GB")</f>
        <v>4GB</v>
      </c>
      <c r="Q55" s="29">
        <f t="shared" si="1"/>
        <v>2168.25</v>
      </c>
      <c r="R55" s="28">
        <f t="shared" si="2"/>
        <v>3</v>
      </c>
      <c r="S55" s="29">
        <f t="shared" si="3"/>
        <v>6504.75</v>
      </c>
      <c r="T55" s="28" t="str">
        <f>IFERROR(__xludf.DUMMYFUNCTION("PROPER(TRIM(
  LET(
    texto1, REGEXREPLACE(G55,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"),"Fernando Márquez Almaraz")</f>
        <v>Fernando Márquez Almaraz</v>
      </c>
      <c r="U55" s="28" t="str">
        <f t="shared" si="4"/>
        <v>1d366307-d6bd-4e44-b202-bab1ce141dbd</v>
      </c>
      <c r="V55" s="30" t="str">
        <f t="shared" si="5"/>
        <v>Tablet Estándar 4GB</v>
      </c>
    </row>
    <row r="56" ht="15.75" customHeight="1">
      <c r="A56" s="6">
        <v>45580.0</v>
      </c>
      <c r="B56" s="2" t="s">
        <v>101</v>
      </c>
      <c r="C56" s="2" t="s">
        <v>196</v>
      </c>
      <c r="D56" s="7">
        <v>882.55</v>
      </c>
      <c r="E56" s="2">
        <v>5.0</v>
      </c>
      <c r="F56" s="7">
        <v>4412.75</v>
      </c>
      <c r="G56" s="2" t="s">
        <v>269</v>
      </c>
      <c r="H56" s="2" t="s">
        <v>270</v>
      </c>
      <c r="I56" s="2" t="s">
        <v>271</v>
      </c>
      <c r="K56" s="19" t="str">
        <f>IFERROR(__xludf.DUMMYFUNCTION("IF(ISBLANK(A56),
  """",
  IF(ISNUMBER(A56),
    TEXT(A56,""dd/mm/yyyy""),
    IF(
      REGEXMATCH(TRIM(A56),""^\d{1,2}/\d{1,2}/\d{4}$""),
      TRIM(A56),
      IFERROR(
        TEXT(DATEVALUE(SUBSTITUTE(SUBSTITUTE(TRIM(A56),""-"",""/""),""."",""/"")),"&amp;"""dd/mm/yyyy""),
        TRIM(A56)
      )
    )
  )
)
"),"15/10/2024")</f>
        <v>15/10/2024</v>
      </c>
      <c r="L56" s="20">
        <v>45580.0</v>
      </c>
      <c r="M56" s="21" t="str">
        <f>IFERROR(__xludf.DUMMYFUNCTION("PROPER(TRIM(
  REGEXREPLACE(
    REGEXREPLACE(
      SUBSTITUTE(SUBSTITUTE(SUBSTITUTE(SUBSTITUTE(SUBSTITUTE(SUBSTITUTE(SUBSTITUTE(SUBSTITUTE(SUBSTITUTE(SUBSTITUTE(SUBSTITUTE(
        B56,""√©"",""é""),""√°"",""á""),""√±"",""ñ""),""√≥"",""ó""),""√â"",""é"""&amp;"),""√Å"",""á""),""√ç"",""í""),""√Ç"",""Í""),""√Â"",""é""),""√≠"",""í""),""√º"",""ú""),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56" s="22" t="str">
        <f>IFERROR(__xludf.DUMMYFUNCTION("SPLIT(
  TRIM(
    SUBSTITUTE(
      SUBSTITUTE(
        SUBSTITUTE(
          SUBSTITUTE(
            C56,
            ""√©"", ""é""
          ),
          ""√±"", ""ñ""
        ),
        ""√°"", ""á""
      ),
      ""√≥"", ""ó""
    )
  ),
  ""-""
)
"),"Auriculares")</f>
        <v>Auriculares</v>
      </c>
      <c r="O56" s="22" t="str">
        <f>IFERROR(__xludf.DUMMYFUNCTION("""COMPUTED_VALUE"""),"Cancelación de ruido")</f>
        <v>Cancelación de ruido</v>
      </c>
      <c r="P56" s="22" t="str">
        <f>IFERROR(__xludf.DUMMYFUNCTION("""COMPUTED_VALUE"""),"8GB")</f>
        <v>8GB</v>
      </c>
      <c r="Q56" s="23">
        <f t="shared" si="1"/>
        <v>882.55</v>
      </c>
      <c r="R56" s="22">
        <f t="shared" si="2"/>
        <v>5</v>
      </c>
      <c r="S56" s="23">
        <f t="shared" si="3"/>
        <v>4412.75</v>
      </c>
      <c r="T56" s="22" t="str">
        <f>IFERROR(__xludf.DUMMYFUNCTION("PROPER(TRIM(
  LET(
    texto1, REGEXREPLACE(G56,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"),"Verónica Wendolin Terán")</f>
        <v>Verónica Wendolin Terán</v>
      </c>
      <c r="U56" s="22" t="str">
        <f t="shared" si="4"/>
        <v>6a83774a-e4f8-4c9b-ae75-2c985e801156</v>
      </c>
      <c r="V56" s="24" t="str">
        <f t="shared" si="5"/>
        <v>Auriculares Cancelación de ruido 8GB</v>
      </c>
    </row>
    <row r="57" ht="15.75" customHeight="1">
      <c r="A57" s="6">
        <v>45644.0</v>
      </c>
      <c r="B57" s="2" t="s">
        <v>16</v>
      </c>
      <c r="C57" s="2" t="s">
        <v>55</v>
      </c>
      <c r="D57" s="7">
        <v>602.68</v>
      </c>
      <c r="E57" s="2">
        <v>3.0</v>
      </c>
      <c r="F57" s="7">
        <v>1808.04</v>
      </c>
      <c r="G57" s="2" t="s">
        <v>273</v>
      </c>
      <c r="H57" s="2" t="s">
        <v>274</v>
      </c>
      <c r="I57" s="2" t="s">
        <v>275</v>
      </c>
      <c r="K57" s="25" t="str">
        <f>IFERROR(__xludf.DUMMYFUNCTION("IF(ISBLANK(A57),
  """",
  IF(ISNUMBER(A57),
    TEXT(A57,""dd/mm/yyyy""),
    IF(
      REGEXMATCH(TRIM(A57),""^\d{1,2}/\d{1,2}/\d{4}$""),
      TRIM(A57),
      IFERROR(
        TEXT(DATEVALUE(SUBSTITUTE(SUBSTITUTE(TRIM(A57),""-"",""/""),""."",""/"")),"&amp;"""dd/mm/yyyy""),
        TRIM(A57)
      )
    )
  )
)
"),"18/12/2024")</f>
        <v>18/12/2024</v>
      </c>
      <c r="L57" s="26">
        <v>45644.0</v>
      </c>
      <c r="M57" s="27" t="str">
        <f>IFERROR(__xludf.DUMMYFUNCTION("PROPER(TRIM(
  REGEXREPLACE(
    REGEXREPLACE(
      SUBSTITUTE(SUBSTITUTE(SUBSTITUTE(SUBSTITUTE(SUBSTITUTE(SUBSTITUTE(SUBSTITUTE(SUBSTITUTE(SUBSTITUTE(SUBSTITUTE(SUBSTITUTE(
        B57,""√©"",""é""),""√°"",""á""),""√±"",""ñ""),""√≥"",""ó""),""√â"",""é"""&amp;"),""√Å"",""á""),""√ç"",""í""),""√Ç"",""Í""),""√Â"",""é""),""√≠"",""í""),""√º"",""ú""),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57" s="28" t="str">
        <f>IFERROR(__xludf.DUMMYFUNCTION("SPLIT(
  TRIM(
    SUBSTITUTE(
      SUBSTITUTE(
        SUBSTITUTE(
          SUBSTITUTE(
            C57,
            ""√©"", ""é""
          ),
          ""√±"", ""ñ""
        ),
        ""√°"", ""á""
      ),
      ""√≥"", ""ó""
    )
  ),
  ""-""
)
"),"Laptop")</f>
        <v>Laptop</v>
      </c>
      <c r="O57" s="28" t="str">
        <f>IFERROR(__xludf.DUMMYFUNCTION("""COMPUTED_VALUE"""),"Ultraliviana")</f>
        <v>Ultraliviana</v>
      </c>
      <c r="P57" s="28" t="str">
        <f>IFERROR(__xludf.DUMMYFUNCTION("""COMPUTED_VALUE"""),"16GB")</f>
        <v>16GB</v>
      </c>
      <c r="Q57" s="29">
        <f t="shared" si="1"/>
        <v>602.68</v>
      </c>
      <c r="R57" s="28">
        <f t="shared" si="2"/>
        <v>3</v>
      </c>
      <c r="S57" s="29">
        <f t="shared" si="3"/>
        <v>1808.04</v>
      </c>
      <c r="T57" s="28" t="str">
        <f>IFERROR(__xludf.DUMMYFUNCTION("PROPER(TRIM(
  LET(
    texto1, REGEXREPLACE(G57,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"),"Ricardo Coronado")</f>
        <v>Ricardo Coronado</v>
      </c>
      <c r="U57" s="28" t="str">
        <f t="shared" si="4"/>
        <v>84862dcd-d58c-423c-99b1-8b1ee8b38e4e</v>
      </c>
      <c r="V57" s="30" t="str">
        <f t="shared" si="5"/>
        <v>Laptop Ultraliviana 16GB</v>
      </c>
    </row>
    <row r="58" ht="15.75" customHeight="1">
      <c r="A58" s="6">
        <v>45613.0</v>
      </c>
      <c r="B58" s="2" t="s">
        <v>27</v>
      </c>
      <c r="C58" s="2" t="s">
        <v>277</v>
      </c>
      <c r="D58" s="7">
        <v>2405.31</v>
      </c>
      <c r="E58" s="2">
        <v>5.0</v>
      </c>
      <c r="F58" s="32"/>
      <c r="G58" s="2" t="s">
        <v>278</v>
      </c>
      <c r="H58" s="2" t="s">
        <v>279</v>
      </c>
      <c r="I58" s="2" t="s">
        <v>280</v>
      </c>
      <c r="K58" s="19" t="str">
        <f>IFERROR(__xludf.DUMMYFUNCTION("IF(ISBLANK(A58),
  """",
  IF(ISNUMBER(A58),
    TEXT(A58,""dd/mm/yyyy""),
    IF(
      REGEXMATCH(TRIM(A58),""^\d{1,2}/\d{1,2}/\d{4}$""),
      TRIM(A58),
      IFERROR(
        TEXT(DATEVALUE(SUBSTITUTE(SUBSTITUTE(TRIM(A58),""-"",""/""),""."",""/"")),"&amp;"""dd/mm/yyyy""),
        TRIM(A58)
      )
    )
  )
)
"),"17/11/2024")</f>
        <v>17/11/2024</v>
      </c>
      <c r="L58" s="20">
        <v>45613.0</v>
      </c>
      <c r="M58" s="21" t="str">
        <f>IFERROR(__xludf.DUMMYFUNCTION("PROPER(TRIM(
  REGEXREPLACE(
    REGEXREPLACE(
      SUBSTITUTE(SUBSTITUTE(SUBSTITUTE(SUBSTITUTE(SUBSTITUTE(SUBSTITUTE(SUBSTITUTE(SUBSTITUTE(SUBSTITUTE(SUBSTITUTE(SUBSTITUTE(
        B58,""√©"",""é""),""√°"",""á""),""√±"",""ñ""),""√≥"",""ó""),""√â"",""é"""&amp;"),""√Å"",""á""),""√ç"",""í""),""√Ç"",""Í""),""√Â"",""é""),""√≠"",""í""),""√º"",""ú""),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58" s="22" t="str">
        <f>IFERROR(__xludf.DUMMYFUNCTION("SPLIT(
  TRIM(
    SUBSTITUTE(
      SUBSTITUTE(
        SUBSTITUTE(
          SUBSTITUTE(
            C58,
            ""√©"", ""é""
          ),
          ""√±"", ""ñ""
        ),
        ""√°"", ""á""
      ),
      ""√≥"", ""ó""
    )
  ),
  ""-""
)
"),"Teléfono")</f>
        <v>Teléfono</v>
      </c>
      <c r="O58" s="22" t="str">
        <f>IFERROR(__xludf.DUMMYFUNCTION("""COMPUTED_VALUE"""),"Gama alta")</f>
        <v>Gama alta</v>
      </c>
      <c r="P58" s="22" t="str">
        <f>IFERROR(__xludf.DUMMYFUNCTION("""COMPUTED_VALUE"""),"32GB")</f>
        <v>32GB</v>
      </c>
      <c r="Q58" s="23">
        <f t="shared" si="1"/>
        <v>2405.31</v>
      </c>
      <c r="R58" s="22">
        <f t="shared" si="2"/>
        <v>5</v>
      </c>
      <c r="S58" s="23" t="str">
        <f t="shared" si="3"/>
        <v>0</v>
      </c>
      <c r="T58" s="22" t="str">
        <f>IFERROR(__xludf.DUMMYFUNCTION("PROPER(TRIM(
  LET(
    texto1, REGEXREPLACE(G58,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"),"Virginia Aldonza Zamora Longoria")</f>
        <v>Virginia Aldonza Zamora Longoria</v>
      </c>
      <c r="U58" s="22" t="str">
        <f t="shared" si="4"/>
        <v>512f8818-bb8d-466a-9f10-79bd8f52408b</v>
      </c>
      <c r="V58" s="24" t="str">
        <f t="shared" si="5"/>
        <v>Teléfono Gama alta 32GB</v>
      </c>
    </row>
    <row r="59" ht="15.75" customHeight="1">
      <c r="A59" s="6">
        <v>45621.0</v>
      </c>
      <c r="B59" s="2" t="s">
        <v>85</v>
      </c>
      <c r="C59" s="2" t="s">
        <v>65</v>
      </c>
      <c r="D59" s="7">
        <v>564.69</v>
      </c>
      <c r="E59" s="2">
        <v>2.0</v>
      </c>
      <c r="F59" s="7">
        <v>1129.38</v>
      </c>
      <c r="G59" s="2" t="s">
        <v>282</v>
      </c>
      <c r="H59" s="2" t="s">
        <v>283</v>
      </c>
      <c r="I59" s="2" t="s">
        <v>284</v>
      </c>
      <c r="K59" s="25" t="str">
        <f>IFERROR(__xludf.DUMMYFUNCTION("IF(ISBLANK(A59),
  """",
  IF(ISNUMBER(A59),
    TEXT(A59,""dd/mm/yyyy""),
    IF(
      REGEXMATCH(TRIM(A59),""^\d{1,2}/\d{1,2}/\d{4}$""),
      TRIM(A59),
      IFERROR(
        TEXT(DATEVALUE(SUBSTITUTE(SUBSTITUTE(TRIM(A59),""-"",""/""),""."",""/"")),"&amp;"""dd/mm/yyyy""),
        TRIM(A59)
      )
    )
  )
)
"),"25/11/2024")</f>
        <v>25/11/2024</v>
      </c>
      <c r="L59" s="26">
        <v>45621.0</v>
      </c>
      <c r="M59" s="27" t="str">
        <f>IFERROR(__xludf.DUMMYFUNCTION("PROPER(TRIM(
  REGEXREPLACE(
    REGEXREPLACE(
      SUBSTITUTE(SUBSTITUTE(SUBSTITUTE(SUBSTITUTE(SUBSTITUTE(SUBSTITUTE(SUBSTITUTE(SUBSTITUTE(SUBSTITUTE(SUBSTITUTE(SUBSTITUTE(
        B59,""√©"",""é""),""√°"",""á""),""√±"",""ñ""),""√≥"",""ó""),""√â"",""é"""&amp;"),""√Å"",""á""),""√ç"",""í""),""√Ç"",""Í""),""√Â"",""é""),""√≠"",""í""),""√º"",""ú""),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59" s="28" t="str">
        <f>IFERROR(__xludf.DUMMYFUNCTION("SPLIT(
  TRIM(
    SUBSTITUTE(
      SUBSTITUTE(
        SUBSTITUTE(
          SUBSTITUTE(
            C59,
            ""√©"", ""é""
          ),
          ""√±"", ""ñ""
        ),
        ""√°"", ""á""
      ),
      ""√≥"", ""ó""
    )
  ),
  ""-""
)
"),"Auriculares")</f>
        <v>Auriculares</v>
      </c>
      <c r="O59" s="28" t="str">
        <f>IFERROR(__xludf.DUMMYFUNCTION("""COMPUTED_VALUE"""),"Bluetooth")</f>
        <v>Bluetooth</v>
      </c>
      <c r="P59" s="28" t="str">
        <f>IFERROR(__xludf.DUMMYFUNCTION("""COMPUTED_VALUE"""),"16GB")</f>
        <v>16GB</v>
      </c>
      <c r="Q59" s="29">
        <f t="shared" si="1"/>
        <v>564.69</v>
      </c>
      <c r="R59" s="28">
        <f t="shared" si="2"/>
        <v>2</v>
      </c>
      <c r="S59" s="29">
        <f t="shared" si="3"/>
        <v>1129.38</v>
      </c>
      <c r="T59" s="28" t="str">
        <f>IFERROR(__xludf.DUMMYFUNCTION("PROPER(TRIM(
  LET(
    texto1, REGEXREPLACE(G59,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"),"Alonso Paola Rocha")</f>
        <v>Alonso Paola Rocha</v>
      </c>
      <c r="U59" s="28" t="str">
        <f t="shared" si="4"/>
        <v>8588db90-3e5f-471e-8500-c89cbc6d1623</v>
      </c>
      <c r="V59" s="30" t="str">
        <f t="shared" si="5"/>
        <v>Auriculares Bluetooth 16GB</v>
      </c>
    </row>
    <row r="60" ht="15.75" customHeight="1">
      <c r="A60" s="6">
        <v>45646.0</v>
      </c>
      <c r="B60" s="2" t="s">
        <v>38</v>
      </c>
      <c r="C60" s="2" t="s">
        <v>116</v>
      </c>
      <c r="D60" s="7">
        <v>2373.12</v>
      </c>
      <c r="E60" s="2">
        <v>2.0</v>
      </c>
      <c r="F60" s="7">
        <v>4746.24</v>
      </c>
      <c r="G60" s="2" t="s">
        <v>286</v>
      </c>
      <c r="H60" s="2" t="s">
        <v>287</v>
      </c>
      <c r="I60" s="2" t="s">
        <v>288</v>
      </c>
      <c r="K60" s="19" t="str">
        <f>IFERROR(__xludf.DUMMYFUNCTION("IF(ISBLANK(A60),
  """",
  IF(ISNUMBER(A60),
    TEXT(A60,""dd/mm/yyyy""),
    IF(
      REGEXMATCH(TRIM(A60),""^\d{1,2}/\d{1,2}/\d{4}$""),
      TRIM(A60),
      IFERROR(
        TEXT(DATEVALUE(SUBSTITUTE(SUBSTITUTE(TRIM(A60),""-"",""/""),""."",""/"")),"&amp;"""dd/mm/yyyy""),
        TRIM(A60)
      )
    )
  )
)
"),"20/12/2024")</f>
        <v>20/12/2024</v>
      </c>
      <c r="L60" s="20">
        <v>45646.0</v>
      </c>
      <c r="M60" s="21" t="str">
        <f>IFERROR(__xludf.DUMMYFUNCTION("PROPER(TRIM(
  REGEXREPLACE(
    REGEXREPLACE(
      SUBSTITUTE(SUBSTITUTE(SUBSTITUTE(SUBSTITUTE(SUBSTITUTE(SUBSTITUTE(SUBSTITUTE(SUBSTITUTE(SUBSTITUTE(SUBSTITUTE(SUBSTITUTE(
        B60,""√©"",""é""),""√°"",""á""),""√±"",""ñ""),""√≥"",""ó""),""√â"",""é"""&amp;"),""√Å"",""á""),""√ç"",""í""),""√Ç"",""Í""),""√Â"",""é""),""√≠"",""í""),""√º"",""ú""),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60" s="22" t="str">
        <f>IFERROR(__xludf.DUMMYFUNCTION("SPLIT(
  TRIM(
    SUBSTITUTE(
      SUBSTITUTE(
        SUBSTITUTE(
          SUBSTITUTE(
            C60,
            ""√©"", ""é""
          ),
          ""√±"", ""ñ""
        ),
        ""√°"", ""á""
      ),
      ""√≥"", ""ó""
    )
  ),
  ""-""
)
"),"Teléfono")</f>
        <v>Teléfono</v>
      </c>
      <c r="O60" s="22" t="str">
        <f>IFERROR(__xludf.DUMMYFUNCTION("""COMPUTED_VALUE"""),"Gama media")</f>
        <v>Gama media</v>
      </c>
      <c r="P60" s="22" t="str">
        <f>IFERROR(__xludf.DUMMYFUNCTION("""COMPUTED_VALUE"""),"4GB")</f>
        <v>4GB</v>
      </c>
      <c r="Q60" s="23">
        <f t="shared" si="1"/>
        <v>2373.12</v>
      </c>
      <c r="R60" s="22">
        <f t="shared" si="2"/>
        <v>2</v>
      </c>
      <c r="S60" s="23">
        <f t="shared" si="3"/>
        <v>4746.24</v>
      </c>
      <c r="T60" s="22" t="str">
        <f>IFERROR(__xludf.DUMMYFUNCTION("PROPER(TRIM(
  LET(
    texto1, REGEXREPLACE(G60,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"),"Aida Marrero")</f>
        <v>Aida Marrero</v>
      </c>
      <c r="U60" s="22" t="str">
        <f t="shared" si="4"/>
        <v>84603ef1-6930-4a3e-b3f4-2e56b1a84398</v>
      </c>
      <c r="V60" s="24" t="str">
        <f t="shared" si="5"/>
        <v>Teléfono Gama media 4GB</v>
      </c>
    </row>
    <row r="61" ht="15.75" customHeight="1">
      <c r="A61" s="6">
        <v>45575.0</v>
      </c>
      <c r="B61" s="2" t="s">
        <v>290</v>
      </c>
      <c r="C61" s="2" t="s">
        <v>147</v>
      </c>
      <c r="D61" s="7">
        <v>278.37</v>
      </c>
      <c r="E61" s="2">
        <v>3.0</v>
      </c>
      <c r="F61" s="7">
        <v>835.11</v>
      </c>
      <c r="G61" s="2" t="s">
        <v>291</v>
      </c>
      <c r="H61" s="2" t="s">
        <v>292</v>
      </c>
      <c r="I61" s="2" t="s">
        <v>293</v>
      </c>
      <c r="K61" s="25" t="str">
        <f>IFERROR(__xludf.DUMMYFUNCTION("IF(ISBLANK(A61),
  """",
  IF(ISNUMBER(A61),
    TEXT(A61,""dd/mm/yyyy""),
    IF(
      REGEXMATCH(TRIM(A61),""^\d{1,2}/\d{1,2}/\d{4}$""),
      TRIM(A61),
      IFERROR(
        TEXT(DATEVALUE(SUBSTITUTE(SUBSTITUTE(TRIM(A61),""-"",""/""),""."",""/"")),"&amp;"""dd/mm/yyyy""),
        TRIM(A61)
      )
    )
  )
)
"),"10/10/2024")</f>
        <v>10/10/2024</v>
      </c>
      <c r="L61" s="26">
        <v>45575.0</v>
      </c>
      <c r="M61" s="27" t="str">
        <f>IFERROR(__xludf.DUMMYFUNCTION("PROPER(TRIM(
  REGEXREPLACE(
    REGEXREPLACE(
      SUBSTITUTE(SUBSTITUTE(SUBSTITUTE(SUBSTITUTE(SUBSTITUTE(SUBSTITUTE(SUBSTITUTE(SUBSTITUTE(SUBSTITUTE(SUBSTITUTE(SUBSTITUTE(
        B61,""√©"",""é""),""√°"",""á""),""√±"",""ñ""),""√≥"",""ó""),""√â"",""é"""&amp;"),""√Å"",""á""),""√ç"",""í""),""√Ç"",""Í""),""√Â"",""é""),""√≠"",""í""),""√º"",""ú""),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61" s="28" t="str">
        <f>IFERROR(__xludf.DUMMYFUNCTION("SPLIT(
  TRIM(
    SUBSTITUTE(
      SUBSTITUTE(
        SUBSTITUTE(
          SUBSTITUTE(
            C61,
            ""√©"", ""é""
          ),
          ""√±"", ""ñ""
        ),
        ""√°"", ""á""
      ),
      ""√≥"", ""ó""
    )
  ),
  ""-""
)
"),"Laptop")</f>
        <v>Laptop</v>
      </c>
      <c r="O61" s="28" t="str">
        <f>IFERROR(__xludf.DUMMYFUNCTION("""COMPUTED_VALUE"""),"Oficina")</f>
        <v>Oficina</v>
      </c>
      <c r="P61" s="28" t="str">
        <f>IFERROR(__xludf.DUMMYFUNCTION("""COMPUTED_VALUE"""),"16GB")</f>
        <v>16GB</v>
      </c>
      <c r="Q61" s="29">
        <f t="shared" si="1"/>
        <v>278.37</v>
      </c>
      <c r="R61" s="28">
        <f t="shared" si="2"/>
        <v>3</v>
      </c>
      <c r="S61" s="29">
        <f t="shared" si="3"/>
        <v>835.11</v>
      </c>
      <c r="T61" s="28" t="str">
        <f>IFERROR(__xludf.DUMMYFUNCTION("PROPER(TRIM(
  LET(
    texto1, REGEXREPLACE(G61,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"),"César Verduzco")</f>
        <v>César Verduzco</v>
      </c>
      <c r="U61" s="28" t="str">
        <f t="shared" si="4"/>
        <v>af1640cb-8d21-4be4-a497-cf19ebe3fa3e</v>
      </c>
      <c r="V61" s="30" t="str">
        <f t="shared" si="5"/>
        <v>Laptop Oficina 16GB</v>
      </c>
    </row>
    <row r="62" ht="15.75" customHeight="1">
      <c r="A62" s="6">
        <v>45633.0</v>
      </c>
      <c r="B62" s="2" t="s">
        <v>101</v>
      </c>
      <c r="C62" s="2" t="s">
        <v>201</v>
      </c>
      <c r="D62" s="7">
        <v>1636.89</v>
      </c>
      <c r="E62" s="2">
        <v>2.0</v>
      </c>
      <c r="F62" s="7">
        <v>3273.78</v>
      </c>
      <c r="G62" s="2" t="s">
        <v>295</v>
      </c>
      <c r="H62" s="2" t="s">
        <v>296</v>
      </c>
      <c r="I62" s="2" t="s">
        <v>297</v>
      </c>
      <c r="K62" s="19" t="str">
        <f>IFERROR(__xludf.DUMMYFUNCTION("IF(ISBLANK(A62),
  """",
  IF(ISNUMBER(A62),
    TEXT(A62,""dd/mm/yyyy""),
    IF(
      REGEXMATCH(TRIM(A62),""^\d{1,2}/\d{1,2}/\d{4}$""),
      TRIM(A62),
      IFERROR(
        TEXT(DATEVALUE(SUBSTITUTE(SUBSTITUTE(TRIM(A62),""-"",""/""),""."",""/"")),"&amp;"""dd/mm/yyyy""),
        TRIM(A62)
      )
    )
  )
)
"),"07/12/2024")</f>
        <v>07/12/2024</v>
      </c>
      <c r="L62" s="20">
        <v>45633.0</v>
      </c>
      <c r="M62" s="21" t="str">
        <f>IFERROR(__xludf.DUMMYFUNCTION("PROPER(TRIM(
  REGEXREPLACE(
    REGEXREPLACE(
      SUBSTITUTE(SUBSTITUTE(SUBSTITUTE(SUBSTITUTE(SUBSTITUTE(SUBSTITUTE(SUBSTITUTE(SUBSTITUTE(SUBSTITUTE(SUBSTITUTE(SUBSTITUTE(
        B62,""√©"",""é""),""√°"",""á""),""√±"",""ñ""),""√≥"",""ó""),""√â"",""é"""&amp;"),""√Å"",""á""),""√ç"",""í""),""√Ç"",""Í""),""√Â"",""é""),""√≠"",""í""),""√º"",""ú""),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62" s="22" t="str">
        <f>IFERROR(__xludf.DUMMYFUNCTION("SPLIT(
  TRIM(
    SUBSTITUTE(
      SUBSTITUTE(
        SUBSTITUTE(
          SUBSTITUTE(
            C62,
            ""√©"", ""é""
          ),
          ""√±"", ""ñ""
        ),
        ""√°"", ""á""
      ),
      ""√≥"", ""ó""
    )
  ),
  ""-""
)
"),"Laptop")</f>
        <v>Laptop</v>
      </c>
      <c r="O62" s="22" t="str">
        <f>IFERROR(__xludf.DUMMYFUNCTION("""COMPUTED_VALUE"""),"Gaming")</f>
        <v>Gaming</v>
      </c>
      <c r="P62" s="22" t="str">
        <f>IFERROR(__xludf.DUMMYFUNCTION("""COMPUTED_VALUE"""),"4GB")</f>
        <v>4GB</v>
      </c>
      <c r="Q62" s="23">
        <f t="shared" si="1"/>
        <v>1636.89</v>
      </c>
      <c r="R62" s="22">
        <f t="shared" si="2"/>
        <v>2</v>
      </c>
      <c r="S62" s="23">
        <f t="shared" si="3"/>
        <v>3273.78</v>
      </c>
      <c r="T62" s="22" t="str">
        <f>IFERROR(__xludf.DUMMYFUNCTION("PROPER(TRIM(
  LET(
    texto1, REGEXREPLACE(G62,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"),"Rodrigo Yeni Avilés")</f>
        <v>Rodrigo Yeni Avilés</v>
      </c>
      <c r="U62" s="22" t="str">
        <f t="shared" si="4"/>
        <v>fa21bde8-c128-4e66-83c3-a35891b527e7</v>
      </c>
      <c r="V62" s="24" t="str">
        <f t="shared" si="5"/>
        <v>Laptop Gaming 4GB</v>
      </c>
    </row>
    <row r="63" ht="15.75" customHeight="1">
      <c r="A63" s="6">
        <v>45609.0</v>
      </c>
      <c r="B63" s="2" t="s">
        <v>16</v>
      </c>
      <c r="C63" s="2" t="s">
        <v>206</v>
      </c>
      <c r="D63" s="32"/>
      <c r="E63" s="2">
        <v>1.0</v>
      </c>
      <c r="F63" s="7">
        <v>1787.41</v>
      </c>
      <c r="G63" s="2" t="s">
        <v>299</v>
      </c>
      <c r="H63" s="2" t="s">
        <v>300</v>
      </c>
      <c r="I63" s="2" t="s">
        <v>301</v>
      </c>
      <c r="K63" s="25" t="str">
        <f>IFERROR(__xludf.DUMMYFUNCTION("IF(ISBLANK(A63),
  """",
  IF(ISNUMBER(A63),
    TEXT(A63,""dd/mm/yyyy""),
    IF(
      REGEXMATCH(TRIM(A63),""^\d{1,2}/\d{1,2}/\d{4}$""),
      TRIM(A63),
      IFERROR(
        TEXT(DATEVALUE(SUBSTITUTE(SUBSTITUTE(TRIM(A63),""-"",""/""),""."",""/"")),"&amp;"""dd/mm/yyyy""),
        TRIM(A63)
      )
    )
  )
)
"),"13/11/2024")</f>
        <v>13/11/2024</v>
      </c>
      <c r="L63" s="26">
        <v>45609.0</v>
      </c>
      <c r="M63" s="27" t="str">
        <f>IFERROR(__xludf.DUMMYFUNCTION("PROPER(TRIM(
  REGEXREPLACE(
    REGEXREPLACE(
      SUBSTITUTE(SUBSTITUTE(SUBSTITUTE(SUBSTITUTE(SUBSTITUTE(SUBSTITUTE(SUBSTITUTE(SUBSTITUTE(SUBSTITUTE(SUBSTITUTE(SUBSTITUTE(
        B63,""√©"",""é""),""√°"",""á""),""√±"",""ñ""),""√≥"",""ó""),""√â"",""é"""&amp;"),""√Å"",""á""),""√ç"",""í""),""√Ç"",""Í""),""√Â"",""é""),""√≠"",""í""),""√º"",""ú""),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63" s="28" t="str">
        <f>IFERROR(__xludf.DUMMYFUNCTION("SPLIT(
  TRIM(
    SUBSTITUTE(
      SUBSTITUTE(
        SUBSTITUTE(
          SUBSTITUTE(
            C63,
            ""√©"", ""é""
          ),
          ""√±"", ""ñ""
        ),
        ""√°"", ""á""
      ),
      ""√≥"", ""ó""
    )
  ),
  ""-""
)
"),"Auriculares")</f>
        <v>Auriculares</v>
      </c>
      <c r="O63" s="28" t="str">
        <f>IFERROR(__xludf.DUMMYFUNCTION("""COMPUTED_VALUE"""),"Bluetooth")</f>
        <v>Bluetooth</v>
      </c>
      <c r="P63" s="28" t="str">
        <f>IFERROR(__xludf.DUMMYFUNCTION("""COMPUTED_VALUE"""),"4GB")</f>
        <v>4GB</v>
      </c>
      <c r="Q63" s="34" t="str">
        <f t="shared" si="1"/>
        <v>0</v>
      </c>
      <c r="R63" s="28">
        <f t="shared" si="2"/>
        <v>1</v>
      </c>
      <c r="S63" s="29">
        <f t="shared" si="3"/>
        <v>1787.41</v>
      </c>
      <c r="T63" s="28" t="str">
        <f>IFERROR(__xludf.DUMMYFUNCTION("PROPER(TRIM(
  LET(
    texto1, REGEXREPLACE(G63,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"),"Cynthia Aguilera Figueroa")</f>
        <v>Cynthia Aguilera Figueroa</v>
      </c>
      <c r="U63" s="28" t="str">
        <f t="shared" si="4"/>
        <v>6a533065-10e9-417f-90b8-cc321916284c</v>
      </c>
      <c r="V63" s="30" t="str">
        <f t="shared" si="5"/>
        <v>Auriculares Bluetooth 4GB</v>
      </c>
    </row>
    <row r="64" ht="15.75" customHeight="1">
      <c r="A64" s="6">
        <v>45628.0</v>
      </c>
      <c r="B64" s="2" t="s">
        <v>60</v>
      </c>
      <c r="C64" s="2" t="s">
        <v>226</v>
      </c>
      <c r="D64" s="7">
        <v>218.94</v>
      </c>
      <c r="E64" s="2">
        <v>3.0</v>
      </c>
      <c r="F64" s="7">
        <v>656.82</v>
      </c>
      <c r="G64" s="2" t="s">
        <v>303</v>
      </c>
      <c r="H64" s="2" t="s">
        <v>304</v>
      </c>
      <c r="I64" s="2" t="s">
        <v>305</v>
      </c>
      <c r="K64" s="19" t="str">
        <f>IFERROR(__xludf.DUMMYFUNCTION("IF(ISBLANK(A64),
  """",
  IF(ISNUMBER(A64),
    TEXT(A64,""dd/mm/yyyy""),
    IF(
      REGEXMATCH(TRIM(A64),""^\d{1,2}/\d{1,2}/\d{4}$""),
      TRIM(A64),
      IFERROR(
        TEXT(DATEVALUE(SUBSTITUTE(SUBSTITUTE(TRIM(A64),""-"",""/""),""."",""/"")),"&amp;"""dd/mm/yyyy""),
        TRIM(A64)
      )
    )
  )
)
"),"02/12/2024")</f>
        <v>02/12/2024</v>
      </c>
      <c r="L64" s="20">
        <v>45628.0</v>
      </c>
      <c r="M64" s="21" t="str">
        <f>IFERROR(__xludf.DUMMYFUNCTION("PROPER(TRIM(
  REGEXREPLACE(
    REGEXREPLACE(
      SUBSTITUTE(SUBSTITUTE(SUBSTITUTE(SUBSTITUTE(SUBSTITUTE(SUBSTITUTE(SUBSTITUTE(SUBSTITUTE(SUBSTITUTE(SUBSTITUTE(SUBSTITUTE(
        B64,""√©"",""é""),""√°"",""á""),""√±"",""ñ""),""√≥"",""ó""),""√â"",""é"""&amp;"),""√Å"",""á""),""√ç"",""í""),""√Ç"",""Í""),""√Â"",""é""),""√≠"",""í""),""√º"",""ú""),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64" s="22" t="str">
        <f>IFERROR(__xludf.DUMMYFUNCTION("SPLIT(
  TRIM(
    SUBSTITUTE(
      SUBSTITUTE(
        SUBSTITUTE(
          SUBSTITUTE(
            C64,
            ""√©"", ""é""
          ),
          ""√±"", ""ñ""
        ),
        ""√°"", ""á""
      ),
      ""√≥"", ""ó""
    )
  ),
  ""-""
)
"),"Tablet")</f>
        <v>Tablet</v>
      </c>
      <c r="O64" s="22" t="str">
        <f>IFERROR(__xludf.DUMMYFUNCTION("""COMPUTED_VALUE"""),"Mini")</f>
        <v>Mini</v>
      </c>
      <c r="P64" s="22" t="str">
        <f>IFERROR(__xludf.DUMMYFUNCTION("""COMPUTED_VALUE"""),"16GB")</f>
        <v>16GB</v>
      </c>
      <c r="Q64" s="23">
        <f t="shared" si="1"/>
        <v>218.94</v>
      </c>
      <c r="R64" s="22">
        <f t="shared" si="2"/>
        <v>3</v>
      </c>
      <c r="S64" s="23">
        <f t="shared" si="3"/>
        <v>656.82</v>
      </c>
      <c r="T64" s="22" t="str">
        <f>IFERROR(__xludf.DUMMYFUNCTION("PROPER(TRIM(
  LET(
    texto1, REGEXREPLACE(G64,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"),"Omar Casares Benavídez")</f>
        <v>Omar Casares Benavídez</v>
      </c>
      <c r="U64" s="22" t="str">
        <f t="shared" si="4"/>
        <v>be2593fe-882a-47b4-84fb-96d56973714b</v>
      </c>
      <c r="V64" s="24" t="str">
        <f t="shared" si="5"/>
        <v>Tablet Mini 16GB</v>
      </c>
    </row>
    <row r="65" ht="15.75" customHeight="1">
      <c r="A65" s="6">
        <v>45615.0</v>
      </c>
      <c r="B65" s="2" t="s">
        <v>101</v>
      </c>
      <c r="C65" s="2" t="s">
        <v>181</v>
      </c>
      <c r="D65" s="7">
        <v>1077.1</v>
      </c>
      <c r="E65" s="2">
        <v>5.0</v>
      </c>
      <c r="F65" s="7">
        <v>5385.5</v>
      </c>
      <c r="G65" s="2" t="s">
        <v>307</v>
      </c>
      <c r="H65" s="2" t="s">
        <v>308</v>
      </c>
      <c r="I65" s="2" t="s">
        <v>309</v>
      </c>
      <c r="K65" s="25" t="str">
        <f>IFERROR(__xludf.DUMMYFUNCTION("IF(ISBLANK(A65),
  """",
  IF(ISNUMBER(A65),
    TEXT(A65,""dd/mm/yyyy""),
    IF(
      REGEXMATCH(TRIM(A65),""^\d{1,2}/\d{1,2}/\d{4}$""),
      TRIM(A65),
      IFERROR(
        TEXT(DATEVALUE(SUBSTITUTE(SUBSTITUTE(TRIM(A65),""-"",""/""),""."",""/"")),"&amp;"""dd/mm/yyyy""),
        TRIM(A65)
      )
    )
  )
)
"),"19/11/2024")</f>
        <v>19/11/2024</v>
      </c>
      <c r="L65" s="26">
        <v>45615.0</v>
      </c>
      <c r="M65" s="27" t="str">
        <f>IFERROR(__xludf.DUMMYFUNCTION("PROPER(TRIM(
  REGEXREPLACE(
    REGEXREPLACE(
      SUBSTITUTE(SUBSTITUTE(SUBSTITUTE(SUBSTITUTE(SUBSTITUTE(SUBSTITUTE(SUBSTITUTE(SUBSTITUTE(SUBSTITUTE(SUBSTITUTE(SUBSTITUTE(
        B65,""√©"",""é""),""√°"",""á""),""√±"",""ñ""),""√≥"",""ó""),""√â"",""é"""&amp;"),""√Å"",""á""),""√ç"",""í""),""√Ç"",""Í""),""√Â"",""é""),""√≠"",""í""),""√º"",""ú""),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65" s="28" t="str">
        <f>IFERROR(__xludf.DUMMYFUNCTION("SPLIT(
  TRIM(
    SUBSTITUTE(
      SUBSTITUTE(
        SUBSTITUTE(
          SUBSTITUTE(
            C65,
            ""√©"", ""é""
          ),
          ""√±"", ""ñ""
        ),
        ""√°"", ""á""
      ),
      ""√≥"", ""ó""
    )
  ),
  ""-""
)
"),"Laptop")</f>
        <v>Laptop</v>
      </c>
      <c r="O65" s="28" t="str">
        <f>IFERROR(__xludf.DUMMYFUNCTION("""COMPUTED_VALUE"""),"Ultraliviana")</f>
        <v>Ultraliviana</v>
      </c>
      <c r="P65" s="28" t="str">
        <f>IFERROR(__xludf.DUMMYFUNCTION("""COMPUTED_VALUE"""),"4GB")</f>
        <v>4GB</v>
      </c>
      <c r="Q65" s="29">
        <f t="shared" si="1"/>
        <v>1077.1</v>
      </c>
      <c r="R65" s="28">
        <f t="shared" si="2"/>
        <v>5</v>
      </c>
      <c r="S65" s="29">
        <f t="shared" si="3"/>
        <v>5385.5</v>
      </c>
      <c r="T65" s="28" t="str">
        <f>IFERROR(__xludf.DUMMYFUNCTION("PROPER(TRIM(
  LET(
    texto1, REGEXREPLACE(G65,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"),"Mario Cortés")</f>
        <v>Mario Cortés</v>
      </c>
      <c r="U65" s="28" t="str">
        <f t="shared" si="4"/>
        <v>9b5f5828-58aa-4107-b467-e223f64cae41</v>
      </c>
      <c r="V65" s="30" t="str">
        <f t="shared" si="5"/>
        <v>Laptop Ultraliviana 4GB</v>
      </c>
    </row>
    <row r="66" ht="15.75" customHeight="1">
      <c r="A66" s="6" t="s">
        <v>310</v>
      </c>
      <c r="B66" s="2" t="s">
        <v>50</v>
      </c>
      <c r="C66" s="2" t="s">
        <v>311</v>
      </c>
      <c r="D66" s="7">
        <v>2297.78</v>
      </c>
      <c r="E66" s="2">
        <v>4.0</v>
      </c>
      <c r="F66" s="7">
        <v>9191.12</v>
      </c>
      <c r="G66" s="2" t="s">
        <v>312</v>
      </c>
      <c r="H66" s="2" t="s">
        <v>313</v>
      </c>
      <c r="I66" s="2" t="s">
        <v>314</v>
      </c>
      <c r="K66" s="19" t="str">
        <f>IFERROR(__xludf.DUMMYFUNCTION("IF(ISBLANK(A66),
  """",
  IF(ISNUMBER(A66),
    TEXT(A66,""dd/mm/yyyy""),
    IF(
      REGEXMATCH(TRIM(A66),""^\d{1,2}/\d{1,2}/\d{4}$""),
      TRIM(A66),
      IFERROR(
        TEXT(DATEVALUE(SUBSTITUTE(SUBSTITUTE(TRIM(A66),""-"",""/""),""."",""/"")),"&amp;"""dd/mm/yyyy""),
        TRIM(A66)
      )
    )
  )
)
"),"21/11/2024")</f>
        <v>21/11/2024</v>
      </c>
      <c r="L66" s="20">
        <v>45617.0</v>
      </c>
      <c r="M66" s="21" t="str">
        <f>IFERROR(__xludf.DUMMYFUNCTION("PROPER(TRIM(
  REGEXREPLACE(
    REGEXREPLACE(
      SUBSTITUTE(SUBSTITUTE(SUBSTITUTE(SUBSTITUTE(SUBSTITUTE(SUBSTITUTE(SUBSTITUTE(SUBSTITUTE(SUBSTITUTE(SUBSTITUTE(SUBSTITUTE(
        B66,""√©"",""é""),""√°"",""á""),""√±"",""ñ""),""√≥"",""ó""),""√â"",""é"""&amp;"),""√Å"",""á""),""√ç"",""í""),""√Ç"",""Í""),""√Â"",""é""),""√≠"",""í""),""√º"",""ú""),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66" s="22" t="str">
        <f>IFERROR(__xludf.DUMMYFUNCTION("SPLIT(
  TRIM(
    SUBSTITUTE(
      SUBSTITUTE(
        SUBSTITUTE(
          SUBSTITUTE(
            C66,
            ""√©"", ""é""
          ),
          ""√±"", ""ñ""
        ),
        ""√°"", ""á""
      ),
      ""√≥"", ""ó""
    )
  ),
  ""-""
)
"),"Laptop")</f>
        <v>Laptop</v>
      </c>
      <c r="O66" s="22" t="str">
        <f>IFERROR(__xludf.DUMMYFUNCTION("""COMPUTED_VALUE"""),"Oficina")</f>
        <v>Oficina</v>
      </c>
      <c r="P66" s="22" t="str">
        <f>IFERROR(__xludf.DUMMYFUNCTION("""COMPUTED_VALUE"""),"4GB")</f>
        <v>4GB</v>
      </c>
      <c r="Q66" s="23">
        <f t="shared" si="1"/>
        <v>2297.78</v>
      </c>
      <c r="R66" s="22">
        <f t="shared" si="2"/>
        <v>4</v>
      </c>
      <c r="S66" s="23">
        <f t="shared" si="3"/>
        <v>9191.12</v>
      </c>
      <c r="T66" s="22" t="str">
        <f>IFERROR(__xludf.DUMMYFUNCTION("PROPER(TRIM(
  LET(
    texto1, REGEXREPLACE(G66,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"),"Delia Rosario")</f>
        <v>Delia Rosario</v>
      </c>
      <c r="U66" s="22" t="str">
        <f t="shared" si="4"/>
        <v>a23fb156-d7f0-48b3-8429-51722fc91010</v>
      </c>
      <c r="V66" s="24" t="str">
        <f t="shared" si="5"/>
        <v>Laptop Oficina 4GB</v>
      </c>
    </row>
    <row r="67" ht="15.75" customHeight="1">
      <c r="A67" s="6">
        <v>45603.0</v>
      </c>
      <c r="B67" s="2" t="s">
        <v>50</v>
      </c>
      <c r="C67" s="2" t="s">
        <v>235</v>
      </c>
      <c r="D67" s="7">
        <v>127.95</v>
      </c>
      <c r="E67" s="2">
        <v>4.0</v>
      </c>
      <c r="F67" s="7">
        <v>511.8</v>
      </c>
      <c r="G67" s="2" t="s">
        <v>316</v>
      </c>
      <c r="H67" s="2" t="s">
        <v>317</v>
      </c>
      <c r="I67" s="2" t="s">
        <v>318</v>
      </c>
      <c r="K67" s="25" t="str">
        <f>IFERROR(__xludf.DUMMYFUNCTION("IF(ISBLANK(A67),
  """",
  IF(ISNUMBER(A67),
    TEXT(A67,""dd/mm/yyyy""),
    IF(
      REGEXMATCH(TRIM(A67),""^\d{1,2}/\d{1,2}/\d{4}$""),
      TRIM(A67),
      IFERROR(
        TEXT(DATEVALUE(SUBSTITUTE(SUBSTITUTE(TRIM(A67),""-"",""/""),""."",""/"")),"&amp;"""dd/mm/yyyy""),
        TRIM(A67)
      )
    )
  )
)
"),"07/11/2024")</f>
        <v>07/11/2024</v>
      </c>
      <c r="L67" s="26">
        <v>45603.0</v>
      </c>
      <c r="M67" s="27" t="str">
        <f>IFERROR(__xludf.DUMMYFUNCTION("PROPER(TRIM(
  REGEXREPLACE(
    REGEXREPLACE(
      SUBSTITUTE(SUBSTITUTE(SUBSTITUTE(SUBSTITUTE(SUBSTITUTE(SUBSTITUTE(SUBSTITUTE(SUBSTITUTE(SUBSTITUTE(SUBSTITUTE(SUBSTITUTE(
        B67,""√©"",""é""),""√°"",""á""),""√±"",""ñ""),""√≥"",""ó""),""√â"",""é"""&amp;"),""√Å"",""á""),""√ç"",""í""),""√Ç"",""Í""),""√Â"",""é""),""√≠"",""í""),""√º"",""ú""),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67" s="28" t="str">
        <f>IFERROR(__xludf.DUMMYFUNCTION("SPLIT(
  TRIM(
    SUBSTITUTE(
      SUBSTITUTE(
        SUBSTITUTE(
          SUBSTITUTE(
            C67,
            ""√©"", ""é""
          ),
          ""√±"", ""ñ""
        ),
        ""√°"", ""á""
      ),
      ""√≥"", ""ó""
    )
  ),
  ""-""
)
"),"Tablet")</f>
        <v>Tablet</v>
      </c>
      <c r="O67" s="28" t="str">
        <f>IFERROR(__xludf.DUMMYFUNCTION("""COMPUTED_VALUE"""),"Estándar")</f>
        <v>Estándar</v>
      </c>
      <c r="P67" s="28" t="str">
        <f>IFERROR(__xludf.DUMMYFUNCTION("""COMPUTED_VALUE"""),"4GB")</f>
        <v>4GB</v>
      </c>
      <c r="Q67" s="29">
        <f t="shared" si="1"/>
        <v>127.95</v>
      </c>
      <c r="R67" s="28">
        <f t="shared" si="2"/>
        <v>4</v>
      </c>
      <c r="S67" s="29">
        <f t="shared" si="3"/>
        <v>511.8</v>
      </c>
      <c r="T67" s="28" t="str">
        <f>IFERROR(__xludf.DUMMYFUNCTION("PROPER(TRIM(
  LET(
    texto1, REGEXREPLACE(G67,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"),"Citlali Jorge Gastélum")</f>
        <v>Citlali Jorge Gastélum</v>
      </c>
      <c r="U67" s="28" t="str">
        <f t="shared" si="4"/>
        <v>b7d845eb-4a64-4099-a793-3f93363ea49e</v>
      </c>
      <c r="V67" s="30" t="str">
        <f t="shared" si="5"/>
        <v>Tablet Estándar 4GB</v>
      </c>
    </row>
    <row r="68" ht="15.75" customHeight="1">
      <c r="A68" s="6">
        <v>45657.0</v>
      </c>
      <c r="B68" s="2" t="s">
        <v>38</v>
      </c>
      <c r="C68" s="2" t="s">
        <v>33</v>
      </c>
      <c r="D68" s="7">
        <v>1545.28</v>
      </c>
      <c r="E68" s="2">
        <v>2.0</v>
      </c>
      <c r="F68" s="7">
        <v>3090.56</v>
      </c>
      <c r="G68" s="2" t="s">
        <v>320</v>
      </c>
      <c r="H68" s="2" t="s">
        <v>321</v>
      </c>
      <c r="I68" s="2" t="s">
        <v>322</v>
      </c>
      <c r="K68" s="19" t="str">
        <f>IFERROR(__xludf.DUMMYFUNCTION("IF(ISBLANK(A68),
  """",
  IF(ISNUMBER(A68),
    TEXT(A68,""dd/mm/yyyy""),
    IF(
      REGEXMATCH(TRIM(A68),""^\d{1,2}/\d{1,2}/\d{4}$""),
      TRIM(A68),
      IFERROR(
        TEXT(DATEVALUE(SUBSTITUTE(SUBSTITUTE(TRIM(A68),""-"",""/""),""."",""/"")),"&amp;"""dd/mm/yyyy""),
        TRIM(A68)
      )
    )
  )
)
"),"31/12/2024")</f>
        <v>31/12/2024</v>
      </c>
      <c r="L68" s="20">
        <v>45657.0</v>
      </c>
      <c r="M68" s="21" t="str">
        <f>IFERROR(__xludf.DUMMYFUNCTION("PROPER(TRIM(
  REGEXREPLACE(
    REGEXREPLACE(
      SUBSTITUTE(SUBSTITUTE(SUBSTITUTE(SUBSTITUTE(SUBSTITUTE(SUBSTITUTE(SUBSTITUTE(SUBSTITUTE(SUBSTITUTE(SUBSTITUTE(SUBSTITUTE(
        B68,""√©"",""é""),""√°"",""á""),""√±"",""ñ""),""√≥"",""ó""),""√â"",""é"""&amp;"),""√Å"",""á""),""√ç"",""í""),""√Ç"",""Í""),""√Â"",""é""),""√≠"",""í""),""√º"",""ú""),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68" s="22" t="str">
        <f>IFERROR(__xludf.DUMMYFUNCTION("SPLIT(
  TRIM(
    SUBSTITUTE(
      SUBSTITUTE(
        SUBSTITUTE(
          SUBSTITUTE(
            C68,
            ""√©"", ""é""
          ),
          ""√±"", ""ñ""
        ),
        ""√°"", ""á""
      ),
      ""√≥"", ""ó""
    )
  ),
  ""-""
)
"),"Teléfono")</f>
        <v>Teléfono</v>
      </c>
      <c r="O68" s="22" t="str">
        <f>IFERROR(__xludf.DUMMYFUNCTION("""COMPUTED_VALUE"""),"Gama alta")</f>
        <v>Gama alta</v>
      </c>
      <c r="P68" s="22" t="str">
        <f>IFERROR(__xludf.DUMMYFUNCTION("""COMPUTED_VALUE"""),"4GB")</f>
        <v>4GB</v>
      </c>
      <c r="Q68" s="23">
        <f t="shared" si="1"/>
        <v>1545.28</v>
      </c>
      <c r="R68" s="22">
        <f t="shared" si="2"/>
        <v>2</v>
      </c>
      <c r="S68" s="23">
        <f t="shared" si="3"/>
        <v>3090.56</v>
      </c>
      <c r="T68" s="22" t="str">
        <f>IFERROR(__xludf.DUMMYFUNCTION("PROPER(TRIM(
  LET(
    texto1, REGEXREPLACE(G68,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"),"Mateo Salazar")</f>
        <v>Mateo Salazar</v>
      </c>
      <c r="U68" s="22" t="str">
        <f t="shared" si="4"/>
        <v>8d472941-b5df-4f80-b3a6-ece0e6978e8a</v>
      </c>
      <c r="V68" s="24" t="str">
        <f t="shared" si="5"/>
        <v>Teléfono Gama alta 4GB</v>
      </c>
    </row>
    <row r="69" ht="15.75" customHeight="1">
      <c r="A69" s="6" t="s">
        <v>323</v>
      </c>
      <c r="B69" s="2" t="s">
        <v>27</v>
      </c>
      <c r="C69" s="2" t="s">
        <v>111</v>
      </c>
      <c r="D69" s="7">
        <v>97.52</v>
      </c>
      <c r="E69" s="2">
        <v>1.0</v>
      </c>
      <c r="F69" s="7">
        <v>97.52</v>
      </c>
      <c r="G69" s="2" t="s">
        <v>324</v>
      </c>
      <c r="H69" s="2" t="s">
        <v>325</v>
      </c>
      <c r="I69" s="2" t="s">
        <v>326</v>
      </c>
      <c r="K69" s="25" t="str">
        <f>IFERROR(__xludf.DUMMYFUNCTION("IF(ISBLANK(A69),
  """",
  IF(ISNUMBER(A69),
    TEXT(A69,""dd/mm/yyyy""),
    IF(
      REGEXMATCH(TRIM(A69),""^\d{1,2}/\d{1,2}/\d{4}$""),
      TRIM(A69),
      IFERROR(
        TEXT(DATEVALUE(SUBSTITUTE(SUBSTITUTE(TRIM(A69),""-"",""/""),""."",""/"")),"&amp;"""dd/mm/yyyy""),
        TRIM(A69)
      )
    )
  )
)
"),"24/12/2024")</f>
        <v>24/12/2024</v>
      </c>
      <c r="L69" s="26">
        <v>45650.0</v>
      </c>
      <c r="M69" s="27" t="str">
        <f>IFERROR(__xludf.DUMMYFUNCTION("PROPER(TRIM(
  REGEXREPLACE(
    REGEXREPLACE(
      SUBSTITUTE(SUBSTITUTE(SUBSTITUTE(SUBSTITUTE(SUBSTITUTE(SUBSTITUTE(SUBSTITUTE(SUBSTITUTE(SUBSTITUTE(SUBSTITUTE(SUBSTITUTE(
        B69,""√©"",""é""),""√°"",""á""),""√±"",""ñ""),""√≥"",""ó""),""√â"",""é"""&amp;"),""√Å"",""á""),""√ç"",""í""),""√Ç"",""Í""),""√Â"",""é""),""√≠"",""í""),""√º"",""ú""),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69" s="28" t="str">
        <f>IFERROR(__xludf.DUMMYFUNCTION("SPLIT(
  TRIM(
    SUBSTITUTE(
      SUBSTITUTE(
        SUBSTITUTE(
          SUBSTITUTE(
            C69,
            ""√©"", ""é""
          ),
          ""√±"", ""ñ""
        ),
        ""√°"", ""á""
      ),
      ""√≥"", ""ó""
    )
  ),
  ""-""
)
"),"Tablet")</f>
        <v>Tablet</v>
      </c>
      <c r="O69" s="28" t="str">
        <f>IFERROR(__xludf.DUMMYFUNCTION("""COMPUTED_VALUE"""),"Estándar")</f>
        <v>Estándar</v>
      </c>
      <c r="P69" s="28" t="str">
        <f>IFERROR(__xludf.DUMMYFUNCTION("""COMPUTED_VALUE"""),"16GB")</f>
        <v>16GB</v>
      </c>
      <c r="Q69" s="29">
        <f t="shared" si="1"/>
        <v>97.52</v>
      </c>
      <c r="R69" s="28">
        <f t="shared" si="2"/>
        <v>1</v>
      </c>
      <c r="S69" s="29">
        <f t="shared" si="3"/>
        <v>97.52</v>
      </c>
      <c r="T69" s="28" t="str">
        <f>IFERROR(__xludf.DUMMYFUNCTION("PROPER(TRIM(
  LET(
    texto1, REGEXREPLACE(G69,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 Fajardo")</f>
        <v>Emilia Fajardo</v>
      </c>
      <c r="U69" s="28" t="str">
        <f t="shared" si="4"/>
        <v>8e37e816-5b3d-4cf1-9cef-cf002ceb456f</v>
      </c>
      <c r="V69" s="30" t="str">
        <f t="shared" si="5"/>
        <v>Tablet Estándar 16GB</v>
      </c>
    </row>
    <row r="70" ht="15.75" customHeight="1">
      <c r="A70" s="6">
        <v>45637.0</v>
      </c>
      <c r="B70" s="2" t="s">
        <v>16</v>
      </c>
      <c r="C70" s="2" t="s">
        <v>75</v>
      </c>
      <c r="D70" s="7">
        <v>817.03</v>
      </c>
      <c r="E70" s="2">
        <v>2.0</v>
      </c>
      <c r="F70" s="7">
        <v>1634.06</v>
      </c>
      <c r="G70" s="2" t="s">
        <v>328</v>
      </c>
      <c r="H70" s="2" t="s">
        <v>329</v>
      </c>
      <c r="I70" s="2" t="s">
        <v>330</v>
      </c>
      <c r="K70" s="19" t="str">
        <f>IFERROR(__xludf.DUMMYFUNCTION("IF(ISBLANK(A70),
  """",
  IF(ISNUMBER(A70),
    TEXT(A70,""dd/mm/yyyy""),
    IF(
      REGEXMATCH(TRIM(A70),""^\d{1,2}/\d{1,2}/\d{4}$""),
      TRIM(A70),
      IFERROR(
        TEXT(DATEVALUE(SUBSTITUTE(SUBSTITUTE(TRIM(A70),""-"",""/""),""."",""/"")),"&amp;"""dd/mm/yyyy""),
        TRIM(A70)
      )
    )
  )
)
"),"11/12/2024")</f>
        <v>11/12/2024</v>
      </c>
      <c r="L70" s="20">
        <v>45637.0</v>
      </c>
      <c r="M70" s="21" t="str">
        <f>IFERROR(__xludf.DUMMYFUNCTION("PROPER(TRIM(
  REGEXREPLACE(
    REGEXREPLACE(
      SUBSTITUTE(SUBSTITUTE(SUBSTITUTE(SUBSTITUTE(SUBSTITUTE(SUBSTITUTE(SUBSTITUTE(SUBSTITUTE(SUBSTITUTE(SUBSTITUTE(SUBSTITUTE(
        B70,""√©"",""é""),""√°"",""á""),""√±"",""ñ""),""√≥"",""ó""),""√â"",""é"""&amp;"),""√Å"",""á""),""√ç"",""í""),""√Ç"",""Í""),""√Â"",""é""),""√≠"",""í""),""√º"",""ú""),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70" s="22" t="str">
        <f>IFERROR(__xludf.DUMMYFUNCTION("SPLIT(
  TRIM(
    SUBSTITUTE(
      SUBSTITUTE(
        SUBSTITUTE(
          SUBSTITUTE(
            C70,
            ""√©"", ""é""
          ),
          ""√±"", ""ñ""
        ),
        ""√°"", ""á""
      ),
      ""√≥"", ""ó""
    )
  ),
  ""-""
)
"),"Tablet")</f>
        <v>Tablet</v>
      </c>
      <c r="O70" s="22" t="str">
        <f>IFERROR(__xludf.DUMMYFUNCTION("""COMPUTED_VALUE"""),"Pro")</f>
        <v>Pro</v>
      </c>
      <c r="P70" s="22" t="str">
        <f>IFERROR(__xludf.DUMMYFUNCTION("""COMPUTED_VALUE"""),"4GB")</f>
        <v>4GB</v>
      </c>
      <c r="Q70" s="23">
        <f t="shared" si="1"/>
        <v>817.03</v>
      </c>
      <c r="R70" s="22">
        <f t="shared" si="2"/>
        <v>2</v>
      </c>
      <c r="S70" s="23">
        <f t="shared" si="3"/>
        <v>1634.06</v>
      </c>
      <c r="T70" s="22" t="str">
        <f>IFERROR(__xludf.DUMMYFUNCTION("PROPER(TRIM(
  LET(
    texto1, REGEXREPLACE(G70,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"),"Leonel Salcido")</f>
        <v>Leonel Salcido</v>
      </c>
      <c r="U70" s="22" t="str">
        <f t="shared" si="4"/>
        <v>b970ae82-fee0-482e-b413-b42d8439bc7e</v>
      </c>
      <c r="V70" s="24" t="str">
        <f t="shared" si="5"/>
        <v>Tablet Pro 4GB</v>
      </c>
    </row>
    <row r="71" ht="15.75" customHeight="1">
      <c r="A71" s="6">
        <v>45583.0</v>
      </c>
      <c r="B71" s="2" t="s">
        <v>101</v>
      </c>
      <c r="C71" s="2" t="s">
        <v>206</v>
      </c>
      <c r="D71" s="7">
        <v>721.04</v>
      </c>
      <c r="E71" s="2">
        <v>4.0</v>
      </c>
      <c r="F71" s="7">
        <v>2884.16</v>
      </c>
      <c r="G71" s="2" t="s">
        <v>332</v>
      </c>
      <c r="H71" s="2" t="s">
        <v>333</v>
      </c>
      <c r="I71" s="2" t="s">
        <v>334</v>
      </c>
      <c r="K71" s="25" t="str">
        <f>IFERROR(__xludf.DUMMYFUNCTION("IF(ISBLANK(A71),
  """",
  IF(ISNUMBER(A71),
    TEXT(A71,""dd/mm/yyyy""),
    IF(
      REGEXMATCH(TRIM(A71),""^\d{1,2}/\d{1,2}/\d{4}$""),
      TRIM(A71),
      IFERROR(
        TEXT(DATEVALUE(SUBSTITUTE(SUBSTITUTE(TRIM(A71),""-"",""/""),""."",""/"")),"&amp;"""dd/mm/yyyy""),
        TRIM(A71)
      )
    )
  )
)
"),"18/10/2024")</f>
        <v>18/10/2024</v>
      </c>
      <c r="L71" s="26">
        <v>45583.0</v>
      </c>
      <c r="M71" s="27" t="str">
        <f>IFERROR(__xludf.DUMMYFUNCTION("PROPER(TRIM(
  REGEXREPLACE(
    REGEXREPLACE(
      SUBSTITUTE(SUBSTITUTE(SUBSTITUTE(SUBSTITUTE(SUBSTITUTE(SUBSTITUTE(SUBSTITUTE(SUBSTITUTE(SUBSTITUTE(SUBSTITUTE(SUBSTITUTE(
        B71,""√©"",""é""),""√°"",""á""),""√±"",""ñ""),""√≥"",""ó""),""√â"",""é"""&amp;"),""√Å"",""á""),""√ç"",""í""),""√Ç"",""Í""),""√Â"",""é""),""√≠"",""í""),""√º"",""ú""),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71" s="28" t="str">
        <f>IFERROR(__xludf.DUMMYFUNCTION("SPLIT(
  TRIM(
    SUBSTITUTE(
      SUBSTITUTE(
        SUBSTITUTE(
          SUBSTITUTE(
            C71,
            ""√©"", ""é""
          ),
          ""√±"", ""ñ""
        ),
        ""√°"", ""á""
      ),
      ""√≥"", ""ó""
    )
  ),
  ""-""
)
"),"Auriculares")</f>
        <v>Auriculares</v>
      </c>
      <c r="O71" s="28" t="str">
        <f>IFERROR(__xludf.DUMMYFUNCTION("""COMPUTED_VALUE"""),"Bluetooth")</f>
        <v>Bluetooth</v>
      </c>
      <c r="P71" s="28" t="str">
        <f>IFERROR(__xludf.DUMMYFUNCTION("""COMPUTED_VALUE"""),"4GB")</f>
        <v>4GB</v>
      </c>
      <c r="Q71" s="29">
        <f t="shared" si="1"/>
        <v>721.04</v>
      </c>
      <c r="R71" s="28">
        <f t="shared" si="2"/>
        <v>4</v>
      </c>
      <c r="S71" s="29">
        <f t="shared" si="3"/>
        <v>2884.16</v>
      </c>
      <c r="T71" s="28" t="str">
        <f>IFERROR(__xludf.DUMMYFUNCTION("PROPER(TRIM(
  LET(
    texto1, REGEXREPLACE(G71,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"),"René Rafaél Rocha")</f>
        <v>René Rafaél Rocha</v>
      </c>
      <c r="U71" s="28" t="str">
        <f t="shared" si="4"/>
        <v>21eb6780-a2cf-4959-81fd-6bec09658cd0</v>
      </c>
      <c r="V71" s="30" t="str">
        <f t="shared" si="5"/>
        <v>Auriculares Bluetooth 4GB</v>
      </c>
    </row>
    <row r="72" ht="15.75" customHeight="1">
      <c r="A72" s="6">
        <v>45648.0</v>
      </c>
      <c r="B72" s="2" t="s">
        <v>85</v>
      </c>
      <c r="C72" s="2" t="s">
        <v>186</v>
      </c>
      <c r="D72" s="7">
        <v>1636.65</v>
      </c>
      <c r="E72" s="2">
        <v>2.0</v>
      </c>
      <c r="F72" s="7">
        <v>3273.3</v>
      </c>
      <c r="G72" s="2" t="s">
        <v>336</v>
      </c>
      <c r="H72" s="2" t="s">
        <v>337</v>
      </c>
      <c r="I72" s="2" t="s">
        <v>338</v>
      </c>
      <c r="K72" s="19" t="str">
        <f>IFERROR(__xludf.DUMMYFUNCTION("IF(ISBLANK(A72),
  """",
  IF(ISNUMBER(A72),
    TEXT(A72,""dd/mm/yyyy""),
    IF(
      REGEXMATCH(TRIM(A72),""^\d{1,2}/\d{1,2}/\d{4}$""),
      TRIM(A72),
      IFERROR(
        TEXT(DATEVALUE(SUBSTITUTE(SUBSTITUTE(TRIM(A72),""-"",""/""),""."",""/"")),"&amp;"""dd/mm/yyyy""),
        TRIM(A72)
      )
    )
  )
)
"),"22/12/2024")</f>
        <v>22/12/2024</v>
      </c>
      <c r="L72" s="20">
        <v>45648.0</v>
      </c>
      <c r="M72" s="21" t="str">
        <f>IFERROR(__xludf.DUMMYFUNCTION("PROPER(TRIM(
  REGEXREPLACE(
    REGEXREPLACE(
      SUBSTITUTE(SUBSTITUTE(SUBSTITUTE(SUBSTITUTE(SUBSTITUTE(SUBSTITUTE(SUBSTITUTE(SUBSTITUTE(SUBSTITUTE(SUBSTITUTE(SUBSTITUTE(
        B72,""√©"",""é""),""√°"",""á""),""√±"",""ñ""),""√≥"",""ó""),""√â"",""é"""&amp;"),""√Å"",""á""),""√ç"",""í""),""√Ç"",""Í""),""√Â"",""é""),""√≠"",""í""),""√º"",""ú""),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72" s="22" t="str">
        <f>IFERROR(__xludf.DUMMYFUNCTION("SPLIT(
  TRIM(
    SUBSTITUTE(
      SUBSTITUTE(
        SUBSTITUTE(
          SUBSTITUTE(
            C72,
            ""√©"", ""é""
          ),
          ""√±"", ""ñ""
        ),
        ""√°"", ""á""
      ),
      ""√≥"", ""ó""
    )
  ),
  ""-""
)
"),"Tablet")</f>
        <v>Tablet</v>
      </c>
      <c r="O72" s="22" t="str">
        <f>IFERROR(__xludf.DUMMYFUNCTION("""COMPUTED_VALUE"""),"Mini")</f>
        <v>Mini</v>
      </c>
      <c r="P72" s="22" t="str">
        <f>IFERROR(__xludf.DUMMYFUNCTION("""COMPUTED_VALUE"""),"8GB")</f>
        <v>8GB</v>
      </c>
      <c r="Q72" s="23">
        <f t="shared" si="1"/>
        <v>1636.65</v>
      </c>
      <c r="R72" s="22">
        <f t="shared" si="2"/>
        <v>2</v>
      </c>
      <c r="S72" s="23">
        <f t="shared" si="3"/>
        <v>3273.3</v>
      </c>
      <c r="T72" s="22" t="str">
        <f>IFERROR(__xludf.DUMMYFUNCTION("PROPER(TRIM(
  LET(
    texto1, REGEXREPLACE(G72,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"),"Gonzalo Rascón")</f>
        <v>Gonzalo Rascón</v>
      </c>
      <c r="U72" s="22" t="str">
        <f t="shared" si="4"/>
        <v>632f3ed9-ab81-468b-93d0-16a797a5d1c7</v>
      </c>
      <c r="V72" s="24" t="str">
        <f t="shared" si="5"/>
        <v>Tablet Mini 8GB</v>
      </c>
    </row>
    <row r="73" ht="15.75" customHeight="1">
      <c r="A73" s="6">
        <v>45600.0</v>
      </c>
      <c r="B73" s="2" t="s">
        <v>27</v>
      </c>
      <c r="C73" s="2" t="s">
        <v>162</v>
      </c>
      <c r="D73" s="7">
        <v>2114.2</v>
      </c>
      <c r="E73" s="2">
        <v>5.0</v>
      </c>
      <c r="F73" s="7">
        <v>10571.0</v>
      </c>
      <c r="G73" s="2" t="s">
        <v>340</v>
      </c>
      <c r="H73" s="2" t="s">
        <v>341</v>
      </c>
      <c r="I73" s="2" t="s">
        <v>342</v>
      </c>
      <c r="K73" s="25" t="str">
        <f>IFERROR(__xludf.DUMMYFUNCTION("IF(ISBLANK(A73),
  """",
  IF(ISNUMBER(A73),
    TEXT(A73,""dd/mm/yyyy""),
    IF(
      REGEXMATCH(TRIM(A73),""^\d{1,2}/\d{1,2}/\d{4}$""),
      TRIM(A73),
      IFERROR(
        TEXT(DATEVALUE(SUBSTITUTE(SUBSTITUTE(TRIM(A73),""-"",""/""),""."",""/"")),"&amp;"""dd/mm/yyyy""),
        TRIM(A73)
      )
    )
  )
)
"),"04/11/2024")</f>
        <v>04/11/2024</v>
      </c>
      <c r="L73" s="26">
        <v>45600.0</v>
      </c>
      <c r="M73" s="27" t="str">
        <f>IFERROR(__xludf.DUMMYFUNCTION("PROPER(TRIM(
  REGEXREPLACE(
    REGEXREPLACE(
      SUBSTITUTE(SUBSTITUTE(SUBSTITUTE(SUBSTITUTE(SUBSTITUTE(SUBSTITUTE(SUBSTITUTE(SUBSTITUTE(SUBSTITUTE(SUBSTITUTE(SUBSTITUTE(
        B73,""√©"",""é""),""√°"",""á""),""√±"",""ñ""),""√≥"",""ó""),""√â"",""é"""&amp;"),""√Å"",""á""),""√ç"",""í""),""√Ç"",""Í""),""√Â"",""é""),""√≠"",""í""),""√º"",""ú""),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73" s="28" t="str">
        <f>IFERROR(__xludf.DUMMYFUNCTION("SPLIT(
  TRIM(
    SUBSTITUTE(
      SUBSTITUTE(
        SUBSTITUTE(
          SUBSTITUTE(
            C73,
            ""√©"", ""é""
          ),
          ""√±"", ""ñ""
        ),
        ""√°"", ""á""
      ),
      ""√≥"", ""ó""
    )
  ),
  ""-""
)
"),"Teléfono")</f>
        <v>Teléfono</v>
      </c>
      <c r="O73" s="28" t="str">
        <f>IFERROR(__xludf.DUMMYFUNCTION("""COMPUTED_VALUE"""),"Gama alta")</f>
        <v>Gama alta</v>
      </c>
      <c r="P73" s="28" t="str">
        <f>IFERROR(__xludf.DUMMYFUNCTION("""COMPUTED_VALUE"""),"16GB")</f>
        <v>16GB</v>
      </c>
      <c r="Q73" s="29">
        <f t="shared" si="1"/>
        <v>2114.2</v>
      </c>
      <c r="R73" s="28">
        <f t="shared" si="2"/>
        <v>5</v>
      </c>
      <c r="S73" s="29">
        <f t="shared" si="3"/>
        <v>10571</v>
      </c>
      <c r="T73" s="28" t="str">
        <f>IFERROR(__xludf.DUMMYFUNCTION("PROPER(TRIM(
  LET(
    texto1, REGEXREPLACE(G73,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"),"Patricio Palomino")</f>
        <v>Patricio Palomino</v>
      </c>
      <c r="U73" s="28" t="str">
        <f t="shared" si="4"/>
        <v>b3d5e0b4-2834-4e54-a96a-d9085614ca23</v>
      </c>
      <c r="V73" s="30" t="str">
        <f t="shared" si="5"/>
        <v>Teléfono Gama alta 16GB</v>
      </c>
    </row>
    <row r="74" ht="15.75" customHeight="1">
      <c r="A74" s="6">
        <v>45639.0</v>
      </c>
      <c r="B74" s="2" t="s">
        <v>101</v>
      </c>
      <c r="C74" s="2" t="s">
        <v>147</v>
      </c>
      <c r="D74" s="7">
        <v>934.1</v>
      </c>
      <c r="E74" s="2">
        <v>2.0</v>
      </c>
      <c r="F74" s="7">
        <v>1868.2</v>
      </c>
      <c r="G74" s="2" t="s">
        <v>344</v>
      </c>
      <c r="H74" s="2" t="s">
        <v>345</v>
      </c>
      <c r="I74" s="2" t="s">
        <v>346</v>
      </c>
      <c r="K74" s="19" t="str">
        <f>IFERROR(__xludf.DUMMYFUNCTION("IF(ISBLANK(A74),
  """",
  IF(ISNUMBER(A74),
    TEXT(A74,""dd/mm/yyyy""),
    IF(
      REGEXMATCH(TRIM(A74),""^\d{1,2}/\d{1,2}/\d{4}$""),
      TRIM(A74),
      IFERROR(
        TEXT(DATEVALUE(SUBSTITUTE(SUBSTITUTE(TRIM(A74),""-"",""/""),""."",""/"")),"&amp;"""dd/mm/yyyy""),
        TRIM(A74)
      )
    )
  )
)
"),"13/12/2024")</f>
        <v>13/12/2024</v>
      </c>
      <c r="L74" s="20">
        <v>45639.0</v>
      </c>
      <c r="M74" s="21" t="str">
        <f>IFERROR(__xludf.DUMMYFUNCTION("PROPER(TRIM(
  REGEXREPLACE(
    REGEXREPLACE(
      SUBSTITUTE(SUBSTITUTE(SUBSTITUTE(SUBSTITUTE(SUBSTITUTE(SUBSTITUTE(SUBSTITUTE(SUBSTITUTE(SUBSTITUTE(SUBSTITUTE(SUBSTITUTE(
        B74,""√©"",""é""),""√°"",""á""),""√±"",""ñ""),""√≥"",""ó""),""√â"",""é"""&amp;"),""√Å"",""á""),""√ç"",""í""),""√Ç"",""Í""),""√Â"",""é""),""√≠"",""í""),""√º"",""ú""),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74" s="22" t="str">
        <f>IFERROR(__xludf.DUMMYFUNCTION("SPLIT(
  TRIM(
    SUBSTITUTE(
      SUBSTITUTE(
        SUBSTITUTE(
          SUBSTITUTE(
            C74,
            ""√©"", ""é""
          ),
          ""√±"", ""ñ""
        ),
        ""√°"", ""á""
      ),
      ""√≥"", ""ó""
    )
  ),
  ""-""
)
"),"Laptop")</f>
        <v>Laptop</v>
      </c>
      <c r="O74" s="22" t="str">
        <f>IFERROR(__xludf.DUMMYFUNCTION("""COMPUTED_VALUE"""),"Oficina")</f>
        <v>Oficina</v>
      </c>
      <c r="P74" s="22" t="str">
        <f>IFERROR(__xludf.DUMMYFUNCTION("""COMPUTED_VALUE"""),"16GB")</f>
        <v>16GB</v>
      </c>
      <c r="Q74" s="23">
        <f t="shared" si="1"/>
        <v>934.1</v>
      </c>
      <c r="R74" s="22">
        <f t="shared" si="2"/>
        <v>2</v>
      </c>
      <c r="S74" s="23">
        <f t="shared" si="3"/>
        <v>1868.2</v>
      </c>
      <c r="T74" s="22" t="str">
        <f>IFERROR(__xludf.DUMMYFUNCTION("PROPER(TRIM(
  LET(
    texto1, REGEXREPLACE(G74,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"),"Roberto Mateo Hurtado León")</f>
        <v>Roberto Mateo Hurtado León</v>
      </c>
      <c r="U74" s="22" t="str">
        <f t="shared" si="4"/>
        <v>0332c3e0-2f25-4dfd-ad14-79f12be80567</v>
      </c>
      <c r="V74" s="24" t="str">
        <f t="shared" si="5"/>
        <v>Laptop Oficina 16GB</v>
      </c>
    </row>
    <row r="75" ht="15.75" customHeight="1">
      <c r="A75" s="6">
        <v>45590.0</v>
      </c>
      <c r="B75" s="2" t="s">
        <v>50</v>
      </c>
      <c r="C75" s="2" t="s">
        <v>348</v>
      </c>
      <c r="D75" s="7">
        <v>2095.64</v>
      </c>
      <c r="E75" s="2">
        <v>5.0</v>
      </c>
      <c r="F75" s="7">
        <v>10478.2</v>
      </c>
      <c r="G75" s="2" t="s">
        <v>349</v>
      </c>
      <c r="H75" s="2" t="s">
        <v>350</v>
      </c>
      <c r="I75" s="2" t="s">
        <v>351</v>
      </c>
      <c r="K75" s="25" t="str">
        <f>IFERROR(__xludf.DUMMYFUNCTION("IF(ISBLANK(A75),
  """",
  IF(ISNUMBER(A75),
    TEXT(A75,""dd/mm/yyyy""),
    IF(
      REGEXMATCH(TRIM(A75),""^\d{1,2}/\d{1,2}/\d{4}$""),
      TRIM(A75),
      IFERROR(
        TEXT(DATEVALUE(SUBSTITUTE(SUBSTITUTE(TRIM(A75),""-"",""/""),""."",""/"")),"&amp;"""dd/mm/yyyy""),
        TRIM(A75)
      )
    )
  )
)
"),"25/10/2024")</f>
        <v>25/10/2024</v>
      </c>
      <c r="L75" s="26">
        <v>45590.0</v>
      </c>
      <c r="M75" s="27" t="str">
        <f>IFERROR(__xludf.DUMMYFUNCTION("PROPER(TRIM(
  REGEXREPLACE(
    REGEXREPLACE(
      SUBSTITUTE(SUBSTITUTE(SUBSTITUTE(SUBSTITUTE(SUBSTITUTE(SUBSTITUTE(SUBSTITUTE(SUBSTITUTE(SUBSTITUTE(SUBSTITUTE(SUBSTITUTE(
        B75,""√©"",""é""),""√°"",""á""),""√±"",""ñ""),""√≥"",""ó""),""√â"",""é"""&amp;"),""√Å"",""á""),""√ç"",""í""),""√Ç"",""Í""),""√Â"",""é""),""√≠"",""í""),""√º"",""ú""),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75" s="28" t="str">
        <f>IFERROR(__xludf.DUMMYFUNCTION("SPLIT(
  TRIM(
    SUBSTITUTE(
      SUBSTITUTE(
        SUBSTITUTE(
          SUBSTITUTE(
            C75,
            ""√©"", ""é""
          ),
          ""√±"", ""ñ""
        ),
        ""√°"", ""á""
      ),
      ""√≥"", ""ó""
    )
  ),
  ""-""
)
"),"Teléfono")</f>
        <v>Teléfono</v>
      </c>
      <c r="O75" s="28" t="str">
        <f>IFERROR(__xludf.DUMMYFUNCTION("""COMPUTED_VALUE"""),"Gama media")</f>
        <v>Gama media</v>
      </c>
      <c r="P75" s="28" t="str">
        <f>IFERROR(__xludf.DUMMYFUNCTION("""COMPUTED_VALUE"""),"8GB")</f>
        <v>8GB</v>
      </c>
      <c r="Q75" s="29">
        <f t="shared" si="1"/>
        <v>2095.64</v>
      </c>
      <c r="R75" s="28">
        <f t="shared" si="2"/>
        <v>5</v>
      </c>
      <c r="S75" s="29">
        <f t="shared" si="3"/>
        <v>10478.2</v>
      </c>
      <c r="T75" s="28" t="str">
        <f>IFERROR(__xludf.DUMMYFUNCTION("PROPER(TRIM(
  LET(
    texto1, REGEXREPLACE(G75,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"),"Agustín Sandoval")</f>
        <v>Agustín Sandoval</v>
      </c>
      <c r="U75" s="28" t="str">
        <f t="shared" si="4"/>
        <v>1a1b2b13-06f4-45bf-a9e9-678df211aedf</v>
      </c>
      <c r="V75" s="30" t="str">
        <f t="shared" si="5"/>
        <v>Teléfono Gama media 8GB</v>
      </c>
    </row>
    <row r="76" ht="15.75" customHeight="1">
      <c r="A76" s="6">
        <v>45625.0</v>
      </c>
      <c r="B76" s="2" t="s">
        <v>85</v>
      </c>
      <c r="C76" s="2" t="s">
        <v>235</v>
      </c>
      <c r="D76" s="7">
        <v>337.5</v>
      </c>
      <c r="E76" s="2">
        <v>5.0</v>
      </c>
      <c r="F76" s="7">
        <v>1687.5</v>
      </c>
      <c r="G76" s="2" t="s">
        <v>353</v>
      </c>
      <c r="H76" s="2" t="s">
        <v>354</v>
      </c>
      <c r="I76" s="2" t="s">
        <v>355</v>
      </c>
      <c r="K76" s="19" t="str">
        <f>IFERROR(__xludf.DUMMYFUNCTION("IF(ISBLANK(A76),
  """",
  IF(ISNUMBER(A76),
    TEXT(A76,""dd/mm/yyyy""),
    IF(
      REGEXMATCH(TRIM(A76),""^\d{1,2}/\d{1,2}/\d{4}$""),
      TRIM(A76),
      IFERROR(
        TEXT(DATEVALUE(SUBSTITUTE(SUBSTITUTE(TRIM(A76),""-"",""/""),""."",""/"")),"&amp;"""dd/mm/yyyy""),
        TRIM(A76)
      )
    )
  )
)
"),"29/11/2024")</f>
        <v>29/11/2024</v>
      </c>
      <c r="L76" s="20">
        <v>45625.0</v>
      </c>
      <c r="M76" s="21" t="str">
        <f>IFERROR(__xludf.DUMMYFUNCTION("PROPER(TRIM(
  REGEXREPLACE(
    REGEXREPLACE(
      SUBSTITUTE(SUBSTITUTE(SUBSTITUTE(SUBSTITUTE(SUBSTITUTE(SUBSTITUTE(SUBSTITUTE(SUBSTITUTE(SUBSTITUTE(SUBSTITUTE(SUBSTITUTE(
        B76,""√©"",""é""),""√°"",""á""),""√±"",""ñ""),""√≥"",""ó""),""√â"",""é"""&amp;"),""√Å"",""á""),""√ç"",""í""),""√Ç"",""Í""),""√Â"",""é""),""√≠"",""í""),""√º"",""ú""),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76" s="22" t="str">
        <f>IFERROR(__xludf.DUMMYFUNCTION("SPLIT(
  TRIM(
    SUBSTITUTE(
      SUBSTITUTE(
        SUBSTITUTE(
          SUBSTITUTE(
            C76,
            ""√©"", ""é""
          ),
          ""√±"", ""ñ""
        ),
        ""√°"", ""á""
      ),
      ""√≥"", ""ó""
    )
  ),
  ""-""
)
"),"Tablet")</f>
        <v>Tablet</v>
      </c>
      <c r="O76" s="22" t="str">
        <f>IFERROR(__xludf.DUMMYFUNCTION("""COMPUTED_VALUE"""),"Estándar")</f>
        <v>Estándar</v>
      </c>
      <c r="P76" s="22" t="str">
        <f>IFERROR(__xludf.DUMMYFUNCTION("""COMPUTED_VALUE"""),"4GB")</f>
        <v>4GB</v>
      </c>
      <c r="Q76" s="23">
        <f t="shared" si="1"/>
        <v>337.5</v>
      </c>
      <c r="R76" s="22">
        <f t="shared" si="2"/>
        <v>5</v>
      </c>
      <c r="S76" s="23">
        <f t="shared" si="3"/>
        <v>1687.5</v>
      </c>
      <c r="T76" s="22" t="str">
        <f>IFERROR(__xludf.DUMMYFUNCTION("PROPER(TRIM(
  LET(
    texto1, REGEXREPLACE(G76,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"),"Silvano Villanueva Alcaraz")</f>
        <v>Silvano Villanueva Alcaraz</v>
      </c>
      <c r="U76" s="22" t="str">
        <f t="shared" si="4"/>
        <v>da98ee54-efa1-4a37-a44f-16e69c8a3769</v>
      </c>
      <c r="V76" s="24" t="str">
        <f t="shared" si="5"/>
        <v>Tablet Estándar 4GB</v>
      </c>
    </row>
    <row r="77" ht="15.75" customHeight="1">
      <c r="A77" s="6">
        <v>45589.0</v>
      </c>
      <c r="B77" s="2" t="s">
        <v>38</v>
      </c>
      <c r="C77" s="2" t="s">
        <v>176</v>
      </c>
      <c r="D77" s="7">
        <v>1962.79</v>
      </c>
      <c r="E77" s="2">
        <v>3.0</v>
      </c>
      <c r="F77" s="7">
        <v>5888.37</v>
      </c>
      <c r="G77" s="2" t="s">
        <v>357</v>
      </c>
      <c r="H77" s="2" t="s">
        <v>358</v>
      </c>
      <c r="I77" s="2" t="s">
        <v>359</v>
      </c>
      <c r="K77" s="25" t="str">
        <f>IFERROR(__xludf.DUMMYFUNCTION("IF(ISBLANK(A77),
  """",
  IF(ISNUMBER(A77),
    TEXT(A77,""dd/mm/yyyy""),
    IF(
      REGEXMATCH(TRIM(A77),""^\d{1,2}/\d{1,2}/\d{4}$""),
      TRIM(A77),
      IFERROR(
        TEXT(DATEVALUE(SUBSTITUTE(SUBSTITUTE(TRIM(A77),""-"",""/""),""."",""/"")),"&amp;"""dd/mm/yyyy""),
        TRIM(A77)
      )
    )
  )
)
"),"24/10/2024")</f>
        <v>24/10/2024</v>
      </c>
      <c r="L77" s="26">
        <v>45589.0</v>
      </c>
      <c r="M77" s="27" t="str">
        <f>IFERROR(__xludf.DUMMYFUNCTION("PROPER(TRIM(
  REGEXREPLACE(
    REGEXREPLACE(
      SUBSTITUTE(SUBSTITUTE(SUBSTITUTE(SUBSTITUTE(SUBSTITUTE(SUBSTITUTE(SUBSTITUTE(SUBSTITUTE(SUBSTITUTE(SUBSTITUTE(SUBSTITUTE(
        B77,""√©"",""é""),""√°"",""á""),""√±"",""ñ""),""√≥"",""ó""),""√â"",""é"""&amp;"),""√Å"",""á""),""√ç"",""í""),""√Ç"",""Í""),""√Â"",""é""),""√≠"",""í""),""√º"",""ú""),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77" s="28" t="str">
        <f>IFERROR(__xludf.DUMMYFUNCTION("SPLIT(
  TRIM(
    SUBSTITUTE(
      SUBSTITUTE(
        SUBSTITUTE(
          SUBSTITUTE(
            C77,
            ""√©"", ""é""
          ),
          ""√±"", ""ñ""
        ),
        ""√°"", ""á""
      ),
      ""√≥"", ""ó""
    )
  ),
  ""-""
)
"),"Auriculares")</f>
        <v>Auriculares</v>
      </c>
      <c r="O77" s="28" t="str">
        <f>IFERROR(__xludf.DUMMYFUNCTION("""COMPUTED_VALUE"""),"Con cable")</f>
        <v>Con cable</v>
      </c>
      <c r="P77" s="28" t="str">
        <f>IFERROR(__xludf.DUMMYFUNCTION("""COMPUTED_VALUE"""),"8GB")</f>
        <v>8GB</v>
      </c>
      <c r="Q77" s="29">
        <f t="shared" si="1"/>
        <v>1962.79</v>
      </c>
      <c r="R77" s="28">
        <f t="shared" si="2"/>
        <v>3</v>
      </c>
      <c r="S77" s="29">
        <f t="shared" si="3"/>
        <v>5888.37</v>
      </c>
      <c r="T77" s="28" t="str">
        <f>IFERROR(__xludf.DUMMYFUNCTION("PROPER(TRIM(
  LET(
    texto1, REGEXREPLACE(G77,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"),"Gonzalo Cortés Nieto")</f>
        <v>Gonzalo Cortés Nieto</v>
      </c>
      <c r="U77" s="28" t="str">
        <f t="shared" si="4"/>
        <v>f175c4e2-a107-42a1-87d8-ae02bbeada76</v>
      </c>
      <c r="V77" s="30" t="str">
        <f t="shared" si="5"/>
        <v>Auriculares Con cable 8GB</v>
      </c>
    </row>
    <row r="78" ht="15.75" customHeight="1">
      <c r="A78" s="6">
        <v>45627.0</v>
      </c>
      <c r="B78" s="2" t="s">
        <v>50</v>
      </c>
      <c r="C78" s="2" t="s">
        <v>360</v>
      </c>
      <c r="D78" s="7">
        <v>2261.15</v>
      </c>
      <c r="E78" s="2">
        <v>1.0</v>
      </c>
      <c r="F78" s="7">
        <v>2261.15</v>
      </c>
      <c r="G78" s="2" t="s">
        <v>361</v>
      </c>
      <c r="H78" s="2" t="s">
        <v>362</v>
      </c>
      <c r="I78" s="2" t="s">
        <v>363</v>
      </c>
      <c r="K78" s="19" t="str">
        <f>IFERROR(__xludf.DUMMYFUNCTION("IF(ISBLANK(A78),
  """",
  IF(ISNUMBER(A78),
    TEXT(A78,""dd/mm/yyyy""),
    IF(
      REGEXMATCH(TRIM(A78),""^\d{1,2}/\d{1,2}/\d{4}$""),
      TRIM(A78),
      IFERROR(
        TEXT(DATEVALUE(SUBSTITUTE(SUBSTITUTE(TRIM(A78),""-"",""/""),""."",""/"")),"&amp;"""dd/mm/yyyy""),
        TRIM(A78)
      )
    )
  )
)
"),"01/12/2024")</f>
        <v>01/12/2024</v>
      </c>
      <c r="L78" s="20">
        <v>45627.0</v>
      </c>
      <c r="M78" s="21" t="str">
        <f>IFERROR(__xludf.DUMMYFUNCTION("PROPER(TRIM(
  REGEXREPLACE(
    REGEXREPLACE(
      SUBSTITUTE(SUBSTITUTE(SUBSTITUTE(SUBSTITUTE(SUBSTITUTE(SUBSTITUTE(SUBSTITUTE(SUBSTITUTE(SUBSTITUTE(SUBSTITUTE(SUBSTITUTE(
        B78,""√©"",""é""),""√°"",""á""),""√±"",""ñ""),""√≥"",""ó""),""√â"",""é"""&amp;"),""√Å"",""á""),""√ç"",""í""),""√Ç"",""Í""),""√Â"",""é""),""√≠"",""í""),""√º"",""ú""),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78" s="22" t="str">
        <f>IFERROR(__xludf.DUMMYFUNCTION("SPLIT(
  TRIM(
    SUBSTITUTE(
      SUBSTITUTE(
        SUBSTITUTE(
          SUBSTITUTE(
            C78,
            ""√©"", ""é""
          ),
          ""√±"", ""ñ""
        ),
        ""√°"", ""á""
      ),
      ""√≥"", ""ó""
    )
  ),
  ""-""
)
"),"Tablet")</f>
        <v>Tablet</v>
      </c>
      <c r="O78" s="22" t="str">
        <f>IFERROR(__xludf.DUMMYFUNCTION("""COMPUTED_VALUE"""),"Estándar")</f>
        <v>Estándar</v>
      </c>
      <c r="P78" s="22" t="str">
        <f>IFERROR(__xludf.DUMMYFUNCTION("""COMPUTED_VALUE"""),"8GB")</f>
        <v>8GB</v>
      </c>
      <c r="Q78" s="23">
        <f t="shared" si="1"/>
        <v>2261.15</v>
      </c>
      <c r="R78" s="22">
        <f t="shared" si="2"/>
        <v>1</v>
      </c>
      <c r="S78" s="23">
        <f t="shared" si="3"/>
        <v>2261.15</v>
      </c>
      <c r="T78" s="22" t="str">
        <f>IFERROR(__xludf.DUMMYFUNCTION("PROPER(TRIM(
  LET(
    texto1, REGEXREPLACE(G78,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 Antonio Mercado Henríquez")</f>
        <v>Marco Antonio Mercado Henríquez</v>
      </c>
      <c r="U78" s="22" t="str">
        <f t="shared" si="4"/>
        <v>6c9a8394-7c0d-49dd-814c-cdca8e78dbd5</v>
      </c>
      <c r="V78" s="24" t="str">
        <f t="shared" si="5"/>
        <v>Tablet Estándar 8GB</v>
      </c>
    </row>
    <row r="79" ht="15.75" customHeight="1">
      <c r="A79" s="6">
        <v>45600.0</v>
      </c>
      <c r="B79" s="2" t="s">
        <v>16</v>
      </c>
      <c r="C79" s="2" t="s">
        <v>22</v>
      </c>
      <c r="D79" s="7">
        <v>1491.19</v>
      </c>
      <c r="E79" s="2">
        <v>5.0</v>
      </c>
      <c r="F79" s="7">
        <v>7455.95</v>
      </c>
      <c r="G79" s="2" t="s">
        <v>364</v>
      </c>
      <c r="H79" s="2" t="s">
        <v>365</v>
      </c>
      <c r="I79" s="2" t="s">
        <v>366</v>
      </c>
      <c r="K79" s="25" t="str">
        <f>IFERROR(__xludf.DUMMYFUNCTION("IF(ISBLANK(A79),
  """",
  IF(ISNUMBER(A79),
    TEXT(A79,""dd/mm/yyyy""),
    IF(
      REGEXMATCH(TRIM(A79),""^\d{1,2}/\d{1,2}/\d{4}$""),
      TRIM(A79),
      IFERROR(
        TEXT(DATEVALUE(SUBSTITUTE(SUBSTITUTE(TRIM(A79),""-"",""/""),""."",""/"")),"&amp;"""dd/mm/yyyy""),
        TRIM(A79)
      )
    )
  )
)
"),"04/11/2024")</f>
        <v>04/11/2024</v>
      </c>
      <c r="L79" s="26">
        <v>45600.0</v>
      </c>
      <c r="M79" s="27" t="str">
        <f>IFERROR(__xludf.DUMMYFUNCTION("PROPER(TRIM(
  REGEXREPLACE(
    REGEXREPLACE(
      SUBSTITUTE(SUBSTITUTE(SUBSTITUTE(SUBSTITUTE(SUBSTITUTE(SUBSTITUTE(SUBSTITUTE(SUBSTITUTE(SUBSTITUTE(SUBSTITUTE(SUBSTITUTE(
        B79,""√©"",""é""),""√°"",""á""),""√±"",""ñ""),""√≥"",""ó""),""√â"",""é"""&amp;"),""√Å"",""á""),""√ç"",""í""),""√Ç"",""Í""),""√Â"",""é""),""√≠"",""í""),""√º"",""ú""),
      ""[,\\.√]"",""""),
    ""\\s+"","" "")
))
"),"Bogotá")</f>
        <v>Bogotá</v>
      </c>
      <c r="N79" s="28" t="str">
        <f>IFERROR(__xludf.DUMMYFUNCTION("SPLIT(
  TRIM(
    SUBSTITUTE(
      SUBSTITUTE(
        SUBSTITUTE(
          SUBSTITUTE(
            C79,
            ""√©"", ""é""
          ),
          ""√±"", ""ñ""
        ),
        ""√°"", ""á""
      ),
      ""√≥"", ""ó""
    )
  ),
  ""-""
)
"),"Laptop")</f>
        <v>Laptop</v>
      </c>
      <c r="O79" s="28" t="str">
        <f>IFERROR(__xludf.DUMMYFUNCTION("""COMPUTED_VALUE"""),"Gaming")</f>
        <v>Gaming</v>
      </c>
      <c r="P79" s="28" t="str">
        <f>IFERROR(__xludf.DUMMYFUNCTION("""COMPUTED_VALUE"""),"32GB")</f>
        <v>32GB</v>
      </c>
      <c r="Q79" s="29">
        <f t="shared" si="1"/>
        <v>1491.19</v>
      </c>
      <c r="R79" s="28">
        <f t="shared" si="2"/>
        <v>5</v>
      </c>
      <c r="S79" s="29">
        <f t="shared" si="3"/>
        <v>7455.95</v>
      </c>
      <c r="T79" s="28" t="str">
        <f>IFERROR(__xludf.DUMMYFUNCTION("PROPER(TRIM(
  LET(
    texto1, REGEXREPLACE(G79,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"),"Elias Sotelo Espinal")</f>
        <v>Elias Sotelo Espinal</v>
      </c>
      <c r="U79" s="28" t="str">
        <f t="shared" si="4"/>
        <v>4082ebc9-a484-41c7-ae7f-fcdfa5f8c7f8</v>
      </c>
      <c r="V79" s="30" t="str">
        <f t="shared" si="5"/>
        <v>Laptop Gaming 32GB</v>
      </c>
    </row>
    <row r="80" ht="15.75" customHeight="1">
      <c r="A80" s="6">
        <v>45619.0</v>
      </c>
      <c r="B80" s="2" t="s">
        <v>368</v>
      </c>
      <c r="C80" s="2" t="s">
        <v>369</v>
      </c>
      <c r="D80" s="7">
        <v>405.62</v>
      </c>
      <c r="E80" s="2">
        <v>4.0</v>
      </c>
      <c r="F80" s="7">
        <v>1622.48</v>
      </c>
      <c r="G80" s="2" t="s">
        <v>370</v>
      </c>
      <c r="H80" s="2" t="s">
        <v>371</v>
      </c>
      <c r="I80" s="2" t="s">
        <v>372</v>
      </c>
      <c r="K80" s="19" t="str">
        <f>IFERROR(__xludf.DUMMYFUNCTION("IF(ISBLANK(A80),
  """",
  IF(ISNUMBER(A80),
    TEXT(A80,""dd/mm/yyyy""),
    IF(
      REGEXMATCH(TRIM(A80),""^\d{1,2}/\d{1,2}/\d{4}$""),
      TRIM(A80),
      IFERROR(
        TEXT(DATEVALUE(SUBSTITUTE(SUBSTITUTE(TRIM(A80),""-"",""/""),""."",""/"")),"&amp;"""dd/mm/yyyy""),
        TRIM(A80)
      )
    )
  )
)
"),"23/11/2024")</f>
        <v>23/11/2024</v>
      </c>
      <c r="L80" s="20">
        <v>45619.0</v>
      </c>
      <c r="M80" s="21" t="str">
        <f>IFERROR(__xludf.DUMMYFUNCTION("PROPER(TRIM(
  REGEXREPLACE(
    REGEXREPLACE(
      SUBSTITUTE(SUBSTITUTE(SUBSTITUTE(SUBSTITUTE(SUBSTITUTE(SUBSTITUTE(SUBSTITUTE(SUBSTITUTE(SUBSTITUTE(SUBSTITUTE(SUBSTITUTE(
        B80,""√©"",""é""),""√°"",""á""),""√±"",""ñ""),""√≥"",""ó""),""√â"",""é"""&amp;"),""√Å"",""á""),""√ç"",""í""),""√Ç"",""Í""),""√Â"",""é""),""√≠"",""í""),""√º"",""ú""),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80" s="22" t="str">
        <f>IFERROR(__xludf.DUMMYFUNCTION("SPLIT(
  TRIM(
    SUBSTITUTE(
      SUBSTITUTE(
        SUBSTITUTE(
          SUBSTITUTE(
            C80,
            ""√©"", ""é""
          ),
          ""√±"", ""ñ""
        ),
        ""√°"", ""á""
      ),
      ""√≥"", ""ó""
    )
  ),
  ""-""
)
"),"Tablet")</f>
        <v>Tablet</v>
      </c>
      <c r="O80" s="22" t="str">
        <f>IFERROR(__xludf.DUMMYFUNCTION("""COMPUTED_VALUE"""),"Pro")</f>
        <v>Pro</v>
      </c>
      <c r="P80" s="22" t="str">
        <f>IFERROR(__xludf.DUMMYFUNCTION("""COMPUTED_VALUE"""),"16GB")</f>
        <v>16GB</v>
      </c>
      <c r="Q80" s="23">
        <f t="shared" si="1"/>
        <v>405.62</v>
      </c>
      <c r="R80" s="22">
        <f t="shared" si="2"/>
        <v>4</v>
      </c>
      <c r="S80" s="23">
        <f t="shared" si="3"/>
        <v>1622.48</v>
      </c>
      <c r="T80" s="22" t="str">
        <f>IFERROR(__xludf.DUMMYFUNCTION("PROPER(TRIM(
  LET(
    texto1, REGEXREPLACE(G80,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"),"Ángel Dávila")</f>
        <v>Ángel Dávila</v>
      </c>
      <c r="U80" s="22" t="str">
        <f t="shared" si="4"/>
        <v>4466335e-c645-4d4b-a152-4044038bf97c</v>
      </c>
      <c r="V80" s="24" t="str">
        <f t="shared" si="5"/>
        <v>Tablet Pro 16GB</v>
      </c>
    </row>
    <row r="81" ht="15.75" customHeight="1">
      <c r="A81" s="6">
        <v>45599.0</v>
      </c>
      <c r="B81" s="2" t="s">
        <v>101</v>
      </c>
      <c r="C81" s="2" t="s">
        <v>250</v>
      </c>
      <c r="D81" s="7">
        <v>2157.37</v>
      </c>
      <c r="E81" s="2">
        <v>5.0</v>
      </c>
      <c r="F81" s="7">
        <v>10786.85</v>
      </c>
      <c r="G81" s="2" t="s">
        <v>374</v>
      </c>
      <c r="H81" s="2" t="s">
        <v>375</v>
      </c>
      <c r="I81" s="2" t="s">
        <v>376</v>
      </c>
      <c r="K81" s="25" t="str">
        <f>IFERROR(__xludf.DUMMYFUNCTION("IF(ISBLANK(A81),
  """",
  IF(ISNUMBER(A81),
    TEXT(A81,""dd/mm/yyyy""),
    IF(
      REGEXMATCH(TRIM(A81),""^\d{1,2}/\d{1,2}/\d{4}$""),
      TRIM(A81),
      IFERROR(
        TEXT(DATEVALUE(SUBSTITUTE(SUBSTITUTE(TRIM(A81),""-"",""/""),""."",""/"")),"&amp;"""dd/mm/yyyy""),
        TRIM(A81)
      )
    )
  )
)
"),"03/11/2024")</f>
        <v>03/11/2024</v>
      </c>
      <c r="L81" s="26">
        <v>45599.0</v>
      </c>
      <c r="M81" s="27" t="str">
        <f>IFERROR(__xludf.DUMMYFUNCTION("PROPER(TRIM(
  REGEXREPLACE(
    REGEXREPLACE(
      SUBSTITUTE(SUBSTITUTE(SUBSTITUTE(SUBSTITUTE(SUBSTITUTE(SUBSTITUTE(SUBSTITUTE(SUBSTITUTE(SUBSTITUTE(SUBSTITUTE(SUBSTITUTE(
        B81,""√©"",""é""),""√°"",""á""),""√±"",""ñ""),""√≥"",""ó""),""√â"",""é"""&amp;"),""√Å"",""á""),""√ç"",""í""),""√Ç"",""Í""),""√Â"",""é""),""√≠"",""í""),""√º"",""ú""),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81" s="28" t="str">
        <f>IFERROR(__xludf.DUMMYFUNCTION("SPLIT(
  TRIM(
    SUBSTITUTE(
      SUBSTITUTE(
        SUBSTITUTE(
          SUBSTITUTE(
            C81,
            ""√©"", ""é""
          ),
          ""√±"", ""ñ""
        ),
        ""√°"", ""á""
      ),
      ""√≥"", ""ó""
    )
  ),
  ""-""
)
"),"Laptop")</f>
        <v>Laptop</v>
      </c>
      <c r="O81" s="28" t="str">
        <f>IFERROR(__xludf.DUMMYFUNCTION("""COMPUTED_VALUE"""),"Oficina")</f>
        <v>Oficina</v>
      </c>
      <c r="P81" s="28" t="str">
        <f>IFERROR(__xludf.DUMMYFUNCTION("""COMPUTED_VALUE"""),"32GB")</f>
        <v>32GB</v>
      </c>
      <c r="Q81" s="29">
        <f t="shared" si="1"/>
        <v>2157.37</v>
      </c>
      <c r="R81" s="28">
        <f t="shared" si="2"/>
        <v>5</v>
      </c>
      <c r="S81" s="29">
        <f t="shared" si="3"/>
        <v>10786.85</v>
      </c>
      <c r="T81" s="28" t="str">
        <f>IFERROR(__xludf.DUMMYFUNCTION("PROPER(TRIM(
  LET(
    texto1, REGEXREPLACE(G81,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"),"Alejandra Delgadillo")</f>
        <v>Alejandra Delgadillo</v>
      </c>
      <c r="U81" s="28" t="str">
        <f t="shared" si="4"/>
        <v>bc02e752-e8f9-4729-a7cd-24ba1ff00164</v>
      </c>
      <c r="V81" s="30" t="str">
        <f t="shared" si="5"/>
        <v>Laptop Oficina 32GB</v>
      </c>
    </row>
    <row r="82" ht="15.75" customHeight="1">
      <c r="A82" s="6">
        <v>45609.0</v>
      </c>
      <c r="B82" s="2" t="s">
        <v>101</v>
      </c>
      <c r="C82" s="2" t="s">
        <v>186</v>
      </c>
      <c r="D82" s="7">
        <v>625.41</v>
      </c>
      <c r="E82" s="2">
        <v>2.0</v>
      </c>
      <c r="F82" s="7">
        <v>1250.82</v>
      </c>
      <c r="G82" s="2" t="s">
        <v>377</v>
      </c>
      <c r="H82" s="2" t="s">
        <v>378</v>
      </c>
      <c r="I82" s="2" t="s">
        <v>379</v>
      </c>
      <c r="K82" s="19" t="str">
        <f>IFERROR(__xludf.DUMMYFUNCTION("IF(ISBLANK(A82),
  """",
  IF(ISNUMBER(A82),
    TEXT(A82,""dd/mm/yyyy""),
    IF(
      REGEXMATCH(TRIM(A82),""^\d{1,2}/\d{1,2}/\d{4}$""),
      TRIM(A82),
      IFERROR(
        TEXT(DATEVALUE(SUBSTITUTE(SUBSTITUTE(TRIM(A82),""-"",""/""),""."",""/"")),"&amp;"""dd/mm/yyyy""),
        TRIM(A82)
      )
    )
  )
)
"),"13/11/2024")</f>
        <v>13/11/2024</v>
      </c>
      <c r="L82" s="20">
        <v>45609.0</v>
      </c>
      <c r="M82" s="21" t="str">
        <f>IFERROR(__xludf.DUMMYFUNCTION("PROPER(TRIM(
  REGEXREPLACE(
    REGEXREPLACE(
      SUBSTITUTE(SUBSTITUTE(SUBSTITUTE(SUBSTITUTE(SUBSTITUTE(SUBSTITUTE(SUBSTITUTE(SUBSTITUTE(SUBSTITUTE(SUBSTITUTE(SUBSTITUTE(
        B82,""√©"",""é""),""√°"",""á""),""√±"",""ñ""),""√≥"",""ó""),""√â"",""é"""&amp;"),""√Å"",""á""),""√ç"",""í""),""√Ç"",""Í""),""√Â"",""é""),""√≠"",""í""),""√º"",""ú""),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82" s="22" t="str">
        <f>IFERROR(__xludf.DUMMYFUNCTION("SPLIT(
  TRIM(
    SUBSTITUTE(
      SUBSTITUTE(
        SUBSTITUTE(
          SUBSTITUTE(
            C82,
            ""√©"", ""é""
          ),
          ""√±"", ""ñ""
        ),
        ""√°"", ""á""
      ),
      ""√≥"", ""ó""
    )
  ),
  ""-""
)
"),"Tablet")</f>
        <v>Tablet</v>
      </c>
      <c r="O82" s="22" t="str">
        <f>IFERROR(__xludf.DUMMYFUNCTION("""COMPUTED_VALUE"""),"Mini")</f>
        <v>Mini</v>
      </c>
      <c r="P82" s="22" t="str">
        <f>IFERROR(__xludf.DUMMYFUNCTION("""COMPUTED_VALUE"""),"8GB")</f>
        <v>8GB</v>
      </c>
      <c r="Q82" s="23">
        <f t="shared" si="1"/>
        <v>625.41</v>
      </c>
      <c r="R82" s="22">
        <f t="shared" si="2"/>
        <v>2</v>
      </c>
      <c r="S82" s="23">
        <f t="shared" si="3"/>
        <v>1250.82</v>
      </c>
      <c r="T82" s="22" t="str">
        <f>IFERROR(__xludf.DUMMYFUNCTION("PROPER(TRIM(
  LET(
    texto1, REGEXREPLACE(G82,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"),"Arturo Haro Varela")</f>
        <v>Arturo Haro Varela</v>
      </c>
      <c r="U82" s="22" t="str">
        <f t="shared" si="4"/>
        <v>2feb799d-af20-4c3b-99b5-36c59009058b</v>
      </c>
      <c r="V82" s="24" t="str">
        <f t="shared" si="5"/>
        <v>Tablet Mini 8GB</v>
      </c>
    </row>
    <row r="83" ht="15.75" customHeight="1">
      <c r="A83" s="6">
        <v>45578.0</v>
      </c>
      <c r="B83" s="2" t="s">
        <v>101</v>
      </c>
      <c r="C83" s="2" t="s">
        <v>186</v>
      </c>
      <c r="D83" s="7">
        <v>1664.18</v>
      </c>
      <c r="E83" s="2">
        <v>3.0</v>
      </c>
      <c r="F83" s="7">
        <v>4992.54</v>
      </c>
      <c r="G83" s="2" t="s">
        <v>381</v>
      </c>
      <c r="H83" s="2" t="s">
        <v>382</v>
      </c>
      <c r="I83" s="2" t="s">
        <v>383</v>
      </c>
      <c r="K83" s="25" t="str">
        <f>IFERROR(__xludf.DUMMYFUNCTION("IF(ISBLANK(A83),
  """",
  IF(ISNUMBER(A83),
    TEXT(A83,""dd/mm/yyyy""),
    IF(
      REGEXMATCH(TRIM(A83),""^\d{1,2}/\d{1,2}/\d{4}$""),
      TRIM(A83),
      IFERROR(
        TEXT(DATEVALUE(SUBSTITUTE(SUBSTITUTE(TRIM(A83),""-"",""/""),""."",""/"")),"&amp;"""dd/mm/yyyy""),
        TRIM(A83)
      )
    )
  )
)
"),"13/10/2024")</f>
        <v>13/10/2024</v>
      </c>
      <c r="L83" s="26">
        <v>45578.0</v>
      </c>
      <c r="M83" s="27" t="str">
        <f>IFERROR(__xludf.DUMMYFUNCTION("PROPER(TRIM(
  REGEXREPLACE(
    REGEXREPLACE(
      SUBSTITUTE(SUBSTITUTE(SUBSTITUTE(SUBSTITUTE(SUBSTITUTE(SUBSTITUTE(SUBSTITUTE(SUBSTITUTE(SUBSTITUTE(SUBSTITUTE(SUBSTITUTE(
        B83,""√©"",""é""),""√°"",""á""),""√±"",""ñ""),""√≥"",""ó""),""√â"",""é"""&amp;"),""√Å"",""á""),""√ç"",""í""),""√Ç"",""Í""),""√Â"",""é""),""√≠"",""í""),""√º"",""ú""),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83" s="28" t="str">
        <f>IFERROR(__xludf.DUMMYFUNCTION("SPLIT(
  TRIM(
    SUBSTITUTE(
      SUBSTITUTE(
        SUBSTITUTE(
          SUBSTITUTE(
            C83,
            ""√©"", ""é""
          ),
          ""√±"", ""ñ""
        ),
        ""√°"", ""á""
      ),
      ""√≥"", ""ó""
    )
  ),
  ""-""
)
"),"Tablet")</f>
        <v>Tablet</v>
      </c>
      <c r="O83" s="28" t="str">
        <f>IFERROR(__xludf.DUMMYFUNCTION("""COMPUTED_VALUE"""),"Mini")</f>
        <v>Mini</v>
      </c>
      <c r="P83" s="28" t="str">
        <f>IFERROR(__xludf.DUMMYFUNCTION("""COMPUTED_VALUE"""),"8GB")</f>
        <v>8GB</v>
      </c>
      <c r="Q83" s="29">
        <f t="shared" si="1"/>
        <v>1664.18</v>
      </c>
      <c r="R83" s="28">
        <f t="shared" si="2"/>
        <v>3</v>
      </c>
      <c r="S83" s="29">
        <f t="shared" si="3"/>
        <v>4992.54</v>
      </c>
      <c r="T83" s="28" t="str">
        <f>IFERROR(__xludf.DUMMYFUNCTION("PROPER(TRIM(
  LET(
    texto1, REGEXREPLACE(G83,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"),"Asunción Samaniego")</f>
        <v>Asunción Samaniego</v>
      </c>
      <c r="U83" s="28" t="str">
        <f t="shared" si="4"/>
        <v>4e9e641c-a0d6-4903-8f6e-f87d90c24aa0</v>
      </c>
      <c r="V83" s="30" t="str">
        <f t="shared" si="5"/>
        <v>Tablet Mini 8GB</v>
      </c>
    </row>
    <row r="84" ht="15.75" customHeight="1">
      <c r="A84" s="6">
        <v>45622.0</v>
      </c>
      <c r="B84" s="2" t="s">
        <v>101</v>
      </c>
      <c r="C84" s="2" t="s">
        <v>385</v>
      </c>
      <c r="D84" s="7">
        <v>2229.46</v>
      </c>
      <c r="E84" s="2">
        <v>3.0</v>
      </c>
      <c r="F84" s="7">
        <v>6688.38</v>
      </c>
      <c r="G84" s="2" t="s">
        <v>386</v>
      </c>
      <c r="H84" s="2" t="s">
        <v>387</v>
      </c>
      <c r="I84" s="2" t="s">
        <v>388</v>
      </c>
      <c r="K84" s="19" t="str">
        <f>IFERROR(__xludf.DUMMYFUNCTION("IF(ISBLANK(A84),
  """",
  IF(ISNUMBER(A84),
    TEXT(A84,""dd/mm/yyyy""),
    IF(
      REGEXMATCH(TRIM(A84),""^\d{1,2}/\d{1,2}/\d{4}$""),
      TRIM(A84),
      IFERROR(
        TEXT(DATEVALUE(SUBSTITUTE(SUBSTITUTE(TRIM(A84),""-"",""/""),""."",""/"")),"&amp;"""dd/mm/yyyy""),
        TRIM(A84)
      )
    )
  )
)
"),"26/11/2024")</f>
        <v>26/11/2024</v>
      </c>
      <c r="L84" s="20">
        <v>45622.0</v>
      </c>
      <c r="M84" s="21" t="str">
        <f>IFERROR(__xludf.DUMMYFUNCTION("PROPER(TRIM(
  REGEXREPLACE(
    REGEXREPLACE(
      SUBSTITUTE(SUBSTITUTE(SUBSTITUTE(SUBSTITUTE(SUBSTITUTE(SUBSTITUTE(SUBSTITUTE(SUBSTITUTE(SUBSTITUTE(SUBSTITUTE(SUBSTITUTE(
        B84,""√©"",""é""),""√°"",""á""),""√±"",""ñ""),""√≥"",""ó""),""√â"",""é"""&amp;"),""√Å"",""á""),""√ç"",""í""),""√Ç"",""Í""),""√Â"",""é""),""√≠"",""í""),""√º"",""ú""),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84" s="22" t="str">
        <f>IFERROR(__xludf.DUMMYFUNCTION("SPLIT(
  TRIM(
    SUBSTITUTE(
      SUBSTITUTE(
        SUBSTITUTE(
          SUBSTITUTE(
            C84,
            ""√©"", ""é""
          ),
          ""√±"", ""ñ""
        ),
        ""√°"", ""á""
      ),
      ""√≥"", ""ó""
    )
  ),
  ""-""
)
"),"Tablet")</f>
        <v>Tablet</v>
      </c>
      <c r="O84" s="22" t="str">
        <f>IFERROR(__xludf.DUMMYFUNCTION("""COMPUTED_VALUE"""),"Estándar")</f>
        <v>Estándar</v>
      </c>
      <c r="P84" s="22" t="str">
        <f>IFERROR(__xludf.DUMMYFUNCTION("""COMPUTED_VALUE"""),"32GB")</f>
        <v>32GB</v>
      </c>
      <c r="Q84" s="23">
        <f t="shared" si="1"/>
        <v>2229.46</v>
      </c>
      <c r="R84" s="22">
        <f t="shared" si="2"/>
        <v>3</v>
      </c>
      <c r="S84" s="23">
        <f t="shared" si="3"/>
        <v>6688.38</v>
      </c>
      <c r="T84" s="22" t="str">
        <f>IFERROR(__xludf.DUMMYFUNCTION("PROPER(TRIM(
  LET(
    texto1, REGEXREPLACE(G84,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"),"Paola Leyva Maestas")</f>
        <v>Paola Leyva Maestas</v>
      </c>
      <c r="U84" s="22" t="str">
        <f t="shared" si="4"/>
        <v>dafa21d9-a2ea-4867-b143-31f8243c024c</v>
      </c>
      <c r="V84" s="24" t="str">
        <f t="shared" si="5"/>
        <v>Tablet Estándar 32GB</v>
      </c>
    </row>
    <row r="85" ht="15.75" customHeight="1">
      <c r="A85" s="6">
        <v>45603.0</v>
      </c>
      <c r="B85" s="2" t="s">
        <v>38</v>
      </c>
      <c r="C85" s="2" t="s">
        <v>191</v>
      </c>
      <c r="D85" s="7">
        <v>371.34</v>
      </c>
      <c r="E85" s="2">
        <v>3.0</v>
      </c>
      <c r="F85" s="7">
        <v>1114.02</v>
      </c>
      <c r="G85" s="2" t="s">
        <v>389</v>
      </c>
      <c r="H85" s="2" t="s">
        <v>390</v>
      </c>
      <c r="I85" s="2" t="s">
        <v>391</v>
      </c>
      <c r="K85" s="25" t="str">
        <f>IFERROR(__xludf.DUMMYFUNCTION("IF(ISBLANK(A85),
  """",
  IF(ISNUMBER(A85),
    TEXT(A85,""dd/mm/yyyy""),
    IF(
      REGEXMATCH(TRIM(A85),""^\d{1,2}/\d{1,2}/\d{4}$""),
      TRIM(A85),
      IFERROR(
        TEXT(DATEVALUE(SUBSTITUTE(SUBSTITUTE(TRIM(A85),""-"",""/""),""."",""/"")),"&amp;"""dd/mm/yyyy""),
        TRIM(A85)
      )
    )
  )
)
"),"07/11/2024")</f>
        <v>07/11/2024</v>
      </c>
      <c r="L85" s="26">
        <v>45603.0</v>
      </c>
      <c r="M85" s="27" t="str">
        <f>IFERROR(__xludf.DUMMYFUNCTION("PROPER(TRIM(
  REGEXREPLACE(
    REGEXREPLACE(
      SUBSTITUTE(SUBSTITUTE(SUBSTITUTE(SUBSTITUTE(SUBSTITUTE(SUBSTITUTE(SUBSTITUTE(SUBSTITUTE(SUBSTITUTE(SUBSTITUTE(SUBSTITUTE(
        B85,""√©"",""é""),""√°"",""á""),""√±"",""ñ""),""√≥"",""ó""),""√â"",""é"""&amp;"),""√Å"",""á""),""√ç"",""í""),""√Ç"",""Í""),""√Â"",""é""),""√≠"",""í""),""√º"",""ú""),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85" s="28" t="str">
        <f>IFERROR(__xludf.DUMMYFUNCTION("SPLIT(
  TRIM(
    SUBSTITUTE(
      SUBSTITUTE(
        SUBSTITUTE(
          SUBSTITUTE(
            C85,
            ""√©"", ""é""
          ),
          ""√±"", ""ñ""
        ),
        ""√°"", ""á""
      ),
      ""√≥"", ""ó""
    )
  ),
  ""-""
)
"),"Auriculares")</f>
        <v>Auriculares</v>
      </c>
      <c r="O85" s="28" t="str">
        <f>IFERROR(__xludf.DUMMYFUNCTION("""COMPUTED_VALUE"""),"Cancelación de ruido")</f>
        <v>Cancelación de ruido</v>
      </c>
      <c r="P85" s="28" t="str">
        <f>IFERROR(__xludf.DUMMYFUNCTION("""COMPUTED_VALUE"""),"32GB")</f>
        <v>32GB</v>
      </c>
      <c r="Q85" s="29">
        <f t="shared" si="1"/>
        <v>371.34</v>
      </c>
      <c r="R85" s="28">
        <f t="shared" si="2"/>
        <v>3</v>
      </c>
      <c r="S85" s="29">
        <f t="shared" si="3"/>
        <v>1114.02</v>
      </c>
      <c r="T85" s="28" t="str">
        <f>IFERROR(__xludf.DUMMYFUNCTION("PROPER(TRIM(
  LET(
    texto1, REGEXREPLACE(G85,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"),"René Luna Pineda")</f>
        <v>René Luna Pineda</v>
      </c>
      <c r="U85" s="28" t="str">
        <f t="shared" si="4"/>
        <v>75b08c4a-c440-4f59-a757-c070085c6101</v>
      </c>
      <c r="V85" s="30" t="str">
        <f t="shared" si="5"/>
        <v>Auriculares Cancelación de ruido 32GB</v>
      </c>
    </row>
    <row r="86" ht="15.75" customHeight="1">
      <c r="A86" s="6" t="s">
        <v>392</v>
      </c>
      <c r="B86" s="2" t="s">
        <v>38</v>
      </c>
      <c r="C86" s="2" t="s">
        <v>147</v>
      </c>
      <c r="D86" s="32"/>
      <c r="E86" s="2">
        <v>4.0</v>
      </c>
      <c r="F86" s="7">
        <v>9938.64</v>
      </c>
      <c r="G86" s="2" t="s">
        <v>393</v>
      </c>
      <c r="H86" s="2" t="s">
        <v>394</v>
      </c>
      <c r="I86" s="2" t="s">
        <v>395</v>
      </c>
      <c r="K86" s="19" t="str">
        <f>IFERROR(__xludf.DUMMYFUNCTION("IF(ISBLANK(A86),
  """",
  IF(ISNUMBER(A86),
    TEXT(A86,""dd/mm/yyyy""),
    IF(
      REGEXMATCH(TRIM(A86),""^\d{1,2}/\d{1,2}/\d{4}$""),
      TRIM(A86),
      IFERROR(
        TEXT(DATEVALUE(SUBSTITUTE(SUBSTITUTE(TRIM(A86),""-"",""/""),""."",""/"")),"&amp;"""dd/mm/yyyy""),
        TRIM(A86)
      )
    )
  )
)
"),"13/10/2024")</f>
        <v>13/10/2024</v>
      </c>
      <c r="L86" s="20">
        <v>45578.0</v>
      </c>
      <c r="M86" s="21" t="str">
        <f>IFERROR(__xludf.DUMMYFUNCTION("PROPER(TRIM(
  REGEXREPLACE(
    REGEXREPLACE(
      SUBSTITUTE(SUBSTITUTE(SUBSTITUTE(SUBSTITUTE(SUBSTITUTE(SUBSTITUTE(SUBSTITUTE(SUBSTITUTE(SUBSTITUTE(SUBSTITUTE(SUBSTITUTE(
        B86,""√©"",""é""),""√°"",""á""),""√±"",""ñ""),""√≥"",""ó""),""√â"",""é"""&amp;"),""√Å"",""á""),""√ç"",""í""),""√Ç"",""Í""),""√Â"",""é""),""√≠"",""í""),""√º"",""ú""),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86" s="22" t="str">
        <f>IFERROR(__xludf.DUMMYFUNCTION("SPLIT(
  TRIM(
    SUBSTITUTE(
      SUBSTITUTE(
        SUBSTITUTE(
          SUBSTITUTE(
            C86,
            ""√©"", ""é""
          ),
          ""√±"", ""ñ""
        ),
        ""√°"", ""á""
      ),
      ""√≥"", ""ó""
    )
  ),
  ""-""
)
"),"Laptop")</f>
        <v>Laptop</v>
      </c>
      <c r="O86" s="22" t="str">
        <f>IFERROR(__xludf.DUMMYFUNCTION("""COMPUTED_VALUE"""),"Oficina")</f>
        <v>Oficina</v>
      </c>
      <c r="P86" s="22" t="str">
        <f>IFERROR(__xludf.DUMMYFUNCTION("""COMPUTED_VALUE"""),"16GB")</f>
        <v>16GB</v>
      </c>
      <c r="Q86" s="35" t="str">
        <f t="shared" si="1"/>
        <v>0</v>
      </c>
      <c r="R86" s="22">
        <f t="shared" si="2"/>
        <v>4</v>
      </c>
      <c r="S86" s="23">
        <f t="shared" si="3"/>
        <v>9938.64</v>
      </c>
      <c r="T86" s="22" t="str">
        <f>IFERROR(__xludf.DUMMYFUNCTION("PROPER(TRIM(
  LET(
    texto1, REGEXREPLACE(G86,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"),"Israel De Anda Rodríguez")</f>
        <v>Israel De Anda Rodríguez</v>
      </c>
      <c r="U86" s="22" t="str">
        <f t="shared" si="4"/>
        <v>7da07b63-351f-4e52-aa15-8e1320b57edf</v>
      </c>
      <c r="V86" s="24" t="str">
        <f t="shared" si="5"/>
        <v>Laptop Oficina 16GB</v>
      </c>
    </row>
    <row r="87" ht="15.75" customHeight="1">
      <c r="A87" s="6" t="s">
        <v>396</v>
      </c>
      <c r="B87" s="2" t="s">
        <v>38</v>
      </c>
      <c r="C87" s="2" t="s">
        <v>397</v>
      </c>
      <c r="D87" s="7">
        <v>271.58</v>
      </c>
      <c r="E87" s="2">
        <v>5.0</v>
      </c>
      <c r="F87" s="7">
        <v>1357.9</v>
      </c>
      <c r="G87" s="2" t="s">
        <v>398</v>
      </c>
      <c r="H87" s="2" t="s">
        <v>399</v>
      </c>
      <c r="I87" s="2" t="s">
        <v>400</v>
      </c>
      <c r="K87" s="25" t="str">
        <f>IFERROR(__xludf.DUMMYFUNCTION("IF(ISBLANK(A87),
  """",
  IF(ISNUMBER(A87),
    TEXT(A87,""dd/mm/yyyy""),
    IF(
      REGEXMATCH(TRIM(A87),""^\d{1,2}/\d{1,2}/\d{4}$""),
      TRIM(A87),
      IFERROR(
        TEXT(DATEVALUE(SUBSTITUTE(SUBSTITUTE(TRIM(A87),""-"",""/""),""."",""/"")),"&amp;"""dd/mm/yyyy""),
        TRIM(A87)
      )
    )
  )
)
"),"29/10/2024")</f>
        <v>29/10/2024</v>
      </c>
      <c r="L87" s="26">
        <v>45594.0</v>
      </c>
      <c r="M87" s="27" t="str">
        <f>IFERROR(__xludf.DUMMYFUNCTION("PROPER(TRIM(
  REGEXREPLACE(
    REGEXREPLACE(
      SUBSTITUTE(SUBSTITUTE(SUBSTITUTE(SUBSTITUTE(SUBSTITUTE(SUBSTITUTE(SUBSTITUTE(SUBSTITUTE(SUBSTITUTE(SUBSTITUTE(SUBSTITUTE(
        B87,""√©"",""é""),""√°"",""á""),""√±"",""ñ""),""√≥"",""ó""),""√â"",""é"""&amp;"),""√Å"",""á""),""√ç"",""í""),""√Ç"",""Í""),""√Â"",""é""),""√≠"",""í""),""√º"",""ú""),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87" s="28" t="str">
        <f>IFERROR(__xludf.DUMMYFUNCTION("SPLIT(
  TRIM(
    SUBSTITUTE(
      SUBSTITUTE(
        SUBSTITUTE(
          SUBSTITUTE(
            C87,
            ""√©"", ""é""
          ),
          ""√±"", ""ñ""
        ),
        ""√°"", ""á""
      ),
      ""√≥"", ""ó""
    )
  ),
  ""-""
)
"),"Teléfono")</f>
        <v>Teléfono</v>
      </c>
      <c r="O87" s="28" t="str">
        <f>IFERROR(__xludf.DUMMYFUNCTION("""COMPUTED_VALUE"""),"Gama media")</f>
        <v>Gama media</v>
      </c>
      <c r="P87" s="28" t="str">
        <f>IFERROR(__xludf.DUMMYFUNCTION("""COMPUTED_VALUE"""),"32GB")</f>
        <v>32GB</v>
      </c>
      <c r="Q87" s="29">
        <f t="shared" si="1"/>
        <v>271.58</v>
      </c>
      <c r="R87" s="28">
        <f t="shared" si="2"/>
        <v>5</v>
      </c>
      <c r="S87" s="29">
        <f t="shared" si="3"/>
        <v>1357.9</v>
      </c>
      <c r="T87" s="28" t="str">
        <f>IFERROR(__xludf.DUMMYFUNCTION("PROPER(TRIM(
  LET(
    texto1, REGEXREPLACE(G87,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"),"Benito Carla Cano Olvera")</f>
        <v>Benito Carla Cano Olvera</v>
      </c>
      <c r="U87" s="28" t="str">
        <f t="shared" si="4"/>
        <v>7f6c0f86-6158-4f16-8105-a9407f403fe9</v>
      </c>
      <c r="V87" s="30" t="str">
        <f t="shared" si="5"/>
        <v>Teléfono Gama media 32GB</v>
      </c>
    </row>
    <row r="88" ht="15.75" customHeight="1">
      <c r="A88" s="6">
        <v>45616.0</v>
      </c>
      <c r="B88" s="2" t="s">
        <v>27</v>
      </c>
      <c r="C88" s="2" t="s">
        <v>181</v>
      </c>
      <c r="D88" s="7">
        <v>2371.6</v>
      </c>
      <c r="E88" s="2">
        <v>2.0</v>
      </c>
      <c r="F88" s="7">
        <v>4743.2</v>
      </c>
      <c r="G88" s="2" t="s">
        <v>402</v>
      </c>
      <c r="H88" s="2" t="s">
        <v>403</v>
      </c>
      <c r="I88" s="2" t="s">
        <v>404</v>
      </c>
      <c r="K88" s="19" t="str">
        <f>IFERROR(__xludf.DUMMYFUNCTION("IF(ISBLANK(A88),
  """",
  IF(ISNUMBER(A88),
    TEXT(A88,""dd/mm/yyyy""),
    IF(
      REGEXMATCH(TRIM(A88),""^\d{1,2}/\d{1,2}/\d{4}$""),
      TRIM(A88),
      IFERROR(
        TEXT(DATEVALUE(SUBSTITUTE(SUBSTITUTE(TRIM(A88),""-"",""/""),""."",""/"")),"&amp;"""dd/mm/yyyy""),
        TRIM(A88)
      )
    )
  )
)
"),"20/11/2024")</f>
        <v>20/11/2024</v>
      </c>
      <c r="L88" s="20">
        <v>45616.0</v>
      </c>
      <c r="M88" s="21" t="str">
        <f>IFERROR(__xludf.DUMMYFUNCTION("PROPER(TRIM(
  REGEXREPLACE(
    REGEXREPLACE(
      SUBSTITUTE(SUBSTITUTE(SUBSTITUTE(SUBSTITUTE(SUBSTITUTE(SUBSTITUTE(SUBSTITUTE(SUBSTITUTE(SUBSTITUTE(SUBSTITUTE(SUBSTITUTE(
        B88,""√©"",""é""),""√°"",""á""),""√±"",""ñ""),""√≥"",""ó""),""√â"",""é"""&amp;"),""√Å"",""á""),""√ç"",""í""),""√Ç"",""Í""),""√Â"",""é""),""√≠"",""í""),""√º"",""ú""),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88" s="22" t="str">
        <f>IFERROR(__xludf.DUMMYFUNCTION("SPLIT(
  TRIM(
    SUBSTITUTE(
      SUBSTITUTE(
        SUBSTITUTE(
          SUBSTITUTE(
            C88,
            ""√©"", ""é""
          ),
          ""√±"", ""ñ""
        ),
        ""√°"", ""á""
      ),
      ""√≥"", ""ó""
    )
  ),
  ""-""
)
"),"Laptop")</f>
        <v>Laptop</v>
      </c>
      <c r="O88" s="22" t="str">
        <f>IFERROR(__xludf.DUMMYFUNCTION("""COMPUTED_VALUE"""),"Ultraliviana")</f>
        <v>Ultraliviana</v>
      </c>
      <c r="P88" s="22" t="str">
        <f>IFERROR(__xludf.DUMMYFUNCTION("""COMPUTED_VALUE"""),"4GB")</f>
        <v>4GB</v>
      </c>
      <c r="Q88" s="23">
        <f t="shared" si="1"/>
        <v>2371.6</v>
      </c>
      <c r="R88" s="22">
        <f t="shared" si="2"/>
        <v>2</v>
      </c>
      <c r="S88" s="23">
        <f t="shared" si="3"/>
        <v>4743.2</v>
      </c>
      <c r="T88" s="22" t="str">
        <f>IFERROR(__xludf.DUMMYFUNCTION("PROPER(TRIM(
  LET(
    texto1, REGEXREPLACE(G88,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"),"Timoteo Abelardo Urías Niño")</f>
        <v>Timoteo Abelardo Urías Niño</v>
      </c>
      <c r="U88" s="22" t="str">
        <f t="shared" si="4"/>
        <v>279ccf00-0de5-4813-a6ed-58a52bc1a5ad</v>
      </c>
      <c r="V88" s="24" t="str">
        <f t="shared" si="5"/>
        <v>Laptop Ultraliviana 4GB</v>
      </c>
    </row>
    <row r="89" ht="15.75" customHeight="1">
      <c r="A89" s="6">
        <v>45587.0</v>
      </c>
      <c r="B89" s="2" t="s">
        <v>38</v>
      </c>
      <c r="C89" s="2" t="s">
        <v>147</v>
      </c>
      <c r="D89" s="7">
        <v>2392.65</v>
      </c>
      <c r="E89" s="2">
        <v>4.0</v>
      </c>
      <c r="F89" s="7">
        <v>9570.6</v>
      </c>
      <c r="G89" s="2" t="s">
        <v>406</v>
      </c>
      <c r="H89" s="2" t="s">
        <v>407</v>
      </c>
      <c r="I89" s="2" t="s">
        <v>408</v>
      </c>
      <c r="K89" s="25" t="str">
        <f>IFERROR(__xludf.DUMMYFUNCTION("IF(ISBLANK(A89),
  """",
  IF(ISNUMBER(A89),
    TEXT(A89,""dd/mm/yyyy""),
    IF(
      REGEXMATCH(TRIM(A89),""^\d{1,2}/\d{1,2}/\d{4}$""),
      TRIM(A89),
      IFERROR(
        TEXT(DATEVALUE(SUBSTITUTE(SUBSTITUTE(TRIM(A89),""-"",""/""),""."",""/"")),"&amp;"""dd/mm/yyyy""),
        TRIM(A89)
      )
    )
  )
)
"),"22/10/2024")</f>
        <v>22/10/2024</v>
      </c>
      <c r="L89" s="26">
        <v>45587.0</v>
      </c>
      <c r="M89" s="27" t="str">
        <f>IFERROR(__xludf.DUMMYFUNCTION("PROPER(TRIM(
  REGEXREPLACE(
    REGEXREPLACE(
      SUBSTITUTE(SUBSTITUTE(SUBSTITUTE(SUBSTITUTE(SUBSTITUTE(SUBSTITUTE(SUBSTITUTE(SUBSTITUTE(SUBSTITUTE(SUBSTITUTE(SUBSTITUTE(
        B89,""√©"",""é""),""√°"",""á""),""√±"",""ñ""),""√≥"",""ó""),""√â"",""é"""&amp;"),""√Å"",""á""),""√ç"",""í""),""√Ç"",""Í""),""√Â"",""é""),""√≠"",""í""),""√º"",""ú""),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89" s="28" t="str">
        <f>IFERROR(__xludf.DUMMYFUNCTION("SPLIT(
  TRIM(
    SUBSTITUTE(
      SUBSTITUTE(
        SUBSTITUTE(
          SUBSTITUTE(
            C89,
            ""√©"", ""é""
          ),
          ""√±"", ""ñ""
        ),
        ""√°"", ""á""
      ),
      ""√≥"", ""ó""
    )
  ),
  ""-""
)
"),"Laptop")</f>
        <v>Laptop</v>
      </c>
      <c r="O89" s="28" t="str">
        <f>IFERROR(__xludf.DUMMYFUNCTION("""COMPUTED_VALUE"""),"Oficina")</f>
        <v>Oficina</v>
      </c>
      <c r="P89" s="28" t="str">
        <f>IFERROR(__xludf.DUMMYFUNCTION("""COMPUTED_VALUE"""),"16GB")</f>
        <v>16GB</v>
      </c>
      <c r="Q89" s="29">
        <f t="shared" si="1"/>
        <v>2392.65</v>
      </c>
      <c r="R89" s="28">
        <f t="shared" si="2"/>
        <v>4</v>
      </c>
      <c r="S89" s="29">
        <f t="shared" si="3"/>
        <v>9570.6</v>
      </c>
      <c r="T89" s="28" t="str">
        <f>IFERROR(__xludf.DUMMYFUNCTION("PROPER(TRIM(
  LET(
    texto1, REGEXREPLACE(G89,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"),"Julia Gonzalo Armendáriz")</f>
        <v>Julia Gonzalo Armendáriz</v>
      </c>
      <c r="U89" s="28" t="str">
        <f t="shared" si="4"/>
        <v>ce229233-81ec-4127-be94-95ce93175cd4</v>
      </c>
      <c r="V89" s="30" t="str">
        <f t="shared" si="5"/>
        <v>Laptop Oficina 16GB</v>
      </c>
    </row>
    <row r="90" ht="15.75" customHeight="1">
      <c r="A90" s="6">
        <v>45617.0</v>
      </c>
      <c r="B90" s="2" t="s">
        <v>101</v>
      </c>
      <c r="C90" s="2" t="s">
        <v>22</v>
      </c>
      <c r="D90" s="7">
        <v>1738.96</v>
      </c>
      <c r="E90" s="2">
        <v>4.0</v>
      </c>
      <c r="F90" s="7">
        <v>6955.84</v>
      </c>
      <c r="G90" s="2" t="s">
        <v>410</v>
      </c>
      <c r="H90" s="2" t="s">
        <v>411</v>
      </c>
      <c r="I90" s="2" t="s">
        <v>412</v>
      </c>
      <c r="K90" s="19" t="str">
        <f>IFERROR(__xludf.DUMMYFUNCTION("IF(ISBLANK(A90),
  """",
  IF(ISNUMBER(A90),
    TEXT(A90,""dd/mm/yyyy""),
    IF(
      REGEXMATCH(TRIM(A90),""^\d{1,2}/\d{1,2}/\d{4}$""),
      TRIM(A90),
      IFERROR(
        TEXT(DATEVALUE(SUBSTITUTE(SUBSTITUTE(TRIM(A90),""-"",""/""),""."",""/"")),"&amp;"""dd/mm/yyyy""),
        TRIM(A90)
      )
    )
  )
)
"),"21/11/2024")</f>
        <v>21/11/2024</v>
      </c>
      <c r="L90" s="20">
        <v>45617.0</v>
      </c>
      <c r="M90" s="21" t="str">
        <f>IFERROR(__xludf.DUMMYFUNCTION("PROPER(TRIM(
  REGEXREPLACE(
    REGEXREPLACE(
      SUBSTITUTE(SUBSTITUTE(SUBSTITUTE(SUBSTITUTE(SUBSTITUTE(SUBSTITUTE(SUBSTITUTE(SUBSTITUTE(SUBSTITUTE(SUBSTITUTE(SUBSTITUTE(
        B90,""√©"",""é""),""√°"",""á""),""√±"",""ñ""),""√≥"",""ó""),""√â"",""é"""&amp;"),""√Å"",""á""),""√ç"",""í""),""√Ç"",""Í""),""√Â"",""é""),""√≠"",""í""),""√º"",""ú""),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90" s="22" t="str">
        <f>IFERROR(__xludf.DUMMYFUNCTION("SPLIT(
  TRIM(
    SUBSTITUTE(
      SUBSTITUTE(
        SUBSTITUTE(
          SUBSTITUTE(
            C90,
            ""√©"", ""é""
          ),
          ""√±"", ""ñ""
        ),
        ""√°"", ""á""
      ),
      ""√≥"", ""ó""
    )
  ),
  ""-""
)
"),"Laptop")</f>
        <v>Laptop</v>
      </c>
      <c r="O90" s="22" t="str">
        <f>IFERROR(__xludf.DUMMYFUNCTION("""COMPUTED_VALUE"""),"Gaming")</f>
        <v>Gaming</v>
      </c>
      <c r="P90" s="22" t="str">
        <f>IFERROR(__xludf.DUMMYFUNCTION("""COMPUTED_VALUE"""),"32GB")</f>
        <v>32GB</v>
      </c>
      <c r="Q90" s="23">
        <f t="shared" si="1"/>
        <v>1738.96</v>
      </c>
      <c r="R90" s="22">
        <f t="shared" si="2"/>
        <v>4</v>
      </c>
      <c r="S90" s="23">
        <f t="shared" si="3"/>
        <v>6955.84</v>
      </c>
      <c r="T90" s="22" t="str">
        <f>IFERROR(__xludf.DUMMYFUNCTION("PROPER(TRIM(
  LET(
    texto1, REGEXREPLACE(G90,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"),"Carlota Julio De Jess")</f>
        <v>Carlota Julio De Jess</v>
      </c>
      <c r="U90" s="22" t="str">
        <f t="shared" si="4"/>
        <v>17ce4fbf-b0f5-4e3b-aeb9-956b5c881168</v>
      </c>
      <c r="V90" s="24" t="str">
        <f t="shared" si="5"/>
        <v>Laptop Gaming 32GB</v>
      </c>
    </row>
    <row r="91" ht="15.75" customHeight="1">
      <c r="A91" s="6" t="s">
        <v>413</v>
      </c>
      <c r="B91" s="2" t="s">
        <v>38</v>
      </c>
      <c r="C91" s="2" t="s">
        <v>39</v>
      </c>
      <c r="D91" s="7">
        <v>1877.63</v>
      </c>
      <c r="E91" s="2">
        <v>2.0</v>
      </c>
      <c r="F91" s="7">
        <v>3755.26</v>
      </c>
      <c r="G91" s="2" t="s">
        <v>414</v>
      </c>
      <c r="H91" s="2" t="s">
        <v>415</v>
      </c>
      <c r="I91" s="2" t="s">
        <v>416</v>
      </c>
      <c r="K91" s="25" t="str">
        <f>IFERROR(__xludf.DUMMYFUNCTION("IF(ISBLANK(A91),
  """",
  IF(ISNUMBER(A91),
    TEXT(A91,""dd/mm/yyyy""),
    IF(
      REGEXMATCH(TRIM(A91),""^\d{1,2}/\d{1,2}/\d{4}$""),
      TRIM(A91),
      IFERROR(
        TEXT(DATEVALUE(SUBSTITUTE(SUBSTITUTE(TRIM(A91),""-"",""/""),""."",""/"")),"&amp;"""dd/mm/yyyy""),
        TRIM(A91)
      )
    )
  )
)
"),"23/11/2024")</f>
        <v>23/11/2024</v>
      </c>
      <c r="L91" s="26">
        <v>45619.0</v>
      </c>
      <c r="M91" s="27" t="str">
        <f>IFERROR(__xludf.DUMMYFUNCTION("PROPER(TRIM(
  REGEXREPLACE(
    REGEXREPLACE(
      SUBSTITUTE(SUBSTITUTE(SUBSTITUTE(SUBSTITUTE(SUBSTITUTE(SUBSTITUTE(SUBSTITUTE(SUBSTITUTE(SUBSTITUTE(SUBSTITUTE(SUBSTITUTE(
        B91,""√©"",""é""),""√°"",""á""),""√±"",""ñ""),""√≥"",""ó""),""√â"",""é"""&amp;"),""√Å"",""á""),""√ç"",""í""),""√Ç"",""Í""),""√Â"",""é""),""√≠"",""í""),""√º"",""ú""),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91" s="28" t="str">
        <f>IFERROR(__xludf.DUMMYFUNCTION("SPLIT(
  TRIM(
    SUBSTITUTE(
      SUBSTITUTE(
        SUBSTITUTE(
          SUBSTITUTE(
            C91,
            ""√©"", ""é""
          ),
          ""√±"", ""ñ""
        ),
        ""√°"", ""á""
      ),
      ""√≥"", ""ó""
    )
  ),
  ""-""
)
"),"Teléfono")</f>
        <v>Teléfono</v>
      </c>
      <c r="O91" s="28" t="str">
        <f>IFERROR(__xludf.DUMMYFUNCTION("""COMPUTED_VALUE"""),"Gama alta")</f>
        <v>Gama alta</v>
      </c>
      <c r="P91" s="28" t="str">
        <f>IFERROR(__xludf.DUMMYFUNCTION("""COMPUTED_VALUE"""),"8GB")</f>
        <v>8GB</v>
      </c>
      <c r="Q91" s="29">
        <f t="shared" si="1"/>
        <v>1877.63</v>
      </c>
      <c r="R91" s="28">
        <f t="shared" si="2"/>
        <v>2</v>
      </c>
      <c r="S91" s="29">
        <f t="shared" si="3"/>
        <v>3755.26</v>
      </c>
      <c r="T91" s="28" t="str">
        <f>IFERROR(__xludf.DUMMYFUNCTION("PROPER(TRIM(
  LET(
    texto1, REGEXREPLACE(G91,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"),"Abelardo Cynthia Crespo")</f>
        <v>Abelardo Cynthia Crespo</v>
      </c>
      <c r="U91" s="28" t="str">
        <f t="shared" si="4"/>
        <v>bfef5ecf-9029-4f0b-9ca9-4cce9f340385</v>
      </c>
      <c r="V91" s="30" t="str">
        <f t="shared" si="5"/>
        <v>Teléfono Gama alta 8GB</v>
      </c>
    </row>
    <row r="92" ht="15.75" customHeight="1">
      <c r="A92" s="6">
        <v>45647.0</v>
      </c>
      <c r="B92" s="2" t="s">
        <v>27</v>
      </c>
      <c r="C92" s="2" t="s">
        <v>191</v>
      </c>
      <c r="D92" s="7">
        <v>1547.71</v>
      </c>
      <c r="E92" s="2">
        <v>5.0</v>
      </c>
      <c r="F92" s="7">
        <v>7738.55</v>
      </c>
      <c r="G92" s="2" t="s">
        <v>418</v>
      </c>
      <c r="H92" s="2" t="s">
        <v>419</v>
      </c>
      <c r="I92" s="2" t="s">
        <v>420</v>
      </c>
      <c r="K92" s="19" t="str">
        <f>IFERROR(__xludf.DUMMYFUNCTION("IF(ISBLANK(A92),
  """",
  IF(ISNUMBER(A92),
    TEXT(A92,""dd/mm/yyyy""),
    IF(
      REGEXMATCH(TRIM(A92),""^\d{1,2}/\d{1,2}/\d{4}$""),
      TRIM(A92),
      IFERROR(
        TEXT(DATEVALUE(SUBSTITUTE(SUBSTITUTE(TRIM(A92),""-"",""/""),""."",""/"")),"&amp;"""dd/mm/yyyy""),
        TRIM(A92)
      )
    )
  )
)
"),"21/12/2024")</f>
        <v>21/12/2024</v>
      </c>
      <c r="L92" s="20">
        <v>45647.0</v>
      </c>
      <c r="M92" s="21" t="str">
        <f>IFERROR(__xludf.DUMMYFUNCTION("PROPER(TRIM(
  REGEXREPLACE(
    REGEXREPLACE(
      SUBSTITUTE(SUBSTITUTE(SUBSTITUTE(SUBSTITUTE(SUBSTITUTE(SUBSTITUTE(SUBSTITUTE(SUBSTITUTE(SUBSTITUTE(SUBSTITUTE(SUBSTITUTE(
        B92,""√©"",""é""),""√°"",""á""),""√±"",""ñ""),""√≥"",""ó""),""√â"",""é"""&amp;"),""√Å"",""á""),""√ç"",""í""),""√Ç"",""Í""),""√Â"",""é""),""√≠"",""í""),""√º"",""ú""),
      ""[,\\.√]"",""""),
    ""\\s+"","" "")
))
"),"Medellín")</f>
        <v>Medellín</v>
      </c>
      <c r="N92" s="22" t="str">
        <f>IFERROR(__xludf.DUMMYFUNCTION("SPLIT(
  TRIM(
    SUBSTITUTE(
      SUBSTITUTE(
        SUBSTITUTE(
          SUBSTITUTE(
            C92,
            ""√©"", ""é""
          ),
          ""√±"", ""ñ""
        ),
        ""√°"", ""á""
      ),
      ""√≥"", ""ó""
    )
  ),
  ""-""
)
"),"Auriculares")</f>
        <v>Auriculares</v>
      </c>
      <c r="O92" s="22" t="str">
        <f>IFERROR(__xludf.DUMMYFUNCTION("""COMPUTED_VALUE"""),"Cancelación de ruido")</f>
        <v>Cancelación de ruido</v>
      </c>
      <c r="P92" s="22" t="str">
        <f>IFERROR(__xludf.DUMMYFUNCTION("""COMPUTED_VALUE"""),"32GB")</f>
        <v>32GB</v>
      </c>
      <c r="Q92" s="23">
        <f t="shared" si="1"/>
        <v>1547.71</v>
      </c>
      <c r="R92" s="22">
        <f t="shared" si="2"/>
        <v>5</v>
      </c>
      <c r="S92" s="23">
        <f t="shared" si="3"/>
        <v>7738.55</v>
      </c>
      <c r="T92" s="22" t="str">
        <f>IFERROR(__xludf.DUMMYFUNCTION("PROPER(TRIM(
  LET(
    texto1, REGEXREPLACE(G92,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"),"Susana Juárez")</f>
        <v>Susana Juárez</v>
      </c>
      <c r="U92" s="22" t="str">
        <f t="shared" si="4"/>
        <v>dca0f25c-824a-4634-827c-d385dafa7123</v>
      </c>
      <c r="V92" s="24" t="str">
        <f t="shared" si="5"/>
        <v>Auriculares Cancelación de ruido 32GB</v>
      </c>
    </row>
    <row r="93" ht="15.75" customHeight="1">
      <c r="A93" s="6" t="s">
        <v>421</v>
      </c>
      <c r="B93" s="2" t="s">
        <v>85</v>
      </c>
      <c r="C93" s="2" t="s">
        <v>116</v>
      </c>
      <c r="D93" s="7">
        <v>1254.72</v>
      </c>
      <c r="E93" s="2">
        <v>2.0</v>
      </c>
      <c r="F93" s="7">
        <v>2509.44</v>
      </c>
      <c r="G93" s="2" t="s">
        <v>422</v>
      </c>
      <c r="H93" s="2" t="s">
        <v>423</v>
      </c>
      <c r="I93" s="2" t="s">
        <v>424</v>
      </c>
      <c r="K93" s="25" t="str">
        <f>IFERROR(__xludf.DUMMYFUNCTION("IF(ISBLANK(A93),
  """",
  IF(ISNUMBER(A93),
    TEXT(A93,""dd/mm/yyyy""),
    IF(
      REGEXMATCH(TRIM(A93),""^\d{1,2}/\d{1,2}/\d{4}$""),
      TRIM(A93),
      IFERROR(
        TEXT(DATEVALUE(SUBSTITUTE(SUBSTITUTE(TRIM(A93),""-"",""/""),""."",""/"")),"&amp;"""dd/mm/yyyy""),
        TRIM(A93)
      )
    )
  )
)
"),"30/11/2024")</f>
        <v>30/11/2024</v>
      </c>
      <c r="L93" s="26">
        <v>45626.0</v>
      </c>
      <c r="M93" s="27" t="str">
        <f>IFERROR(__xludf.DUMMYFUNCTION("PROPER(TRIM(
  REGEXREPLACE(
    REGEXREPLACE(
      SUBSTITUTE(SUBSTITUTE(SUBSTITUTE(SUBSTITUTE(SUBSTITUTE(SUBSTITUTE(SUBSTITUTE(SUBSTITUTE(SUBSTITUTE(SUBSTITUTE(SUBSTITUTE(
        B93,""√©"",""é""),""√°"",""á""),""√±"",""ñ""),""√≥"",""ó""),""√â"",""é"""&amp;"),""√Å"",""á""),""√ç"",""í""),""√Ç"",""Í""),""√Â"",""é""),""√≠"",""í""),""√º"",""ú""),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93" s="28" t="str">
        <f>IFERROR(__xludf.DUMMYFUNCTION("SPLIT(
  TRIM(
    SUBSTITUTE(
      SUBSTITUTE(
        SUBSTITUTE(
          SUBSTITUTE(
            C93,
            ""√©"", ""é""
          ),
          ""√±"", ""ñ""
        ),
        ""√°"", ""á""
      ),
      ""√≥"", ""ó""
    )
  ),
  ""-""
)
"),"Teléfono")</f>
        <v>Teléfono</v>
      </c>
      <c r="O93" s="28" t="str">
        <f>IFERROR(__xludf.DUMMYFUNCTION("""COMPUTED_VALUE"""),"Gama media")</f>
        <v>Gama media</v>
      </c>
      <c r="P93" s="28" t="str">
        <f>IFERROR(__xludf.DUMMYFUNCTION("""COMPUTED_VALUE"""),"4GB")</f>
        <v>4GB</v>
      </c>
      <c r="Q93" s="29">
        <f t="shared" si="1"/>
        <v>1254.72</v>
      </c>
      <c r="R93" s="28">
        <f t="shared" si="2"/>
        <v>2</v>
      </c>
      <c r="S93" s="29">
        <f t="shared" si="3"/>
        <v>2509.44</v>
      </c>
      <c r="T93" s="28" t="str">
        <f>IFERROR(__xludf.DUMMYFUNCTION("PROPER(TRIM(
  LET(
    texto1, REGEXREPLACE(G93,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"),"Claudio Laura Corona Cordero")</f>
        <v>Claudio Laura Corona Cordero</v>
      </c>
      <c r="U93" s="28" t="str">
        <f t="shared" si="4"/>
        <v>b3a633a5-e62e-4c18-a2a7-1e1b9a949d2a</v>
      </c>
      <c r="V93" s="30" t="str">
        <f t="shared" si="5"/>
        <v>Teléfono Gama media 4GB</v>
      </c>
    </row>
    <row r="94" ht="15.75" customHeight="1">
      <c r="A94" s="6" t="s">
        <v>425</v>
      </c>
      <c r="B94" s="2" t="s">
        <v>101</v>
      </c>
      <c r="C94" s="2" t="s">
        <v>235</v>
      </c>
      <c r="D94" s="7">
        <v>2087.84</v>
      </c>
      <c r="E94" s="2">
        <v>1.0</v>
      </c>
      <c r="F94" s="7">
        <v>2087.84</v>
      </c>
      <c r="G94" s="2" t="s">
        <v>426</v>
      </c>
      <c r="H94" s="2" t="s">
        <v>427</v>
      </c>
      <c r="I94" s="2" t="s">
        <v>428</v>
      </c>
      <c r="K94" s="19" t="str">
        <f>IFERROR(__xludf.DUMMYFUNCTION("IF(ISBLANK(A94),
  """",
  IF(ISNUMBER(A94),
    TEXT(A94,""dd/mm/yyyy""),
    IF(
      REGEXMATCH(TRIM(A94),""^\d{1,2}/\d{1,2}/\d{4}$""),
      TRIM(A94),
      IFERROR(
        TEXT(DATEVALUE(SUBSTITUTE(SUBSTITUTE(TRIM(A94),""-"",""/""),""."",""/"")),"&amp;"""dd/mm/yyyy""),
        TRIM(A94)
      )
    )
  )
)
"),"28/12/2024")</f>
        <v>28/12/2024</v>
      </c>
      <c r="L94" s="20">
        <v>45654.0</v>
      </c>
      <c r="M94" s="21" t="str">
        <f>IFERROR(__xludf.DUMMYFUNCTION("PROPER(TRIM(
  REGEXREPLACE(
    REGEXREPLACE(
      SUBSTITUTE(SUBSTITUTE(SUBSTITUTE(SUBSTITUTE(SUBSTITUTE(SUBSTITUTE(SUBSTITUTE(SUBSTITUTE(SUBSTITUTE(SUBSTITUTE(SUBSTITUTE(
        B94,""√©"",""é""),""√°"",""á""),""√±"",""ñ""),""√≥"",""ó""),""√â"",""é"""&amp;"),""√Å"",""á""),""√ç"",""í""),""√Ç"",""Í""),""√Â"",""é""),""√≠"",""í""),""√º"",""ú""),
      ""[,\\.√]"",""""),
    ""\\s+"","" "")
))
"),"Monterrey")</f>
        <v>Monterrey</v>
      </c>
      <c r="N94" s="22" t="str">
        <f>IFERROR(__xludf.DUMMYFUNCTION("SPLIT(
  TRIM(
    SUBSTITUTE(
      SUBSTITUTE(
        SUBSTITUTE(
          SUBSTITUTE(
            C94,
            ""√©"", ""é""
          ),
          ""√±"", ""ñ""
        ),
        ""√°"", ""á""
      ),
      ""√≥"", ""ó""
    )
  ),
  ""-""
)
"),"Tablet")</f>
        <v>Tablet</v>
      </c>
      <c r="O94" s="22" t="str">
        <f>IFERROR(__xludf.DUMMYFUNCTION("""COMPUTED_VALUE"""),"Estándar")</f>
        <v>Estándar</v>
      </c>
      <c r="P94" s="22" t="str">
        <f>IFERROR(__xludf.DUMMYFUNCTION("""COMPUTED_VALUE"""),"4GB")</f>
        <v>4GB</v>
      </c>
      <c r="Q94" s="23">
        <f t="shared" si="1"/>
        <v>2087.84</v>
      </c>
      <c r="R94" s="22">
        <f t="shared" si="2"/>
        <v>1</v>
      </c>
      <c r="S94" s="23">
        <f t="shared" si="3"/>
        <v>2087.84</v>
      </c>
      <c r="T94" s="22" t="str">
        <f>IFERROR(__xludf.DUMMYFUNCTION("PROPER(TRIM(
  LET(
    texto1, REGEXREPLACE(G94,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"),"Anabel Gonzalo Pedroza")</f>
        <v>Anabel Gonzalo Pedroza</v>
      </c>
      <c r="U94" s="22" t="str">
        <f t="shared" si="4"/>
        <v>3c3a1e13-f9c9-448a-91f3-059857dd86f5</v>
      </c>
      <c r="V94" s="24" t="str">
        <f t="shared" si="5"/>
        <v>Tablet Estándar 4GB</v>
      </c>
    </row>
    <row r="95" ht="15.75" customHeight="1">
      <c r="A95" s="6">
        <v>45619.0</v>
      </c>
      <c r="B95" s="2" t="s">
        <v>85</v>
      </c>
      <c r="C95" s="2" t="s">
        <v>39</v>
      </c>
      <c r="D95" s="32"/>
      <c r="E95" s="2">
        <v>3.0</v>
      </c>
      <c r="F95" s="7">
        <v>4978.62</v>
      </c>
      <c r="G95" s="2" t="s">
        <v>430</v>
      </c>
      <c r="H95" s="2" t="s">
        <v>431</v>
      </c>
      <c r="I95" s="2" t="s">
        <v>432</v>
      </c>
      <c r="K95" s="25" t="str">
        <f>IFERROR(__xludf.DUMMYFUNCTION("IF(ISBLANK(A95),
  """",
  IF(ISNUMBER(A95),
    TEXT(A95,""dd/mm/yyyy""),
    IF(
      REGEXMATCH(TRIM(A95),""^\d{1,2}/\d{1,2}/\d{4}$""),
      TRIM(A95),
      IFERROR(
        TEXT(DATEVALUE(SUBSTITUTE(SUBSTITUTE(TRIM(A95),""-"",""/""),""."",""/"")),"&amp;"""dd/mm/yyyy""),
        TRIM(A95)
      )
    )
  )
)
"),"23/11/2024")</f>
        <v>23/11/2024</v>
      </c>
      <c r="L95" s="26">
        <v>45619.0</v>
      </c>
      <c r="M95" s="27" t="str">
        <f>IFERROR(__xludf.DUMMYFUNCTION("PROPER(TRIM(
  REGEXREPLACE(
    REGEXREPLACE(
      SUBSTITUTE(SUBSTITUTE(SUBSTITUTE(SUBSTITUTE(SUBSTITUTE(SUBSTITUTE(SUBSTITUTE(SUBSTITUTE(SUBSTITUTE(SUBSTITUTE(SUBSTITUTE(
        B95,""√©"",""é""),""√°"",""á""),""√±"",""ñ""),""√≥"",""ó""),""√â"",""é"""&amp;"),""√Å"",""á""),""√ç"",""í""),""√Ç"",""Í""),""√Â"",""é""),""√≠"",""í""),""√º"",""ú""),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95" s="28" t="str">
        <f>IFERROR(__xludf.DUMMYFUNCTION("SPLIT(
  TRIM(
    SUBSTITUTE(
      SUBSTITUTE(
        SUBSTITUTE(
          SUBSTITUTE(
            C95,
            ""√©"", ""é""
          ),
          ""√±"", ""ñ""
        ),
        ""√°"", ""á""
      ),
      ""√≥"", ""ó""
    )
  ),
  ""-""
)
"),"Teléfono")</f>
        <v>Teléfono</v>
      </c>
      <c r="O95" s="28" t="str">
        <f>IFERROR(__xludf.DUMMYFUNCTION("""COMPUTED_VALUE"""),"Gama alta")</f>
        <v>Gama alta</v>
      </c>
      <c r="P95" s="28" t="str">
        <f>IFERROR(__xludf.DUMMYFUNCTION("""COMPUTED_VALUE"""),"8GB")</f>
        <v>8GB</v>
      </c>
      <c r="Q95" s="34" t="str">
        <f t="shared" si="1"/>
        <v>0</v>
      </c>
      <c r="R95" s="28">
        <f t="shared" si="2"/>
        <v>3</v>
      </c>
      <c r="S95" s="29">
        <f t="shared" si="3"/>
        <v>4978.62</v>
      </c>
      <c r="T95" s="28" t="str">
        <f>IFERROR(__xludf.DUMMYFUNCTION("PROPER(TRIM(
  LET(
    texto1, REGEXREPLACE(G95,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"),"Amanda Prado")</f>
        <v>Amanda Prado</v>
      </c>
      <c r="U95" s="28" t="str">
        <f t="shared" si="4"/>
        <v>a60e107a-d3cc-46c7-9a8e-b0aa9cfa7817</v>
      </c>
      <c r="V95" s="30" t="str">
        <f t="shared" si="5"/>
        <v>Teléfono Gama alta 8GB</v>
      </c>
    </row>
    <row r="96" ht="15.75" customHeight="1">
      <c r="A96" s="6">
        <v>45600.0</v>
      </c>
      <c r="B96" s="2" t="s">
        <v>85</v>
      </c>
      <c r="C96" s="2" t="s">
        <v>28</v>
      </c>
      <c r="D96" s="7">
        <v>1849.07</v>
      </c>
      <c r="E96" s="2">
        <v>5.0</v>
      </c>
      <c r="F96" s="7">
        <v>9245.35</v>
      </c>
      <c r="G96" s="2" t="s">
        <v>434</v>
      </c>
      <c r="H96" s="2" t="s">
        <v>435</v>
      </c>
      <c r="I96" s="2" t="s">
        <v>436</v>
      </c>
      <c r="K96" s="19" t="str">
        <f>IFERROR(__xludf.DUMMYFUNCTION("IF(ISBLANK(A96),
  """",
  IF(ISNUMBER(A96),
    TEXT(A96,""dd/mm/yyyy""),
    IF(
      REGEXMATCH(TRIM(A96),""^\d{1,2}/\d{1,2}/\d{4}$""),
      TRIM(A96),
      IFERROR(
        TEXT(DATEVALUE(SUBSTITUTE(SUBSTITUTE(TRIM(A96),""-"",""/""),""."",""/"")),"&amp;"""dd/mm/yyyy""),
        TRIM(A96)
      )
    )
  )
)
"),"04/11/2024")</f>
        <v>04/11/2024</v>
      </c>
      <c r="L96" s="20">
        <v>45600.0</v>
      </c>
      <c r="M96" s="21" t="str">
        <f>IFERROR(__xludf.DUMMYFUNCTION("PROPER(TRIM(
  REGEXREPLACE(
    REGEXREPLACE(
      SUBSTITUTE(SUBSTITUTE(SUBSTITUTE(SUBSTITUTE(SUBSTITUTE(SUBSTITUTE(SUBSTITUTE(SUBSTITUTE(SUBSTITUTE(SUBSTITUTE(SUBSTITUTE(
        B96,""√©"",""é""),""√°"",""á""),""√±"",""ñ""),""√≥"",""ó""),""√â"",""é"""&amp;"),""√Å"",""á""),""√ç"",""í""),""√Ç"",""Í""),""√Â"",""é""),""√≠"",""í""),""√º"",""ú""),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96" s="22" t="str">
        <f>IFERROR(__xludf.DUMMYFUNCTION("SPLIT(
  TRIM(
    SUBSTITUTE(
      SUBSTITUTE(
        SUBSTITUTE(
          SUBSTITUTE(
            C96,
            ""√©"", ""é""
          ),
          ""√±"", ""ñ""
        ),
        ""√°"", ""á""
      ),
      ""√≥"", ""ó""
    )
  ),
  ""-""
)
"),"Tablet")</f>
        <v>Tablet</v>
      </c>
      <c r="O96" s="22" t="str">
        <f>IFERROR(__xludf.DUMMYFUNCTION("""COMPUTED_VALUE"""),"Pro")</f>
        <v>Pro</v>
      </c>
      <c r="P96" s="22" t="str">
        <f>IFERROR(__xludf.DUMMYFUNCTION("""COMPUTED_VALUE"""),"8GB")</f>
        <v>8GB</v>
      </c>
      <c r="Q96" s="23">
        <f t="shared" si="1"/>
        <v>1849.07</v>
      </c>
      <c r="R96" s="22">
        <f t="shared" si="2"/>
        <v>5</v>
      </c>
      <c r="S96" s="23">
        <f t="shared" si="3"/>
        <v>9245.35</v>
      </c>
      <c r="T96" s="22" t="str">
        <f>IFERROR(__xludf.DUMMYFUNCTION("PROPER(TRIM(
  LET(
    texto1, REGEXREPLACE(G96,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"),"Camila Montemayor")</f>
        <v>Camila Montemayor</v>
      </c>
      <c r="U96" s="22" t="str">
        <f t="shared" si="4"/>
        <v>a6735135-46d8-4997-ad55-d449e18fd075</v>
      </c>
      <c r="V96" s="24" t="str">
        <f t="shared" si="5"/>
        <v>Tablet Pro 8GB</v>
      </c>
    </row>
    <row r="97" ht="15.75" customHeight="1">
      <c r="A97" s="6">
        <v>45594.0</v>
      </c>
      <c r="B97" s="2" t="s">
        <v>50</v>
      </c>
      <c r="C97" s="2" t="s">
        <v>80</v>
      </c>
      <c r="D97" s="7">
        <v>1290.52</v>
      </c>
      <c r="E97" s="2">
        <v>3.0</v>
      </c>
      <c r="F97" s="7">
        <v>3871.56</v>
      </c>
      <c r="G97" s="2" t="s">
        <v>438</v>
      </c>
      <c r="H97" s="2" t="s">
        <v>439</v>
      </c>
      <c r="I97" s="2" t="s">
        <v>440</v>
      </c>
      <c r="K97" s="25" t="str">
        <f>IFERROR(__xludf.DUMMYFUNCTION("IF(ISBLANK(A97),
  """",
  IF(ISNUMBER(A97),
    TEXT(A97,""dd/mm/yyyy""),
    IF(
      REGEXMATCH(TRIM(A97),""^\d{1,2}/\d{1,2}/\d{4}$""),
      TRIM(A97),
      IFERROR(
        TEXT(DATEVALUE(SUBSTITUTE(SUBSTITUTE(TRIM(A97),""-"",""/""),""."",""/"")),"&amp;"""dd/mm/yyyy""),
        TRIM(A97)
      )
    )
  )
)
"),"29/10/2024")</f>
        <v>29/10/2024</v>
      </c>
      <c r="L97" s="26">
        <v>45594.0</v>
      </c>
      <c r="M97" s="27" t="str">
        <f>IFERROR(__xludf.DUMMYFUNCTION("PROPER(TRIM(
  REGEXREPLACE(
    REGEXREPLACE(
      SUBSTITUTE(SUBSTITUTE(SUBSTITUTE(SUBSTITUTE(SUBSTITUTE(SUBSTITUTE(SUBSTITUTE(SUBSTITUTE(SUBSTITUTE(SUBSTITUTE(SUBSTITUTE(
        B97,""√©"",""é""),""√°"",""á""),""√±"",""ñ""),""√≥"",""ó""),""√â"",""é"""&amp;"),""√Å"",""á""),""√ç"",""í""),""√Ç"",""Í""),""√Â"",""é""),""√≠"",""í""),""√º"",""ú""),
      ""[,\\.√]"",""""),
    ""\\s+"","" "")
))
"),"Ciudad De México")</f>
        <v>Ciudad De México</v>
      </c>
      <c r="N97" s="28" t="str">
        <f>IFERROR(__xludf.DUMMYFUNCTION("SPLIT(
  TRIM(
    SUBSTITUTE(
      SUBSTITUTE(
        SUBSTITUTE(
          SUBSTITUTE(
            C97,
            ""√©"", ""é""
          ),
          ""√±"", ""ñ""
        ),
        ""√°"", ""á""
      ),
      ""√≥"", ""ó""
    )
  ),
  ""-""
)
"),"Teléfono")</f>
        <v>Teléfono</v>
      </c>
      <c r="O97" s="28" t="str">
        <f>IFERROR(__xludf.DUMMYFUNCTION("""COMPUTED_VALUE"""),"Gama baja")</f>
        <v>Gama baja</v>
      </c>
      <c r="P97" s="28" t="str">
        <f>IFERROR(__xludf.DUMMYFUNCTION("""COMPUTED_VALUE"""),"16GB")</f>
        <v>16GB</v>
      </c>
      <c r="Q97" s="29">
        <f t="shared" si="1"/>
        <v>1290.52</v>
      </c>
      <c r="R97" s="28">
        <f t="shared" si="2"/>
        <v>3</v>
      </c>
      <c r="S97" s="29">
        <f t="shared" si="3"/>
        <v>3871.56</v>
      </c>
      <c r="T97" s="28" t="str">
        <f>IFERROR(__xludf.DUMMYFUNCTION("PROPER(TRIM(
  LET(
    texto1, REGEXREPLACE(G97,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"),"Marcela Guzmán")</f>
        <v>Marcela Guzmán</v>
      </c>
      <c r="U97" s="28" t="str">
        <f t="shared" si="4"/>
        <v>56344cb2-c22e-400d-87dd-49a631ced56f</v>
      </c>
      <c r="V97" s="30" t="str">
        <f t="shared" si="5"/>
        <v>Teléfono Gama baja 16GB</v>
      </c>
    </row>
    <row r="98" ht="15.75" customHeight="1">
      <c r="A98" s="6">
        <v>45586.0</v>
      </c>
      <c r="B98" s="2" t="s">
        <v>38</v>
      </c>
      <c r="C98" s="2" t="s">
        <v>186</v>
      </c>
      <c r="D98" s="7">
        <v>392.86</v>
      </c>
      <c r="E98" s="2">
        <v>2.0</v>
      </c>
      <c r="F98" s="7">
        <v>785.72</v>
      </c>
      <c r="G98" s="2" t="s">
        <v>441</v>
      </c>
      <c r="H98" s="2" t="s">
        <v>442</v>
      </c>
      <c r="I98" s="2" t="s">
        <v>443</v>
      </c>
      <c r="K98" s="19" t="str">
        <f>IFERROR(__xludf.DUMMYFUNCTION("IF(ISBLANK(A98),
  """",
  IF(ISNUMBER(A98),
    TEXT(A98,""dd/mm/yyyy""),
    IF(
      REGEXMATCH(TRIM(A98),""^\d{1,2}/\d{1,2}/\d{4}$""),
      TRIM(A98),
      IFERROR(
        TEXT(DATEVALUE(SUBSTITUTE(SUBSTITUTE(TRIM(A98),""-"",""/""),""."",""/"")),"&amp;"""dd/mm/yyyy""),
        TRIM(A98)
      )
    )
  )
)
"),"21/10/2024")</f>
        <v>21/10/2024</v>
      </c>
      <c r="L98" s="20">
        <v>45586.0</v>
      </c>
      <c r="M98" s="21" t="str">
        <f>IFERROR(__xludf.DUMMYFUNCTION("PROPER(TRIM(
  REGEXREPLACE(
    REGEXREPLACE(
      SUBSTITUTE(SUBSTITUTE(SUBSTITUTE(SUBSTITUTE(SUBSTITUTE(SUBSTITUTE(SUBSTITUTE(SUBSTITUTE(SUBSTITUTE(SUBSTITUTE(SUBSTITUTE(
        B98,""√©"",""é""),""√°"",""á""),""√±"",""ñ""),""√≥"",""ó""),""√â"",""é"""&amp;"),""√Å"",""á""),""√ç"",""í""),""√Ç"",""Í""),""√Â"",""é""),""√≠"",""í""),""√º"",""ú""),
      ""[,\\.√]"",""""),
    ""\\s+"","" "")
))
"),"Cali")</f>
        <v>Cali</v>
      </c>
      <c r="N98" s="22" t="str">
        <f>IFERROR(__xludf.DUMMYFUNCTION("SPLIT(
  TRIM(
    SUBSTITUTE(
      SUBSTITUTE(
        SUBSTITUTE(
          SUBSTITUTE(
            C98,
            ""√©"", ""é""
          ),
          ""√±"", ""ñ""
        ),
        ""√°"", ""á""
      ),
      ""√≥"", ""ó""
    )
  ),
  ""-""
)
"),"Tablet")</f>
        <v>Tablet</v>
      </c>
      <c r="O98" s="22" t="str">
        <f>IFERROR(__xludf.DUMMYFUNCTION("""COMPUTED_VALUE"""),"Mini")</f>
        <v>Mini</v>
      </c>
      <c r="P98" s="22" t="str">
        <f>IFERROR(__xludf.DUMMYFUNCTION("""COMPUTED_VALUE"""),"8GB")</f>
        <v>8GB</v>
      </c>
      <c r="Q98" s="23">
        <f t="shared" si="1"/>
        <v>392.86</v>
      </c>
      <c r="R98" s="22">
        <f t="shared" si="2"/>
        <v>2</v>
      </c>
      <c r="S98" s="23">
        <f t="shared" si="3"/>
        <v>785.72</v>
      </c>
      <c r="T98" s="22" t="str">
        <f>IFERROR(__xludf.DUMMYFUNCTION("PROPER(TRIM(
  LET(
    texto1, REGEXREPLACE(G98,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"),"Bruno Samuel Acosta Rascón")</f>
        <v>Bruno Samuel Acosta Rascón</v>
      </c>
      <c r="U98" s="22" t="str">
        <f t="shared" si="4"/>
        <v>5eb46f68-93f4-40bf-ade8-2f3822a7d3fe</v>
      </c>
      <c r="V98" s="24" t="str">
        <f t="shared" si="5"/>
        <v>Tablet Mini 8GB</v>
      </c>
    </row>
    <row r="99" ht="15.75" customHeight="1">
      <c r="A99" s="6">
        <v>45332.0</v>
      </c>
      <c r="B99" s="2" t="s">
        <v>85</v>
      </c>
      <c r="C99" s="2" t="s">
        <v>235</v>
      </c>
      <c r="D99" s="7">
        <v>1864.02</v>
      </c>
      <c r="E99" s="2">
        <v>5.0</v>
      </c>
      <c r="F99" s="7">
        <v>9320.1</v>
      </c>
      <c r="G99" s="2" t="s">
        <v>445</v>
      </c>
      <c r="H99" s="2" t="s">
        <v>446</v>
      </c>
      <c r="I99" s="2" t="s">
        <v>447</v>
      </c>
      <c r="K99" s="25" t="str">
        <f>IFERROR(__xludf.DUMMYFUNCTION("IF(ISBLANK(A99),
  """",
  IF(ISNUMBER(A99),
    TEXT(A99,""dd/mm/yyyy""),
    IF(
      REGEXMATCH(TRIM(A99),""^\d{1,2}/\d{1,2}/\d{4}$""),
      TRIM(A99),
      IFERROR(
        TEXT(DATEVALUE(SUBSTITUTE(SUBSTITUTE(TRIM(A99),""-"",""/""),""."",""/"")),"&amp;"""dd/mm/yyyy""),
        TRIM(A99)
      )
    )
  )
)
"),"10/02/2024")</f>
        <v>10/02/2024</v>
      </c>
      <c r="L99" s="26">
        <v>45332.0</v>
      </c>
      <c r="M99" s="27" t="str">
        <f>IFERROR(__xludf.DUMMYFUNCTION("PROPER(TRIM(
  REGEXREPLACE(
    REGEXREPLACE(
      SUBSTITUTE(SUBSTITUTE(SUBSTITUTE(SUBSTITUTE(SUBSTITUTE(SUBSTITUTE(SUBSTITUTE(SUBSTITUTE(SUBSTITUTE(SUBSTITUTE(SUBSTITUTE(
        B99,""√©"",""é""),""√°"",""á""),""√±"",""ñ""),""√≥"",""ó""),""√â"",""é"""&amp;"),""√Å"",""á""),""√ç"",""í""),""√Ç"",""Í""),""√Â"",""é""),""√≠"",""í""),""√º"",""ú""),
      ""[,\\.√]"",""""),
    ""\\s+"","" "")
))
"),"Guadalajara")</f>
        <v>Guadalajara</v>
      </c>
      <c r="N99" s="28" t="str">
        <f>IFERROR(__xludf.DUMMYFUNCTION("SPLIT(
  TRIM(
    SUBSTITUTE(
      SUBSTITUTE(
        SUBSTITUTE(
          SUBSTITUTE(
            C99,
            ""√©"", ""é""
          ),
          ""√±"", ""ñ""
        ),
        ""√°"", ""á""
      ),
      ""√≥"", ""ó""
    )
  ),
  ""-""
)
"),"Tablet")</f>
        <v>Tablet</v>
      </c>
      <c r="O99" s="28" t="str">
        <f>IFERROR(__xludf.DUMMYFUNCTION("""COMPUTED_VALUE"""),"Estándar")</f>
        <v>Estándar</v>
      </c>
      <c r="P99" s="28" t="str">
        <f>IFERROR(__xludf.DUMMYFUNCTION("""COMPUTED_VALUE"""),"4GB")</f>
        <v>4GB</v>
      </c>
      <c r="Q99" s="29">
        <f t="shared" si="1"/>
        <v>1864.02</v>
      </c>
      <c r="R99" s="28">
        <f t="shared" si="2"/>
        <v>5</v>
      </c>
      <c r="S99" s="29">
        <f t="shared" si="3"/>
        <v>9320.1</v>
      </c>
      <c r="T99" s="28" t="str">
        <f>IFERROR(__xludf.DUMMYFUNCTION("PROPER(TRIM(
  LET(
    texto1, REGEXREPLACE(G99,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"),"Pamela Rolando Ayala")</f>
        <v>Pamela Rolando Ayala</v>
      </c>
      <c r="U99" s="28" t="str">
        <f t="shared" si="4"/>
        <v>3c8ea69b-f625-4431-b5c1-1d4bdc621135</v>
      </c>
      <c r="V99" s="30" t="str">
        <f t="shared" si="5"/>
        <v>Tablet Estándar 4GB</v>
      </c>
    </row>
    <row r="100" ht="15.75" customHeight="1">
      <c r="A100" s="6">
        <v>45654.0</v>
      </c>
      <c r="B100" s="2" t="s">
        <v>101</v>
      </c>
      <c r="C100" s="2" t="s">
        <v>70</v>
      </c>
      <c r="D100" s="7">
        <v>589.92</v>
      </c>
      <c r="E100" s="2">
        <v>3.0</v>
      </c>
      <c r="F100" s="7">
        <v>1769.76</v>
      </c>
      <c r="G100" s="2" t="s">
        <v>448</v>
      </c>
      <c r="H100" s="2" t="s">
        <v>449</v>
      </c>
      <c r="I100" s="2" t="s">
        <v>450</v>
      </c>
      <c r="K100" s="19" t="str">
        <f>IFERROR(__xludf.DUMMYFUNCTION("IF(ISBLANK(A100),
  """",
  IF(ISNUMBER(A100),
    TEXT(A100,""dd/mm/yyyy""),
    IF(
      REGEXMATCH(TRIM(A100),""^\d{1,2}/\d{1,2}/\d{4}$""),
      TRIM(A100),
      IFERROR(
        TEXT(DATEVALUE(SUBSTITUTE(SUBSTITUTE(TRIM(A100),""-"",""/""),""."",""/"&amp;""")),""dd/mm/yyyy""),
        TRIM(A100)
      )
    )
  )
)
"),"28/12/2024")</f>
        <v>28/12/2024</v>
      </c>
      <c r="L100" s="20">
        <v>45654.0</v>
      </c>
      <c r="M100" s="21" t="str">
        <f>IFERROR(__xludf.DUMMYFUNCTION("PROPER(TRIM(
  REGEXREPLACE(
    REGEXREPLACE(
      SUBSTITUTE(SUBSTITUTE(SUBSTITUTE(SUBSTITUTE(SUBSTITUTE(SUBSTITUTE(SUBSTITUTE(SUBSTITUTE(SUBSTITUTE(SUBSTITUTE(SUBSTITUTE(
        B100,""√©"",""é""),""√°"",""á""),""√±"",""ñ""),""√≥"",""ó""),""√â"",""é"&amp;"""),""√Å"",""á""),""√ç"",""í""),""√Ç"",""Í""),""√Â"",""é""),""√≠"",""í""),""√º"",""ú""),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00" s="22" t="str">
        <f>IFERROR(__xludf.DUMMYFUNCTION("SPLIT(
  TRIM(
    SUBSTITUTE(
      SUBSTITUTE(
        SUBSTITUTE(
          SUBSTITUTE(
            C100,
            ""√©"", ""é""
          ),
          ""√±"", ""ñ""
        ),
        ""√°"", ""á""
      ),
      ""√≥"", ""ó""
    )
  ),
  ""-""
)
"),"Auriculares")</f>
        <v>Auriculares</v>
      </c>
      <c r="O100" s="22" t="str">
        <f>IFERROR(__xludf.DUMMYFUNCTION("""COMPUTED_VALUE"""),"Con cable")</f>
        <v>Con cable</v>
      </c>
      <c r="P100" s="22" t="str">
        <f>IFERROR(__xludf.DUMMYFUNCTION("""COMPUTED_VALUE"""),"16GB")</f>
        <v>16GB</v>
      </c>
      <c r="Q100" s="23">
        <f t="shared" si="1"/>
        <v>589.92</v>
      </c>
      <c r="R100" s="22">
        <f t="shared" si="2"/>
        <v>3</v>
      </c>
      <c r="S100" s="23">
        <f t="shared" si="3"/>
        <v>1769.76</v>
      </c>
      <c r="T100" s="22" t="str">
        <f>IFERROR(__xludf.DUMMYFUNCTION("PROPER(TRIM(
  LET(
    texto1, REGEXREPLACE(G100,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"),"Bernabé Zaragoza")</f>
        <v>Bernabé Zaragoza</v>
      </c>
      <c r="U100" s="22" t="str">
        <f t="shared" si="4"/>
        <v>f652769b-e1e8-44a1-8f3d-6f80c1ac3f13</v>
      </c>
      <c r="V100" s="24" t="str">
        <f t="shared" si="5"/>
        <v>Auriculares Con cable 16GB</v>
      </c>
    </row>
    <row r="101" ht="15.75" customHeight="1">
      <c r="A101" s="6">
        <v>45650.0</v>
      </c>
      <c r="B101" s="2" t="s">
        <v>27</v>
      </c>
      <c r="C101" s="2" t="s">
        <v>452</v>
      </c>
      <c r="D101" s="7">
        <v>758.87</v>
      </c>
      <c r="E101" s="2">
        <v>3.0</v>
      </c>
      <c r="F101" s="7">
        <v>2276.61</v>
      </c>
      <c r="G101" s="2" t="s">
        <v>453</v>
      </c>
      <c r="H101" s="2" t="s">
        <v>454</v>
      </c>
      <c r="I101" s="3" t="s">
        <v>455</v>
      </c>
      <c r="K101" s="25" t="str">
        <f>IFERROR(__xludf.DUMMYFUNCTION("IF(ISBLANK(A101),
  """",
  IF(ISNUMBER(A101),
    TEXT(A101,""dd/mm/yyyy""),
    IF(
      REGEXMATCH(TRIM(A101),""^\d{1,2}/\d{1,2}/\d{4}$""),
      TRIM(A101),
      IFERROR(
        TEXT(DATEVALUE(SUBSTITUTE(SUBSTITUTE(TRIM(A101),""-"",""/""),""."",""/"&amp;""")),""dd/mm/yyyy""),
        TRIM(A101)
      )
    )
  )
)
"),"24/12/2024")</f>
        <v>24/12/2024</v>
      </c>
      <c r="L101" s="26">
        <v>45650.0</v>
      </c>
      <c r="M101" s="27" t="str">
        <f>IFERROR(__xludf.DUMMYFUNCTION("PROPER(TRIM(
  REGEXREPLACE(
    REGEXREPLACE(
      SUBSTITUTE(SUBSTITUTE(SUBSTITUTE(SUBSTITUTE(SUBSTITUTE(SUBSTITUTE(SUBSTITUTE(SUBSTITUTE(SUBSTITUTE(SUBSTITUTE(SUBSTITUTE(
        B101,""√©"",""é""),""√°"",""á""),""√±"",""ñ""),""√≥"",""ó""),""√â"",""é"&amp;"""),""√Å"",""á""),""√ç"",""í""),""√Ç"",""Í""),""√Â"",""é""),""√≠"",""í""),""√º"",""ú""),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01" s="28" t="str">
        <f>IFERROR(__xludf.DUMMYFUNCTION("SPLIT(
  TRIM(
    SUBSTITUTE(
      SUBSTITUTE(
        SUBSTITUTE(
          SUBSTITUTE(
            C101,
            ""√©"", ""é""
          ),
          ""√±"", ""ñ""
        ),
        ""√°"", ""á""
      ),
      ""√≥"", ""ó""
    )
  ),
  ""-""
)
"),"Teléfono")</f>
        <v>Teléfono</v>
      </c>
      <c r="O101" s="28" t="str">
        <f>IFERROR(__xludf.DUMMYFUNCTION("""COMPUTED_VALUE"""),"Gama media")</f>
        <v>Gama media</v>
      </c>
      <c r="P101" s="28" t="str">
        <f>IFERROR(__xludf.DUMMYFUNCTION("""COMPUTED_VALUE"""),"16GB")</f>
        <v>16GB</v>
      </c>
      <c r="Q101" s="29">
        <f t="shared" si="1"/>
        <v>758.87</v>
      </c>
      <c r="R101" s="28">
        <f t="shared" si="2"/>
        <v>3</v>
      </c>
      <c r="S101" s="29">
        <f t="shared" si="3"/>
        <v>2276.61</v>
      </c>
      <c r="T101" s="28" t="str">
        <f>IFERROR(__xludf.DUMMYFUNCTION("PROPER(TRIM(
  LET(
    texto1, REGEXREPLACE(G101,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"),"Yuridia Rubén Armendáriz")</f>
        <v>Yuridia Rubén Armendáriz</v>
      </c>
      <c r="U101" s="31" t="str">
        <f t="shared" si="4"/>
        <v>9e945271-543f-4b06-a34e-b1dfcd6b8450</v>
      </c>
      <c r="V101" s="30" t="str">
        <f t="shared" si="5"/>
        <v>Teléfono Gama media 16GB</v>
      </c>
    </row>
    <row r="102" ht="15.75" customHeight="1">
      <c r="A102" s="6" t="s">
        <v>396</v>
      </c>
      <c r="B102" s="2" t="s">
        <v>27</v>
      </c>
      <c r="C102" s="2" t="s">
        <v>250</v>
      </c>
      <c r="D102" s="7">
        <v>489.9</v>
      </c>
      <c r="E102" s="2">
        <v>2.0</v>
      </c>
      <c r="F102" s="7">
        <v>979.8</v>
      </c>
      <c r="G102" s="2" t="s">
        <v>456</v>
      </c>
      <c r="H102" s="2" t="s">
        <v>457</v>
      </c>
      <c r="I102" s="2" t="s">
        <v>458</v>
      </c>
      <c r="K102" s="19" t="str">
        <f>IFERROR(__xludf.DUMMYFUNCTION("IF(ISBLANK(A102),
  """",
  IF(ISNUMBER(A102),
    TEXT(A102,""dd/mm/yyyy""),
    IF(
      REGEXMATCH(TRIM(A102),""^\d{1,2}/\d{1,2}/\d{4}$""),
      TRIM(A102),
      IFERROR(
        TEXT(DATEVALUE(SUBSTITUTE(SUBSTITUTE(TRIM(A102),""-"",""/""),""."",""/"&amp;""")),""dd/mm/yyyy""),
        TRIM(A102)
      )
    )
  )
)
"),"29/10/2024")</f>
        <v>29/10/2024</v>
      </c>
      <c r="L102" s="20">
        <v>45594.0</v>
      </c>
      <c r="M102" s="21" t="str">
        <f>IFERROR(__xludf.DUMMYFUNCTION("PROPER(TRIM(
  REGEXREPLACE(
    REGEXREPLACE(
      SUBSTITUTE(SUBSTITUTE(SUBSTITUTE(SUBSTITUTE(SUBSTITUTE(SUBSTITUTE(SUBSTITUTE(SUBSTITUTE(SUBSTITUTE(SUBSTITUTE(SUBSTITUTE(
        B102,""√©"",""é""),""√°"",""á""),""√±"",""ñ""),""√≥"",""ó""),""√â"",""é"&amp;"""),""√Å"",""á""),""√ç"",""í""),""√Ç"",""Í""),""√Â"",""é""),""√≠"",""í""),""√º"",""ú""),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02" s="22" t="str">
        <f>IFERROR(__xludf.DUMMYFUNCTION("SPLIT(
  TRIM(
    SUBSTITUTE(
      SUBSTITUTE(
        SUBSTITUTE(
          SUBSTITUTE(
            C102,
            ""√©"", ""é""
          ),
          ""√±"", ""ñ""
        ),
        ""√°"", ""á""
      ),
      ""√≥"", ""ó""
    )
  ),
  ""-""
)
"),"Laptop")</f>
        <v>Laptop</v>
      </c>
      <c r="O102" s="22" t="str">
        <f>IFERROR(__xludf.DUMMYFUNCTION("""COMPUTED_VALUE"""),"Oficina")</f>
        <v>Oficina</v>
      </c>
      <c r="P102" s="22" t="str">
        <f>IFERROR(__xludf.DUMMYFUNCTION("""COMPUTED_VALUE"""),"32GB")</f>
        <v>32GB</v>
      </c>
      <c r="Q102" s="23">
        <f t="shared" si="1"/>
        <v>489.9</v>
      </c>
      <c r="R102" s="22">
        <f t="shared" si="2"/>
        <v>2</v>
      </c>
      <c r="S102" s="23">
        <f t="shared" si="3"/>
        <v>979.8</v>
      </c>
      <c r="T102" s="22" t="str">
        <f>IFERROR(__xludf.DUMMYFUNCTION("PROPER(TRIM(
  LET(
    texto1, REGEXREPLACE(G102,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"),"Verónica Francisca Tafoya")</f>
        <v>Verónica Francisca Tafoya</v>
      </c>
      <c r="U102" s="22" t="str">
        <f t="shared" si="4"/>
        <v>fd16a28b-5ec8-4f7c-aac8-e6c93568cda5</v>
      </c>
      <c r="V102" s="24" t="str">
        <f t="shared" si="5"/>
        <v>Laptop Oficina 32GB</v>
      </c>
    </row>
    <row r="103" ht="15.75" customHeight="1">
      <c r="A103" s="6">
        <v>45581.0</v>
      </c>
      <c r="B103" s="2" t="s">
        <v>85</v>
      </c>
      <c r="C103" s="2" t="s">
        <v>121</v>
      </c>
      <c r="D103" s="7">
        <v>1614.05</v>
      </c>
      <c r="E103" s="2">
        <v>1.0</v>
      </c>
      <c r="F103" s="7">
        <v>1614.05</v>
      </c>
      <c r="G103" s="2" t="s">
        <v>460</v>
      </c>
      <c r="H103" s="2" t="s">
        <v>461</v>
      </c>
      <c r="I103" s="2" t="s">
        <v>462</v>
      </c>
      <c r="K103" s="25" t="str">
        <f>IFERROR(__xludf.DUMMYFUNCTION("IF(ISBLANK(A103),
  """",
  IF(ISNUMBER(A103),
    TEXT(A103,""dd/mm/yyyy""),
    IF(
      REGEXMATCH(TRIM(A103),""^\d{1,2}/\d{1,2}/\d{4}$""),
      TRIM(A103),
      IFERROR(
        TEXT(DATEVALUE(SUBSTITUTE(SUBSTITUTE(TRIM(A103),""-"",""/""),""."",""/"&amp;""")),""dd/mm/yyyy""),
        TRIM(A103)
      )
    )
  )
)
"),"16/10/2024")</f>
        <v>16/10/2024</v>
      </c>
      <c r="L103" s="26">
        <v>45581.0</v>
      </c>
      <c r="M103" s="27" t="str">
        <f>IFERROR(__xludf.DUMMYFUNCTION("PROPER(TRIM(
  REGEXREPLACE(
    REGEXREPLACE(
      SUBSTITUTE(SUBSTITUTE(SUBSTITUTE(SUBSTITUTE(SUBSTITUTE(SUBSTITUTE(SUBSTITUTE(SUBSTITUTE(SUBSTITUTE(SUBSTITUTE(SUBSTITUTE(
        B103,""√©"",""é""),""√°"",""á""),""√±"",""ñ""),""√≥"",""ó""),""√â"",""é"&amp;"""),""√Å"",""á""),""√ç"",""í""),""√Ç"",""Í""),""√Â"",""é""),""√≠"",""í""),""√º"",""ú""),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03" s="28" t="str">
        <f>IFERROR(__xludf.DUMMYFUNCTION("SPLIT(
  TRIM(
    SUBSTITUTE(
      SUBSTITUTE(
        SUBSTITUTE(
          SUBSTITUTE(
            C103,
            ""√©"", ""é""
          ),
          ""√±"", ""ñ""
        ),
        ""√°"", ""á""
      ),
      ""√≥"", ""ó""
    )
  ),
  ""-""
)
"),"Teléfono")</f>
        <v>Teléfono</v>
      </c>
      <c r="O103" s="28" t="str">
        <f>IFERROR(__xludf.DUMMYFUNCTION("""COMPUTED_VALUE"""),"Gama baja")</f>
        <v>Gama baja</v>
      </c>
      <c r="P103" s="28" t="str">
        <f>IFERROR(__xludf.DUMMYFUNCTION("""COMPUTED_VALUE"""),"8GB")</f>
        <v>8GB</v>
      </c>
      <c r="Q103" s="29">
        <f t="shared" si="1"/>
        <v>1614.05</v>
      </c>
      <c r="R103" s="28">
        <f t="shared" si="2"/>
        <v>1</v>
      </c>
      <c r="S103" s="29">
        <f t="shared" si="3"/>
        <v>1614.05</v>
      </c>
      <c r="T103" s="28" t="str">
        <f>IFERROR(__xludf.DUMMYFUNCTION("PROPER(TRIM(
  LET(
    texto1, REGEXREPLACE(G103,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"),"Aurora Esteban Sisneros Centeno")</f>
        <v>Aurora Esteban Sisneros Centeno</v>
      </c>
      <c r="U103" s="28" t="str">
        <f t="shared" si="4"/>
        <v>8dcb205e-e032-4baa-a658-7e640f07fe1e</v>
      </c>
      <c r="V103" s="30" t="str">
        <f t="shared" si="5"/>
        <v>Teléfono Gama baja 8GB</v>
      </c>
    </row>
    <row r="104" ht="15.75" customHeight="1">
      <c r="A104" s="6">
        <v>45422.0</v>
      </c>
      <c r="B104" s="2" t="s">
        <v>38</v>
      </c>
      <c r="C104" s="2" t="s">
        <v>348</v>
      </c>
      <c r="D104" s="7">
        <v>179.58</v>
      </c>
      <c r="E104" s="2">
        <v>3.0</v>
      </c>
      <c r="F104" s="7">
        <v>538.74</v>
      </c>
      <c r="G104" s="2" t="s">
        <v>464</v>
      </c>
      <c r="H104" s="2" t="s">
        <v>465</v>
      </c>
      <c r="I104" s="2" t="s">
        <v>466</v>
      </c>
      <c r="K104" s="19" t="str">
        <f>IFERROR(__xludf.DUMMYFUNCTION("IF(ISBLANK(A104),
  """",
  IF(ISNUMBER(A104),
    TEXT(A104,""dd/mm/yyyy""),
    IF(
      REGEXMATCH(TRIM(A104),""^\d{1,2}/\d{1,2}/\d{4}$""),
      TRIM(A104),
      IFERROR(
        TEXT(DATEVALUE(SUBSTITUTE(SUBSTITUTE(TRIM(A104),""-"",""/""),""."",""/"&amp;""")),""dd/mm/yyyy""),
        TRIM(A104)
      )
    )
  )
)
"),"10/05/2024")</f>
        <v>10/05/2024</v>
      </c>
      <c r="L104" s="20">
        <v>45422.0</v>
      </c>
      <c r="M104" s="21" t="str">
        <f>IFERROR(__xludf.DUMMYFUNCTION("PROPER(TRIM(
  REGEXREPLACE(
    REGEXREPLACE(
      SUBSTITUTE(SUBSTITUTE(SUBSTITUTE(SUBSTITUTE(SUBSTITUTE(SUBSTITUTE(SUBSTITUTE(SUBSTITUTE(SUBSTITUTE(SUBSTITUTE(SUBSTITUTE(
        B104,""√©"",""é""),""√°"",""á""),""√±"",""ñ""),""√≥"",""ó""),""√â"",""é"&amp;"""),""√Å"",""á""),""√ç"",""í""),""√Ç"",""Í""),""√Â"",""é""),""√≠"",""í""),""√º"",""ú""),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04" s="22" t="str">
        <f>IFERROR(__xludf.DUMMYFUNCTION("SPLIT(
  TRIM(
    SUBSTITUTE(
      SUBSTITUTE(
        SUBSTITUTE(
          SUBSTITUTE(
            C104,
            ""√©"", ""é""
          ),
          ""√±"", ""ñ""
        ),
        ""√°"", ""á""
      ),
      ""√≥"", ""ó""
    )
  ),
  ""-""
)
"),"Teléfono")</f>
        <v>Teléfono</v>
      </c>
      <c r="O104" s="22" t="str">
        <f>IFERROR(__xludf.DUMMYFUNCTION("""COMPUTED_VALUE"""),"Gama media")</f>
        <v>Gama media</v>
      </c>
      <c r="P104" s="22" t="str">
        <f>IFERROR(__xludf.DUMMYFUNCTION("""COMPUTED_VALUE"""),"8GB")</f>
        <v>8GB</v>
      </c>
      <c r="Q104" s="23">
        <f t="shared" si="1"/>
        <v>179.58</v>
      </c>
      <c r="R104" s="22">
        <f t="shared" si="2"/>
        <v>3</v>
      </c>
      <c r="S104" s="23">
        <f t="shared" si="3"/>
        <v>538.74</v>
      </c>
      <c r="T104" s="22" t="str">
        <f>IFERROR(__xludf.DUMMYFUNCTION("PROPER(TRIM(
  LET(
    texto1, REGEXREPLACE(G104,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"),"Alonso Abreu")</f>
        <v>Alonso Abreu</v>
      </c>
      <c r="U104" s="22" t="str">
        <f t="shared" si="4"/>
        <v>bbcfa88c-1300-46e2-bc6a-e3c6ddbb62d8</v>
      </c>
      <c r="V104" s="24" t="str">
        <f t="shared" si="5"/>
        <v>Teléfono Gama media 8GB</v>
      </c>
    </row>
    <row r="105" ht="15.75" customHeight="1">
      <c r="A105" s="6">
        <v>45568.0</v>
      </c>
      <c r="B105" s="2" t="s">
        <v>16</v>
      </c>
      <c r="C105" s="2" t="s">
        <v>360</v>
      </c>
      <c r="D105" s="7">
        <v>984.34</v>
      </c>
      <c r="E105" s="2">
        <v>3.0</v>
      </c>
      <c r="F105" s="7">
        <v>2953.02</v>
      </c>
      <c r="G105" s="2" t="s">
        <v>467</v>
      </c>
      <c r="H105" s="2" t="s">
        <v>468</v>
      </c>
      <c r="I105" s="2" t="s">
        <v>469</v>
      </c>
      <c r="K105" s="25" t="str">
        <f>IFERROR(__xludf.DUMMYFUNCTION("IF(ISBLANK(A105),
  """",
  IF(ISNUMBER(A105),
    TEXT(A105,""dd/mm/yyyy""),
    IF(
      REGEXMATCH(TRIM(A105),""^\d{1,2}/\d{1,2}/\d{4}$""),
      TRIM(A105),
      IFERROR(
        TEXT(DATEVALUE(SUBSTITUTE(SUBSTITUTE(TRIM(A105),""-"",""/""),""."",""/"&amp;""")),""dd/mm/yyyy""),
        TRIM(A105)
      )
    )
  )
)
"),"03/10/2024")</f>
        <v>03/10/2024</v>
      </c>
      <c r="L105" s="26">
        <v>45568.0</v>
      </c>
      <c r="M105" s="27" t="str">
        <f>IFERROR(__xludf.DUMMYFUNCTION("PROPER(TRIM(
  REGEXREPLACE(
    REGEXREPLACE(
      SUBSTITUTE(SUBSTITUTE(SUBSTITUTE(SUBSTITUTE(SUBSTITUTE(SUBSTITUTE(SUBSTITUTE(SUBSTITUTE(SUBSTITUTE(SUBSTITUTE(SUBSTITUTE(
        B105,""√©"",""é""),""√°"",""á""),""√±"",""ñ""),""√≥"",""ó""),""√â"",""é"&amp;"""),""√Å"",""á""),""√ç"",""í""),""√Ç"",""Í""),""√Â"",""é""),""√≠"",""í""),""√º"",""ú""),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05" s="28" t="str">
        <f>IFERROR(__xludf.DUMMYFUNCTION("SPLIT(
  TRIM(
    SUBSTITUTE(
      SUBSTITUTE(
        SUBSTITUTE(
          SUBSTITUTE(
            C105,
            ""√©"", ""é""
          ),
          ""√±"", ""ñ""
        ),
        ""√°"", ""á""
      ),
      ""√≥"", ""ó""
    )
  ),
  ""-""
)
"),"Tablet")</f>
        <v>Tablet</v>
      </c>
      <c r="O105" s="28" t="str">
        <f>IFERROR(__xludf.DUMMYFUNCTION("""COMPUTED_VALUE"""),"Estándar")</f>
        <v>Estándar</v>
      </c>
      <c r="P105" s="28" t="str">
        <f>IFERROR(__xludf.DUMMYFUNCTION("""COMPUTED_VALUE"""),"8GB")</f>
        <v>8GB</v>
      </c>
      <c r="Q105" s="29">
        <f t="shared" si="1"/>
        <v>984.34</v>
      </c>
      <c r="R105" s="28">
        <f t="shared" si="2"/>
        <v>3</v>
      </c>
      <c r="S105" s="29">
        <f t="shared" si="3"/>
        <v>2953.02</v>
      </c>
      <c r="T105" s="28" t="str">
        <f>IFERROR(__xludf.DUMMYFUNCTION("PROPER(TRIM(
  LET(
    texto1, REGEXREPLACE(G105,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"),"Wendolin Jerónimo Farías")</f>
        <v>Wendolin Jerónimo Farías</v>
      </c>
      <c r="U105" s="28" t="str">
        <f t="shared" si="4"/>
        <v>4cfd7c38-6607-4b36-ab60-fb259d4e18b4</v>
      </c>
      <c r="V105" s="30" t="str">
        <f t="shared" si="5"/>
        <v>Tablet Estándar 8GB</v>
      </c>
    </row>
    <row r="106" ht="15.75" customHeight="1">
      <c r="A106" s="6">
        <v>45655.0</v>
      </c>
      <c r="B106" s="2" t="s">
        <v>101</v>
      </c>
      <c r="C106" s="2" t="s">
        <v>235</v>
      </c>
      <c r="D106" s="7">
        <v>1456.46</v>
      </c>
      <c r="E106" s="2">
        <v>4.0</v>
      </c>
      <c r="F106" s="7">
        <v>5825.84</v>
      </c>
      <c r="G106" s="2" t="s">
        <v>471</v>
      </c>
      <c r="H106" s="2" t="s">
        <v>472</v>
      </c>
      <c r="I106" s="2" t="s">
        <v>473</v>
      </c>
      <c r="K106" s="19" t="str">
        <f>IFERROR(__xludf.DUMMYFUNCTION("IF(ISBLANK(A106),
  """",
  IF(ISNUMBER(A106),
    TEXT(A106,""dd/mm/yyyy""),
    IF(
      REGEXMATCH(TRIM(A106),""^\d{1,2}/\d{1,2}/\d{4}$""),
      TRIM(A106),
      IFERROR(
        TEXT(DATEVALUE(SUBSTITUTE(SUBSTITUTE(TRIM(A106),""-"",""/""),""."",""/"&amp;""")),""dd/mm/yyyy""),
        TRIM(A106)
      )
    )
  )
)
"),"29/12/2024")</f>
        <v>29/12/2024</v>
      </c>
      <c r="L106" s="20">
        <v>45655.0</v>
      </c>
      <c r="M106" s="21" t="str">
        <f>IFERROR(__xludf.DUMMYFUNCTION("PROPER(TRIM(
  REGEXREPLACE(
    REGEXREPLACE(
      SUBSTITUTE(SUBSTITUTE(SUBSTITUTE(SUBSTITUTE(SUBSTITUTE(SUBSTITUTE(SUBSTITUTE(SUBSTITUTE(SUBSTITUTE(SUBSTITUTE(SUBSTITUTE(
        B106,""√©"",""é""),""√°"",""á""),""√±"",""ñ""),""√≥"",""ó""),""√â"",""é"&amp;"""),""√Å"",""á""),""√ç"",""í""),""√Ç"",""Í""),""√Â"",""é""),""√≠"",""í""),""√º"",""ú""),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06" s="22" t="str">
        <f>IFERROR(__xludf.DUMMYFUNCTION("SPLIT(
  TRIM(
    SUBSTITUTE(
      SUBSTITUTE(
        SUBSTITUTE(
          SUBSTITUTE(
            C106,
            ""√©"", ""é""
          ),
          ""√±"", ""ñ""
        ),
        ""√°"", ""á""
      ),
      ""√≥"", ""ó""
    )
  ),
  ""-""
)
"),"Tablet")</f>
        <v>Tablet</v>
      </c>
      <c r="O106" s="22" t="str">
        <f>IFERROR(__xludf.DUMMYFUNCTION("""COMPUTED_VALUE"""),"Estándar")</f>
        <v>Estándar</v>
      </c>
      <c r="P106" s="22" t="str">
        <f>IFERROR(__xludf.DUMMYFUNCTION("""COMPUTED_VALUE"""),"4GB")</f>
        <v>4GB</v>
      </c>
      <c r="Q106" s="23">
        <f t="shared" si="1"/>
        <v>1456.46</v>
      </c>
      <c r="R106" s="22">
        <f t="shared" si="2"/>
        <v>4</v>
      </c>
      <c r="S106" s="23">
        <f t="shared" si="3"/>
        <v>5825.84</v>
      </c>
      <c r="T106" s="22" t="str">
        <f>IFERROR(__xludf.DUMMYFUNCTION("PROPER(TRIM(
  LET(
    texto1, REGEXREPLACE(G106,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"),"Modesto Rufino Mares Negrón")</f>
        <v>Modesto Rufino Mares Negrón</v>
      </c>
      <c r="U106" s="22" t="str">
        <f t="shared" si="4"/>
        <v>1f451643-e6fa-4d54-b03d-304b7a23b3e1</v>
      </c>
      <c r="V106" s="24" t="str">
        <f t="shared" si="5"/>
        <v>Tablet Estándar 4GB</v>
      </c>
    </row>
    <row r="107" ht="15.75" customHeight="1">
      <c r="A107" s="6">
        <v>45642.0</v>
      </c>
      <c r="B107" s="2" t="s">
        <v>27</v>
      </c>
      <c r="C107" s="2" t="s">
        <v>167</v>
      </c>
      <c r="D107" s="7">
        <v>421.27</v>
      </c>
      <c r="E107" s="2">
        <v>4.0</v>
      </c>
      <c r="F107" s="7">
        <v>1685.08</v>
      </c>
      <c r="G107" s="2" t="s">
        <v>475</v>
      </c>
      <c r="H107" s="2" t="s">
        <v>476</v>
      </c>
      <c r="I107" s="2" t="s">
        <v>477</v>
      </c>
      <c r="K107" s="25" t="str">
        <f>IFERROR(__xludf.DUMMYFUNCTION("IF(ISBLANK(A107),
  """",
  IF(ISNUMBER(A107),
    TEXT(A107,""dd/mm/yyyy""),
    IF(
      REGEXMATCH(TRIM(A107),""^\d{1,2}/\d{1,2}/\d{4}$""),
      TRIM(A107),
      IFERROR(
        TEXT(DATEVALUE(SUBSTITUTE(SUBSTITUTE(TRIM(A107),""-"",""/""),""."",""/"&amp;""")),""dd/mm/yyyy""),
        TRIM(A107)
      )
    )
  )
)
"),"16/12/2024")</f>
        <v>16/12/2024</v>
      </c>
      <c r="L107" s="26">
        <v>45642.0</v>
      </c>
      <c r="M107" s="27" t="str">
        <f>IFERROR(__xludf.DUMMYFUNCTION("PROPER(TRIM(
  REGEXREPLACE(
    REGEXREPLACE(
      SUBSTITUTE(SUBSTITUTE(SUBSTITUTE(SUBSTITUTE(SUBSTITUTE(SUBSTITUTE(SUBSTITUTE(SUBSTITUTE(SUBSTITUTE(SUBSTITUTE(SUBSTITUTE(
        B107,""√©"",""é""),""√°"",""á""),""√±"",""ñ""),""√≥"",""ó""),""√â"",""é"&amp;"""),""√Å"",""á""),""√ç"",""í""),""√Ç"",""Í""),""√Â"",""é""),""√≠"",""í""),""√º"",""ú""),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07" s="28" t="str">
        <f>IFERROR(__xludf.DUMMYFUNCTION("SPLIT(
  TRIM(
    SUBSTITUTE(
      SUBSTITUTE(
        SUBSTITUTE(
          SUBSTITUTE(
            C107,
            ""√©"", ""é""
          ),
          ""√±"", ""ñ""
        ),
        ""√°"", ""á""
      ),
      ""√≥"", ""ó""
    )
  ),
  ""-""
)
"),"Laptop")</f>
        <v>Laptop</v>
      </c>
      <c r="O107" s="28" t="str">
        <f>IFERROR(__xludf.DUMMYFUNCTION("""COMPUTED_VALUE"""),"Gaming")</f>
        <v>Gaming</v>
      </c>
      <c r="P107" s="28" t="str">
        <f>IFERROR(__xludf.DUMMYFUNCTION("""COMPUTED_VALUE"""),"8GB")</f>
        <v>8GB</v>
      </c>
      <c r="Q107" s="29">
        <f t="shared" si="1"/>
        <v>421.27</v>
      </c>
      <c r="R107" s="28">
        <f t="shared" si="2"/>
        <v>4</v>
      </c>
      <c r="S107" s="29">
        <f t="shared" si="3"/>
        <v>1685.08</v>
      </c>
      <c r="T107" s="28" t="str">
        <f>IFERROR(__xludf.DUMMYFUNCTION("PROPER(TRIM(
  LET(
    texto1, REGEXREPLACE(G107,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"),"Mitzy De La Rosa")</f>
        <v>Mitzy De La Rosa</v>
      </c>
      <c r="U107" s="28" t="str">
        <f t="shared" si="4"/>
        <v>2c42cc7e-a16c-4dc9-ae59-89dbe94c5127</v>
      </c>
      <c r="V107" s="30" t="str">
        <f t="shared" si="5"/>
        <v>Laptop Gaming 8GB</v>
      </c>
    </row>
    <row r="108" ht="15.75" customHeight="1">
      <c r="A108" s="6">
        <v>45628.0</v>
      </c>
      <c r="B108" s="2" t="s">
        <v>16</v>
      </c>
      <c r="C108" s="2" t="s">
        <v>152</v>
      </c>
      <c r="D108" s="7">
        <v>78.53</v>
      </c>
      <c r="E108" s="2">
        <v>2.0</v>
      </c>
      <c r="F108" s="7">
        <v>157.06</v>
      </c>
      <c r="G108" s="2" t="s">
        <v>478</v>
      </c>
      <c r="H108" s="2" t="s">
        <v>479</v>
      </c>
      <c r="I108" s="2" t="s">
        <v>480</v>
      </c>
      <c r="K108" s="19" t="str">
        <f>IFERROR(__xludf.DUMMYFUNCTION("IF(ISBLANK(A108),
  """",
  IF(ISNUMBER(A108),
    TEXT(A108,""dd/mm/yyyy""),
    IF(
      REGEXMATCH(TRIM(A108),""^\d{1,2}/\d{1,2}/\d{4}$""),
      TRIM(A108),
      IFERROR(
        TEXT(DATEVALUE(SUBSTITUTE(SUBSTITUTE(TRIM(A108),""-"",""/""),""."",""/"&amp;""")),""dd/mm/yyyy""),
        TRIM(A108)
      )
    )
  )
)
"),"02/12/2024")</f>
        <v>02/12/2024</v>
      </c>
      <c r="L108" s="20">
        <v>45628.0</v>
      </c>
      <c r="M108" s="21" t="str">
        <f>IFERROR(__xludf.DUMMYFUNCTION("PROPER(TRIM(
  REGEXREPLACE(
    REGEXREPLACE(
      SUBSTITUTE(SUBSTITUTE(SUBSTITUTE(SUBSTITUTE(SUBSTITUTE(SUBSTITUTE(SUBSTITUTE(SUBSTITUTE(SUBSTITUTE(SUBSTITUTE(SUBSTITUTE(
        B108,""√©"",""é""),""√°"",""á""),""√±"",""ñ""),""√≥"",""ó""),""√â"",""é"&amp;"""),""√Å"",""á""),""√ç"",""í""),""√Ç"",""Í""),""√Â"",""é""),""√≠"",""í""),""√º"",""ú""),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08" s="22" t="str">
        <f>IFERROR(__xludf.DUMMYFUNCTION("SPLIT(
  TRIM(
    SUBSTITUTE(
      SUBSTITUTE(
        SUBSTITUTE(
          SUBSTITUTE(
            C108,
            ""√©"", ""é""
          ),
          ""√±"", ""ñ""
        ),
        ""√°"", ""á""
      ),
      ""√≥"", ""ó""
    )
  ),
  ""-""
)
"),"Teléfono")</f>
        <v>Teléfono</v>
      </c>
      <c r="O108" s="22" t="str">
        <f>IFERROR(__xludf.DUMMYFUNCTION("""COMPUTED_VALUE"""),"Gama baja")</f>
        <v>Gama baja</v>
      </c>
      <c r="P108" s="22" t="str">
        <f>IFERROR(__xludf.DUMMYFUNCTION("""COMPUTED_VALUE"""),"4GB")</f>
        <v>4GB</v>
      </c>
      <c r="Q108" s="23">
        <f t="shared" si="1"/>
        <v>78.53</v>
      </c>
      <c r="R108" s="22">
        <f t="shared" si="2"/>
        <v>2</v>
      </c>
      <c r="S108" s="23">
        <f t="shared" si="3"/>
        <v>157.06</v>
      </c>
      <c r="T108" s="22" t="str">
        <f>IFERROR(__xludf.DUMMYFUNCTION("PROPER(TRIM(
  LET(
    texto1, REGEXREPLACE(G108,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"),"Mario Fidel Laureano Castro")</f>
        <v>Mario Fidel Laureano Castro</v>
      </c>
      <c r="U108" s="22" t="str">
        <f t="shared" si="4"/>
        <v>e00df3f6-aa51-4a6d-bf1d-36462af123a2</v>
      </c>
      <c r="V108" s="24" t="str">
        <f t="shared" si="5"/>
        <v>Teléfono Gama baja 4GB</v>
      </c>
    </row>
    <row r="109" ht="15.75" customHeight="1">
      <c r="A109" s="6">
        <v>45455.0</v>
      </c>
      <c r="B109" s="2" t="s">
        <v>101</v>
      </c>
      <c r="C109" s="2" t="s">
        <v>96</v>
      </c>
      <c r="D109" s="7">
        <v>576.8</v>
      </c>
      <c r="E109" s="2">
        <v>3.0</v>
      </c>
      <c r="F109" s="7">
        <v>1730.4</v>
      </c>
      <c r="G109" s="2" t="s">
        <v>482</v>
      </c>
      <c r="H109" s="2" t="s">
        <v>483</v>
      </c>
      <c r="I109" s="2" t="s">
        <v>484</v>
      </c>
      <c r="K109" s="25" t="str">
        <f>IFERROR(__xludf.DUMMYFUNCTION("IF(ISBLANK(A109),
  """",
  IF(ISNUMBER(A109),
    TEXT(A109,""dd/mm/yyyy""),
    IF(
      REGEXMATCH(TRIM(A109),""^\d{1,2}/\d{1,2}/\d{4}$""),
      TRIM(A109),
      IFERROR(
        TEXT(DATEVALUE(SUBSTITUTE(SUBSTITUTE(TRIM(A109),""-"",""/""),""."",""/"&amp;""")),""dd/mm/yyyy""),
        TRIM(A109)
      )
    )
  )
)
"),"12/06/2024")</f>
        <v>12/06/2024</v>
      </c>
      <c r="L109" s="26">
        <v>45455.0</v>
      </c>
      <c r="M109" s="27" t="str">
        <f>IFERROR(__xludf.DUMMYFUNCTION("PROPER(TRIM(
  REGEXREPLACE(
    REGEXREPLACE(
      SUBSTITUTE(SUBSTITUTE(SUBSTITUTE(SUBSTITUTE(SUBSTITUTE(SUBSTITUTE(SUBSTITUTE(SUBSTITUTE(SUBSTITUTE(SUBSTITUTE(SUBSTITUTE(
        B109,""√©"",""é""),""√°"",""á""),""√±"",""ñ""),""√≥"",""ó""),""√â"",""é"&amp;"""),""√Å"",""á""),""√ç"",""í""),""√Ç"",""Í""),""√Â"",""é""),""√≠"",""í""),""√º"",""ú""),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09" s="28" t="str">
        <f>IFERROR(__xludf.DUMMYFUNCTION("SPLIT(
  TRIM(
    SUBSTITUTE(
      SUBSTITUTE(
        SUBSTITUTE(
          SUBSTITUTE(
            C109,
            ""√©"", ""é""
          ),
          ""√±"", ""ñ""
        ),
        ""√°"", ""á""
      ),
      ""√≥"", ""ó""
    )
  ),
  ""-""
)
"),"Auriculares")</f>
        <v>Auriculares</v>
      </c>
      <c r="O109" s="28" t="str">
        <f>IFERROR(__xludf.DUMMYFUNCTION("""COMPUTED_VALUE"""),"Cancelación de ruido")</f>
        <v>Cancelación de ruido</v>
      </c>
      <c r="P109" s="28" t="str">
        <f>IFERROR(__xludf.DUMMYFUNCTION("""COMPUTED_VALUE"""),"4GB")</f>
        <v>4GB</v>
      </c>
      <c r="Q109" s="29">
        <f t="shared" si="1"/>
        <v>576.8</v>
      </c>
      <c r="R109" s="28">
        <f t="shared" si="2"/>
        <v>3</v>
      </c>
      <c r="S109" s="29">
        <f t="shared" si="3"/>
        <v>1730.4</v>
      </c>
      <c r="T109" s="28" t="str">
        <f>IFERROR(__xludf.DUMMYFUNCTION("PROPER(TRIM(
  LET(
    texto1, REGEXREPLACE(G109,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"),"Vicente Israel Cortés")</f>
        <v>Vicente Israel Cortés</v>
      </c>
      <c r="U109" s="28" t="str">
        <f t="shared" si="4"/>
        <v>bb3ff505-4124-4f45-b8b6-401ab861a5af</v>
      </c>
      <c r="V109" s="30" t="str">
        <f t="shared" si="5"/>
        <v>Auriculares Cancelación de ruido 4GB</v>
      </c>
    </row>
    <row r="110" ht="15.75" customHeight="1">
      <c r="A110" s="6">
        <v>45597.0</v>
      </c>
      <c r="B110" s="2" t="s">
        <v>101</v>
      </c>
      <c r="C110" s="2" t="s">
        <v>250</v>
      </c>
      <c r="D110" s="7">
        <v>719.59</v>
      </c>
      <c r="E110" s="2">
        <v>3.0</v>
      </c>
      <c r="F110" s="7">
        <v>2158.77</v>
      </c>
      <c r="G110" s="2" t="s">
        <v>485</v>
      </c>
      <c r="H110" s="2" t="s">
        <v>486</v>
      </c>
      <c r="I110" s="2" t="s">
        <v>487</v>
      </c>
      <c r="K110" s="19" t="str">
        <f>IFERROR(__xludf.DUMMYFUNCTION("IF(ISBLANK(A110),
  """",
  IF(ISNUMBER(A110),
    TEXT(A110,""dd/mm/yyyy""),
    IF(
      REGEXMATCH(TRIM(A110),""^\d{1,2}/\d{1,2}/\d{4}$""),
      TRIM(A110),
      IFERROR(
        TEXT(DATEVALUE(SUBSTITUTE(SUBSTITUTE(TRIM(A110),""-"",""/""),""."",""/"&amp;""")),""dd/mm/yyyy""),
        TRIM(A110)
      )
    )
  )
)
"),"01/11/2024")</f>
        <v>01/11/2024</v>
      </c>
      <c r="L110" s="20">
        <v>45597.0</v>
      </c>
      <c r="M110" s="21" t="str">
        <f>IFERROR(__xludf.DUMMYFUNCTION("PROPER(TRIM(
  REGEXREPLACE(
    REGEXREPLACE(
      SUBSTITUTE(SUBSTITUTE(SUBSTITUTE(SUBSTITUTE(SUBSTITUTE(SUBSTITUTE(SUBSTITUTE(SUBSTITUTE(SUBSTITUTE(SUBSTITUTE(SUBSTITUTE(
        B110,""√©"",""é""),""√°"",""á""),""√±"",""ñ""),""√≥"",""ó""),""√â"",""é"&amp;"""),""√Å"",""á""),""√ç"",""í""),""√Ç"",""Í""),""√Â"",""é""),""√≠"",""í""),""√º"",""ú""),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10" s="22" t="str">
        <f>IFERROR(__xludf.DUMMYFUNCTION("SPLIT(
  TRIM(
    SUBSTITUTE(
      SUBSTITUTE(
        SUBSTITUTE(
          SUBSTITUTE(
            C110,
            ""√©"", ""é""
          ),
          ""√±"", ""ñ""
        ),
        ""√°"", ""á""
      ),
      ""√≥"", ""ó""
    )
  ),
  ""-""
)
"),"Laptop")</f>
        <v>Laptop</v>
      </c>
      <c r="O110" s="22" t="str">
        <f>IFERROR(__xludf.DUMMYFUNCTION("""COMPUTED_VALUE"""),"Oficina")</f>
        <v>Oficina</v>
      </c>
      <c r="P110" s="22" t="str">
        <f>IFERROR(__xludf.DUMMYFUNCTION("""COMPUTED_VALUE"""),"32GB")</f>
        <v>32GB</v>
      </c>
      <c r="Q110" s="23">
        <f t="shared" si="1"/>
        <v>719.59</v>
      </c>
      <c r="R110" s="22">
        <f t="shared" si="2"/>
        <v>3</v>
      </c>
      <c r="S110" s="23">
        <f t="shared" si="3"/>
        <v>2158.77</v>
      </c>
      <c r="T110" s="22" t="str">
        <f>IFERROR(__xludf.DUMMYFUNCTION("PROPER(TRIM(
  LET(
    texto1, REGEXREPLACE(G110,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"),"Lorenzo Minerva Ocampo Aguilar")</f>
        <v>Lorenzo Minerva Ocampo Aguilar</v>
      </c>
      <c r="U110" s="22" t="str">
        <f t="shared" si="4"/>
        <v>7a66e4f7-bc95-4384-85ad-39070d893921</v>
      </c>
      <c r="V110" s="24" t="str">
        <f t="shared" si="5"/>
        <v>Laptop Oficina 32GB</v>
      </c>
    </row>
    <row r="111" ht="15.75" customHeight="1">
      <c r="A111" s="6">
        <v>45601.0</v>
      </c>
      <c r="B111" s="2" t="s">
        <v>50</v>
      </c>
      <c r="C111" s="2" t="s">
        <v>196</v>
      </c>
      <c r="D111" s="7">
        <v>1050.44</v>
      </c>
      <c r="E111" s="2">
        <v>5.0</v>
      </c>
      <c r="F111" s="7">
        <v>5252.2</v>
      </c>
      <c r="G111" s="2" t="s">
        <v>488</v>
      </c>
      <c r="H111" s="2" t="s">
        <v>489</v>
      </c>
      <c r="I111" s="2" t="s">
        <v>490</v>
      </c>
      <c r="K111" s="25" t="str">
        <f>IFERROR(__xludf.DUMMYFUNCTION("IF(ISBLANK(A111),
  """",
  IF(ISNUMBER(A111),
    TEXT(A111,""dd/mm/yyyy""),
    IF(
      REGEXMATCH(TRIM(A111),""^\d{1,2}/\d{1,2}/\d{4}$""),
      TRIM(A111),
      IFERROR(
        TEXT(DATEVALUE(SUBSTITUTE(SUBSTITUTE(TRIM(A111),""-"",""/""),""."",""/"&amp;""")),""dd/mm/yyyy""),
        TRIM(A111)
      )
    )
  )
)
"),"05/11/2024")</f>
        <v>05/11/2024</v>
      </c>
      <c r="L111" s="26">
        <v>45601.0</v>
      </c>
      <c r="M111" s="27" t="str">
        <f>IFERROR(__xludf.DUMMYFUNCTION("PROPER(TRIM(
  REGEXREPLACE(
    REGEXREPLACE(
      SUBSTITUTE(SUBSTITUTE(SUBSTITUTE(SUBSTITUTE(SUBSTITUTE(SUBSTITUTE(SUBSTITUTE(SUBSTITUTE(SUBSTITUTE(SUBSTITUTE(SUBSTITUTE(
        B111,""√©"",""é""),""√°"",""á""),""√±"",""ñ""),""√≥"",""ó""),""√â"",""é"&amp;"""),""√Å"",""á""),""√ç"",""í""),""√Ç"",""Í""),""√Â"",""é""),""√≠"",""í""),""√º"",""ú""),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11" s="28" t="str">
        <f>IFERROR(__xludf.DUMMYFUNCTION("SPLIT(
  TRIM(
    SUBSTITUTE(
      SUBSTITUTE(
        SUBSTITUTE(
          SUBSTITUTE(
            C111,
            ""√©"", ""é""
          ),
          ""√±"", ""ñ""
        ),
        ""√°"", ""á""
      ),
      ""√≥"", ""ó""
    )
  ),
  ""-""
)
"),"Auriculares")</f>
        <v>Auriculares</v>
      </c>
      <c r="O111" s="28" t="str">
        <f>IFERROR(__xludf.DUMMYFUNCTION("""COMPUTED_VALUE"""),"Cancelación de ruido")</f>
        <v>Cancelación de ruido</v>
      </c>
      <c r="P111" s="28" t="str">
        <f>IFERROR(__xludf.DUMMYFUNCTION("""COMPUTED_VALUE"""),"8GB")</f>
        <v>8GB</v>
      </c>
      <c r="Q111" s="29">
        <f t="shared" si="1"/>
        <v>1050.44</v>
      </c>
      <c r="R111" s="28">
        <f t="shared" si="2"/>
        <v>5</v>
      </c>
      <c r="S111" s="29">
        <f t="shared" si="3"/>
        <v>5252.2</v>
      </c>
      <c r="T111" s="28" t="str">
        <f>IFERROR(__xludf.DUMMYFUNCTION("PROPER(TRIM(
  LET(
    texto1, REGEXREPLACE(G111,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"),"Cristian Jacinto Ornelas")</f>
        <v>Cristian Jacinto Ornelas</v>
      </c>
      <c r="U111" s="28" t="str">
        <f t="shared" si="4"/>
        <v>9c66ca34-d486-44b8-bf48-2843a252f7a0</v>
      </c>
      <c r="V111" s="30" t="str">
        <f t="shared" si="5"/>
        <v>Auriculares Cancelación de ruido 8GB</v>
      </c>
    </row>
    <row r="112" ht="15.75" customHeight="1">
      <c r="A112" s="6">
        <v>45635.0</v>
      </c>
      <c r="B112" s="2" t="s">
        <v>50</v>
      </c>
      <c r="C112" s="2" t="s">
        <v>452</v>
      </c>
      <c r="D112" s="7">
        <v>166.45</v>
      </c>
      <c r="E112" s="2">
        <v>5.0</v>
      </c>
      <c r="F112" s="7">
        <v>832.25</v>
      </c>
      <c r="G112" s="2" t="s">
        <v>492</v>
      </c>
      <c r="H112" s="2" t="s">
        <v>493</v>
      </c>
      <c r="I112" s="2" t="s">
        <v>494</v>
      </c>
      <c r="K112" s="19" t="str">
        <f>IFERROR(__xludf.DUMMYFUNCTION("IF(ISBLANK(A112),
  """",
  IF(ISNUMBER(A112),
    TEXT(A112,""dd/mm/yyyy""),
    IF(
      REGEXMATCH(TRIM(A112),""^\d{1,2}/\d{1,2}/\d{4}$""),
      TRIM(A112),
      IFERROR(
        TEXT(DATEVALUE(SUBSTITUTE(SUBSTITUTE(TRIM(A112),""-"",""/""),""."",""/"&amp;""")),""dd/mm/yyyy""),
        TRIM(A112)
      )
    )
  )
)
"),"09/12/2024")</f>
        <v>09/12/2024</v>
      </c>
      <c r="L112" s="20">
        <v>45635.0</v>
      </c>
      <c r="M112" s="21" t="str">
        <f>IFERROR(__xludf.DUMMYFUNCTION("PROPER(TRIM(
  REGEXREPLACE(
    REGEXREPLACE(
      SUBSTITUTE(SUBSTITUTE(SUBSTITUTE(SUBSTITUTE(SUBSTITUTE(SUBSTITUTE(SUBSTITUTE(SUBSTITUTE(SUBSTITUTE(SUBSTITUTE(SUBSTITUTE(
        B112,""√©"",""é""),""√°"",""á""),""√±"",""ñ""),""√≥"",""ó""),""√â"",""é"&amp;"""),""√Å"",""á""),""√ç"",""í""),""√Ç"",""Í""),""√Â"",""é""),""√≠"",""í""),""√º"",""ú""),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12" s="22" t="str">
        <f>IFERROR(__xludf.DUMMYFUNCTION("SPLIT(
  TRIM(
    SUBSTITUTE(
      SUBSTITUTE(
        SUBSTITUTE(
          SUBSTITUTE(
            C112,
            ""√©"", ""é""
          ),
          ""√±"", ""ñ""
        ),
        ""√°"", ""á""
      ),
      ""√≥"", ""ó""
    )
  ),
  ""-""
)
"),"Teléfono")</f>
        <v>Teléfono</v>
      </c>
      <c r="O112" s="22" t="str">
        <f>IFERROR(__xludf.DUMMYFUNCTION("""COMPUTED_VALUE"""),"Gama media")</f>
        <v>Gama media</v>
      </c>
      <c r="P112" s="22" t="str">
        <f>IFERROR(__xludf.DUMMYFUNCTION("""COMPUTED_VALUE"""),"16GB")</f>
        <v>16GB</v>
      </c>
      <c r="Q112" s="23">
        <f t="shared" si="1"/>
        <v>166.45</v>
      </c>
      <c r="R112" s="22">
        <f t="shared" si="2"/>
        <v>5</v>
      </c>
      <c r="S112" s="23">
        <f t="shared" si="3"/>
        <v>832.25</v>
      </c>
      <c r="T112" s="22" t="str">
        <f>IFERROR(__xludf.DUMMYFUNCTION("PROPER(TRIM(
  LET(
    texto1, REGEXREPLACE(G112,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"),"Noelia León Sanches")</f>
        <v>Noelia León Sanches</v>
      </c>
      <c r="U112" s="22" t="str">
        <f t="shared" si="4"/>
        <v>15c297bf-5d8e-4902-b9f9-0205a370b77e</v>
      </c>
      <c r="V112" s="24" t="str">
        <f t="shared" si="5"/>
        <v>Teléfono Gama media 16GB</v>
      </c>
    </row>
    <row r="113" ht="15.75" customHeight="1">
      <c r="A113" s="6">
        <v>45585.0</v>
      </c>
      <c r="B113" s="2" t="s">
        <v>50</v>
      </c>
      <c r="C113" s="2" t="s">
        <v>235</v>
      </c>
      <c r="D113" s="7">
        <v>2299.22</v>
      </c>
      <c r="E113" s="2">
        <v>5.0</v>
      </c>
      <c r="F113" s="7">
        <v>11496.1</v>
      </c>
      <c r="G113" s="2" t="s">
        <v>496</v>
      </c>
      <c r="H113" s="2" t="s">
        <v>497</v>
      </c>
      <c r="I113" s="2" t="s">
        <v>498</v>
      </c>
      <c r="K113" s="25" t="str">
        <f>IFERROR(__xludf.DUMMYFUNCTION("IF(ISBLANK(A113),
  """",
  IF(ISNUMBER(A113),
    TEXT(A113,""dd/mm/yyyy""),
    IF(
      REGEXMATCH(TRIM(A113),""^\d{1,2}/\d{1,2}/\d{4}$""),
      TRIM(A113),
      IFERROR(
        TEXT(DATEVALUE(SUBSTITUTE(SUBSTITUTE(TRIM(A113),""-"",""/""),""."",""/"&amp;""")),""dd/mm/yyyy""),
        TRIM(A113)
      )
    )
  )
)
"),"20/10/2024")</f>
        <v>20/10/2024</v>
      </c>
      <c r="L113" s="26">
        <v>45585.0</v>
      </c>
      <c r="M113" s="27" t="str">
        <f>IFERROR(__xludf.DUMMYFUNCTION("PROPER(TRIM(
  REGEXREPLACE(
    REGEXREPLACE(
      SUBSTITUTE(SUBSTITUTE(SUBSTITUTE(SUBSTITUTE(SUBSTITUTE(SUBSTITUTE(SUBSTITUTE(SUBSTITUTE(SUBSTITUTE(SUBSTITUTE(SUBSTITUTE(
        B113,""√©"",""é""),""√°"",""á""),""√±"",""ñ""),""√≥"",""ó""),""√â"",""é"&amp;"""),""√Å"",""á""),""√ç"",""í""),""√Ç"",""Í""),""√Â"",""é""),""√≠"",""í""),""√º"",""ú""),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13" s="28" t="str">
        <f>IFERROR(__xludf.DUMMYFUNCTION("SPLIT(
  TRIM(
    SUBSTITUTE(
      SUBSTITUTE(
        SUBSTITUTE(
          SUBSTITUTE(
            C113,
            ""√©"", ""é""
          ),
          ""√±"", ""ñ""
        ),
        ""√°"", ""á""
      ),
      ""√≥"", ""ó""
    )
  ),
  ""-""
)
"),"Tablet")</f>
        <v>Tablet</v>
      </c>
      <c r="O113" s="28" t="str">
        <f>IFERROR(__xludf.DUMMYFUNCTION("""COMPUTED_VALUE"""),"Estándar")</f>
        <v>Estándar</v>
      </c>
      <c r="P113" s="28" t="str">
        <f>IFERROR(__xludf.DUMMYFUNCTION("""COMPUTED_VALUE"""),"4GB")</f>
        <v>4GB</v>
      </c>
      <c r="Q113" s="29">
        <f t="shared" si="1"/>
        <v>2299.22</v>
      </c>
      <c r="R113" s="28">
        <f t="shared" si="2"/>
        <v>5</v>
      </c>
      <c r="S113" s="29">
        <f t="shared" si="3"/>
        <v>11496.1</v>
      </c>
      <c r="T113" s="28" t="str">
        <f>IFERROR(__xludf.DUMMYFUNCTION("PROPER(TRIM(
  LET(
    texto1, REGEXREPLACE(G113,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"),"Manuel Tórrez")</f>
        <v>Manuel Tórrez</v>
      </c>
      <c r="U113" s="28" t="str">
        <f t="shared" si="4"/>
        <v>ed2140fd-8a01-4a73-bd2d-02153d2e7f26</v>
      </c>
      <c r="V113" s="30" t="str">
        <f t="shared" si="5"/>
        <v>Tablet Estándar 4GB</v>
      </c>
    </row>
    <row r="114" ht="15.75" customHeight="1">
      <c r="A114" s="6" t="s">
        <v>499</v>
      </c>
      <c r="B114" s="2" t="s">
        <v>27</v>
      </c>
      <c r="C114" s="2" t="s">
        <v>500</v>
      </c>
      <c r="D114" s="7">
        <v>599.4</v>
      </c>
      <c r="E114" s="2">
        <v>1.0</v>
      </c>
      <c r="F114" s="7">
        <v>599.4</v>
      </c>
      <c r="G114" s="2" t="s">
        <v>501</v>
      </c>
      <c r="H114" s="2" t="s">
        <v>502</v>
      </c>
      <c r="I114" s="2" t="s">
        <v>503</v>
      </c>
      <c r="K114" s="19" t="str">
        <f>IFERROR(__xludf.DUMMYFUNCTION("IF(ISBLANK(A114),
  """",
  IF(ISNUMBER(A114),
    TEXT(A114,""dd/mm/yyyy""),
    IF(
      REGEXMATCH(TRIM(A114),""^\d{1,2}/\d{1,2}/\d{4}$""),
      TRIM(A114),
      IFERROR(
        TEXT(DATEVALUE(SUBSTITUTE(SUBSTITUTE(TRIM(A114),""-"",""/""),""."",""/"&amp;""")),""dd/mm/yyyy""),
        TRIM(A114)
      )
    )
  )
)
"),"30/10/2024")</f>
        <v>30/10/2024</v>
      </c>
      <c r="L114" s="20">
        <v>45595.0</v>
      </c>
      <c r="M114" s="21" t="str">
        <f>IFERROR(__xludf.DUMMYFUNCTION("PROPER(TRIM(
  REGEXREPLACE(
    REGEXREPLACE(
      SUBSTITUTE(SUBSTITUTE(SUBSTITUTE(SUBSTITUTE(SUBSTITUTE(SUBSTITUTE(SUBSTITUTE(SUBSTITUTE(SUBSTITUTE(SUBSTITUTE(SUBSTITUTE(
        B114,""√©"",""é""),""√°"",""á""),""√±"",""ñ""),""√≥"",""ó""),""√â"",""é"&amp;"""),""√Å"",""á""),""√ç"",""í""),""√Ç"",""Í""),""√Â"",""é""),""√≠"",""í""),""√º"",""ú""),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14" s="22" t="str">
        <f>IFERROR(__xludf.DUMMYFUNCTION("SPLIT(
  TRIM(
    SUBSTITUTE(
      SUBSTITUTE(
        SUBSTITUTE(
          SUBSTITUTE(
            C114,
            ""√©"", ""é""
          ),
          ""√±"", ""ñ""
        ),
        ""√°"", ""á""
      ),
      ""√≥"", ""ó""
    )
  ),
  ""-""
)
"),"Teléfono")</f>
        <v>Teléfono</v>
      </c>
      <c r="O114" s="22" t="str">
        <f>IFERROR(__xludf.DUMMYFUNCTION("""COMPUTED_VALUE"""),"Gama alta")</f>
        <v>Gama alta</v>
      </c>
      <c r="P114" s="22" t="str">
        <f>IFERROR(__xludf.DUMMYFUNCTION("""COMPUTED_VALUE"""),"32GB")</f>
        <v>32GB</v>
      </c>
      <c r="Q114" s="23">
        <f t="shared" si="1"/>
        <v>599.4</v>
      </c>
      <c r="R114" s="22">
        <f t="shared" si="2"/>
        <v>1</v>
      </c>
      <c r="S114" s="23">
        <f t="shared" si="3"/>
        <v>599.4</v>
      </c>
      <c r="T114" s="22" t="str">
        <f>IFERROR(__xludf.DUMMYFUNCTION("PROPER(TRIM(
  LET(
    texto1, REGEXREPLACE(G114,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"),"Yeni Indira Loya")</f>
        <v>Yeni Indira Loya</v>
      </c>
      <c r="U114" s="22" t="str">
        <f t="shared" si="4"/>
        <v>ad128167-ed41-4cfc-980f-861300230ea2</v>
      </c>
      <c r="V114" s="24" t="str">
        <f t="shared" si="5"/>
        <v>Teléfono Gama alta 32GB</v>
      </c>
    </row>
    <row r="115" ht="15.75" customHeight="1">
      <c r="A115" s="6">
        <v>45572.0</v>
      </c>
      <c r="B115" s="2" t="s">
        <v>50</v>
      </c>
      <c r="C115" s="2" t="s">
        <v>172</v>
      </c>
      <c r="D115" s="7">
        <v>370.25</v>
      </c>
      <c r="E115" s="2">
        <v>4.0</v>
      </c>
      <c r="F115" s="7">
        <v>1481.0</v>
      </c>
      <c r="G115" s="2" t="s">
        <v>505</v>
      </c>
      <c r="H115" s="2" t="s">
        <v>506</v>
      </c>
      <c r="I115" s="2" t="s">
        <v>507</v>
      </c>
      <c r="K115" s="25" t="str">
        <f>IFERROR(__xludf.DUMMYFUNCTION("IF(ISBLANK(A115),
  """",
  IF(ISNUMBER(A115),
    TEXT(A115,""dd/mm/yyyy""),
    IF(
      REGEXMATCH(TRIM(A115),""^\d{1,2}/\d{1,2}/\d{4}$""),
      TRIM(A115),
      IFERROR(
        TEXT(DATEVALUE(SUBSTITUTE(SUBSTITUTE(TRIM(A115),""-"",""/""),""."",""/"&amp;""")),""dd/mm/yyyy""),
        TRIM(A115)
      )
    )
  )
)
"),"07/10/2024")</f>
        <v>07/10/2024</v>
      </c>
      <c r="L115" s="26">
        <v>45572.0</v>
      </c>
      <c r="M115" s="27" t="str">
        <f>IFERROR(__xludf.DUMMYFUNCTION("PROPER(TRIM(
  REGEXREPLACE(
    REGEXREPLACE(
      SUBSTITUTE(SUBSTITUTE(SUBSTITUTE(SUBSTITUTE(SUBSTITUTE(SUBSTITUTE(SUBSTITUTE(SUBSTITUTE(SUBSTITUTE(SUBSTITUTE(SUBSTITUTE(
        B115,""√©"",""é""),""√°"",""á""),""√±"",""ñ""),""√≥"",""ó""),""√â"",""é"&amp;"""),""√Å"",""á""),""√ç"",""í""),""√Ç"",""Í""),""√Â"",""é""),""√≠"",""í""),""√º"",""ú""),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15" s="28" t="str">
        <f>IFERROR(__xludf.DUMMYFUNCTION("SPLIT(
  TRIM(
    SUBSTITUTE(
      SUBSTITUTE(
        SUBSTITUTE(
          SUBSTITUTE(
            C115,
            ""√©"", ""é""
          ),
          ""√±"", ""ñ""
        ),
        ""√°"", ""á""
      ),
      ""√≥"", ""ó""
    )
  ),
  ""-""
)
"),"Laptop")</f>
        <v>Laptop</v>
      </c>
      <c r="O115" s="28" t="str">
        <f>IFERROR(__xludf.DUMMYFUNCTION("""COMPUTED_VALUE"""),"Oficina")</f>
        <v>Oficina</v>
      </c>
      <c r="P115" s="28" t="str">
        <f>IFERROR(__xludf.DUMMYFUNCTION("""COMPUTED_VALUE"""),"8GB")</f>
        <v>8GB</v>
      </c>
      <c r="Q115" s="29">
        <f t="shared" si="1"/>
        <v>370.25</v>
      </c>
      <c r="R115" s="28">
        <f t="shared" si="2"/>
        <v>4</v>
      </c>
      <c r="S115" s="29">
        <f t="shared" si="3"/>
        <v>1481</v>
      </c>
      <c r="T115" s="28" t="str">
        <f>IFERROR(__xludf.DUMMYFUNCTION("PROPER(TRIM(
  LET(
    texto1, REGEXREPLACE(G115,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"),"Francisca Lucas Jaimes Zavala")</f>
        <v>Francisca Lucas Jaimes Zavala</v>
      </c>
      <c r="U115" s="28" t="str">
        <f t="shared" si="4"/>
        <v>9c8710a3-d9ef-4a00-9c0b-7c93d5fb8f63</v>
      </c>
      <c r="V115" s="30" t="str">
        <f t="shared" si="5"/>
        <v>Laptop Oficina 8GB</v>
      </c>
    </row>
    <row r="116" ht="15.75" customHeight="1">
      <c r="A116" s="6" t="s">
        <v>115</v>
      </c>
      <c r="B116" s="2" t="s">
        <v>50</v>
      </c>
      <c r="C116" s="2" t="s">
        <v>508</v>
      </c>
      <c r="D116" s="7">
        <v>1747.28</v>
      </c>
      <c r="E116" s="2">
        <v>1.0</v>
      </c>
      <c r="F116" s="7">
        <v>1747.28</v>
      </c>
      <c r="G116" s="2" t="s">
        <v>509</v>
      </c>
      <c r="H116" s="2" t="s">
        <v>510</v>
      </c>
      <c r="I116" s="2" t="s">
        <v>511</v>
      </c>
      <c r="K116" s="19" t="str">
        <f>IFERROR(__xludf.DUMMYFUNCTION("IF(ISBLANK(A116),
  """",
  IF(ISNUMBER(A116),
    TEXT(A116,""dd/mm/yyyy""),
    IF(
      REGEXMATCH(TRIM(A116),""^\d{1,2}/\d{1,2}/\d{4}$""),
      TRIM(A116),
      IFERROR(
        TEXT(DATEVALUE(SUBSTITUTE(SUBSTITUTE(TRIM(A116),""-"",""/""),""."",""/"&amp;""")),""dd/mm/yyyy""),
        TRIM(A116)
      )
    )
  )
)
"),"29/12/2024")</f>
        <v>29/12/2024</v>
      </c>
      <c r="L116" s="20">
        <v>45655.0</v>
      </c>
      <c r="M116" s="21" t="str">
        <f>IFERROR(__xludf.DUMMYFUNCTION("PROPER(TRIM(
  REGEXREPLACE(
    REGEXREPLACE(
      SUBSTITUTE(SUBSTITUTE(SUBSTITUTE(SUBSTITUTE(SUBSTITUTE(SUBSTITUTE(SUBSTITUTE(SUBSTITUTE(SUBSTITUTE(SUBSTITUTE(SUBSTITUTE(
        B116,""√©"",""é""),""√°"",""á""),""√±"",""ñ""),""√≥"",""ó""),""√â"",""é"&amp;"""),""√Å"",""á""),""√ç"",""í""),""√Ç"",""Í""),""√Â"",""é""),""√≠"",""í""),""√º"",""ú""),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16" s="22" t="str">
        <f>IFERROR(__xludf.DUMMYFUNCTION("SPLIT(
  TRIM(
    SUBSTITUTE(
      SUBSTITUTE(
        SUBSTITUTE(
          SUBSTITUTE(
            C116,
            ""√©"", ""é""
          ),
          ""√±"", ""ñ""
        ),
        ""√°"", ""á""
      ),
      ""√≥"", ""ó""
    )
  ),
  ""-""
)
"),"Auriculares")</f>
        <v>Auriculares</v>
      </c>
      <c r="O116" s="22" t="str">
        <f>IFERROR(__xludf.DUMMYFUNCTION("""COMPUTED_VALUE"""),"Cancelación de ruido")</f>
        <v>Cancelación de ruido</v>
      </c>
      <c r="P116" s="22" t="str">
        <f>IFERROR(__xludf.DUMMYFUNCTION("""COMPUTED_VALUE"""),"16GB")</f>
        <v>16GB</v>
      </c>
      <c r="Q116" s="23">
        <f t="shared" si="1"/>
        <v>1747.28</v>
      </c>
      <c r="R116" s="22">
        <f t="shared" si="2"/>
        <v>1</v>
      </c>
      <c r="S116" s="23">
        <f t="shared" si="3"/>
        <v>1747.28</v>
      </c>
      <c r="T116" s="22" t="str">
        <f>IFERROR(__xludf.DUMMYFUNCTION("PROPER(TRIM(
  LET(
    texto1, REGEXREPLACE(G116,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"),"Esteban Violeta Loya")</f>
        <v>Esteban Violeta Loya</v>
      </c>
      <c r="U116" s="22" t="str">
        <f t="shared" si="4"/>
        <v>8f1343f8-568b-4478-bc57-4112e44e97c4</v>
      </c>
      <c r="V116" s="24" t="str">
        <f t="shared" si="5"/>
        <v>Auriculares Cancelación de ruido 16GB</v>
      </c>
    </row>
    <row r="117" ht="15.75" customHeight="1">
      <c r="A117" s="6">
        <v>45595.0</v>
      </c>
      <c r="B117" s="2" t="s">
        <v>85</v>
      </c>
      <c r="C117" s="2" t="s">
        <v>250</v>
      </c>
      <c r="D117" s="7">
        <v>1099.54</v>
      </c>
      <c r="E117" s="2">
        <v>2.0</v>
      </c>
      <c r="F117" s="7">
        <v>2199.08</v>
      </c>
      <c r="G117" s="2" t="s">
        <v>513</v>
      </c>
      <c r="H117" s="2" t="s">
        <v>514</v>
      </c>
      <c r="I117" s="2" t="s">
        <v>515</v>
      </c>
      <c r="K117" s="25" t="str">
        <f>IFERROR(__xludf.DUMMYFUNCTION("IF(ISBLANK(A117),
  """",
  IF(ISNUMBER(A117),
    TEXT(A117,""dd/mm/yyyy""),
    IF(
      REGEXMATCH(TRIM(A117),""^\d{1,2}/\d{1,2}/\d{4}$""),
      TRIM(A117),
      IFERROR(
        TEXT(DATEVALUE(SUBSTITUTE(SUBSTITUTE(TRIM(A117),""-"",""/""),""."",""/"&amp;""")),""dd/mm/yyyy""),
        TRIM(A117)
      )
    )
  )
)
"),"30/10/2024")</f>
        <v>30/10/2024</v>
      </c>
      <c r="L117" s="26">
        <v>45595.0</v>
      </c>
      <c r="M117" s="27" t="str">
        <f>IFERROR(__xludf.DUMMYFUNCTION("PROPER(TRIM(
  REGEXREPLACE(
    REGEXREPLACE(
      SUBSTITUTE(SUBSTITUTE(SUBSTITUTE(SUBSTITUTE(SUBSTITUTE(SUBSTITUTE(SUBSTITUTE(SUBSTITUTE(SUBSTITUTE(SUBSTITUTE(SUBSTITUTE(
        B117,""√©"",""é""),""√°"",""á""),""√±"",""ñ""),""√≥"",""ó""),""√â"",""é"&amp;"""),""√Å"",""á""),""√ç"",""í""),""√Ç"",""Í""),""√Â"",""é""),""√≠"",""í""),""√º"",""ú""),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17" s="28" t="str">
        <f>IFERROR(__xludf.DUMMYFUNCTION("SPLIT(
  TRIM(
    SUBSTITUTE(
      SUBSTITUTE(
        SUBSTITUTE(
          SUBSTITUTE(
            C117,
            ""√©"", ""é""
          ),
          ""√±"", ""ñ""
        ),
        ""√°"", ""á""
      ),
      ""√≥"", ""ó""
    )
  ),
  ""-""
)
"),"Laptop")</f>
        <v>Laptop</v>
      </c>
      <c r="O117" s="28" t="str">
        <f>IFERROR(__xludf.DUMMYFUNCTION("""COMPUTED_VALUE"""),"Oficina")</f>
        <v>Oficina</v>
      </c>
      <c r="P117" s="28" t="str">
        <f>IFERROR(__xludf.DUMMYFUNCTION("""COMPUTED_VALUE"""),"32GB")</f>
        <v>32GB</v>
      </c>
      <c r="Q117" s="29">
        <f t="shared" si="1"/>
        <v>1099.54</v>
      </c>
      <c r="R117" s="28">
        <f t="shared" si="2"/>
        <v>2</v>
      </c>
      <c r="S117" s="29">
        <f t="shared" si="3"/>
        <v>2199.08</v>
      </c>
      <c r="T117" s="28" t="str">
        <f>IFERROR(__xludf.DUMMYFUNCTION("PROPER(TRIM(
  LET(
    texto1, REGEXREPLACE(G117,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"),"Martha Tamayo Niño")</f>
        <v>Martha Tamayo Niño</v>
      </c>
      <c r="U117" s="28" t="str">
        <f t="shared" si="4"/>
        <v>d220d617-88a5-417d-906a-713dd8d57f69</v>
      </c>
      <c r="V117" s="30" t="str">
        <f t="shared" si="5"/>
        <v>Laptop Oficina 32GB</v>
      </c>
    </row>
    <row r="118" ht="15.75" customHeight="1">
      <c r="A118" s="6">
        <v>45575.0</v>
      </c>
      <c r="B118" s="2" t="s">
        <v>27</v>
      </c>
      <c r="C118" s="2" t="s">
        <v>397</v>
      </c>
      <c r="D118" s="7">
        <v>157.57</v>
      </c>
      <c r="E118" s="2">
        <v>2.0</v>
      </c>
      <c r="F118" s="7">
        <v>315.14</v>
      </c>
      <c r="G118" s="2" t="s">
        <v>516</v>
      </c>
      <c r="H118" s="2" t="s">
        <v>517</v>
      </c>
      <c r="I118" s="2" t="s">
        <v>518</v>
      </c>
      <c r="K118" s="19" t="str">
        <f>IFERROR(__xludf.DUMMYFUNCTION("IF(ISBLANK(A118),
  """",
  IF(ISNUMBER(A118),
    TEXT(A118,""dd/mm/yyyy""),
    IF(
      REGEXMATCH(TRIM(A118),""^\d{1,2}/\d{1,2}/\d{4}$""),
      TRIM(A118),
      IFERROR(
        TEXT(DATEVALUE(SUBSTITUTE(SUBSTITUTE(TRIM(A118),""-"",""/""),""."",""/"&amp;""")),""dd/mm/yyyy""),
        TRIM(A118)
      )
    )
  )
)
"),"10/10/2024")</f>
        <v>10/10/2024</v>
      </c>
      <c r="L118" s="20">
        <v>45575.0</v>
      </c>
      <c r="M118" s="21" t="str">
        <f>IFERROR(__xludf.DUMMYFUNCTION("PROPER(TRIM(
  REGEXREPLACE(
    REGEXREPLACE(
      SUBSTITUTE(SUBSTITUTE(SUBSTITUTE(SUBSTITUTE(SUBSTITUTE(SUBSTITUTE(SUBSTITUTE(SUBSTITUTE(SUBSTITUTE(SUBSTITUTE(SUBSTITUTE(
        B118,""√©"",""é""),""√°"",""á""),""√±"",""ñ""),""√≥"",""ó""),""√â"",""é"&amp;"""),""√Å"",""á""),""√ç"",""í""),""√Ç"",""Í""),""√Â"",""é""),""√≠"",""í""),""√º"",""ú""),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18" s="22" t="str">
        <f>IFERROR(__xludf.DUMMYFUNCTION("SPLIT(
  TRIM(
    SUBSTITUTE(
      SUBSTITUTE(
        SUBSTITUTE(
          SUBSTITUTE(
            C118,
            ""√©"", ""é""
          ),
          ""√±"", ""ñ""
        ),
        ""√°"", ""á""
      ),
      ""√≥"", ""ó""
    )
  ),
  ""-""
)
"),"Teléfono")</f>
        <v>Teléfono</v>
      </c>
      <c r="O118" s="22" t="str">
        <f>IFERROR(__xludf.DUMMYFUNCTION("""COMPUTED_VALUE"""),"Gama media")</f>
        <v>Gama media</v>
      </c>
      <c r="P118" s="22" t="str">
        <f>IFERROR(__xludf.DUMMYFUNCTION("""COMPUTED_VALUE"""),"32GB")</f>
        <v>32GB</v>
      </c>
      <c r="Q118" s="23">
        <f t="shared" si="1"/>
        <v>157.57</v>
      </c>
      <c r="R118" s="22">
        <f t="shared" si="2"/>
        <v>2</v>
      </c>
      <c r="S118" s="23">
        <f t="shared" si="3"/>
        <v>315.14</v>
      </c>
      <c r="T118" s="22" t="str">
        <f>IFERROR(__xludf.DUMMYFUNCTION("PROPER(TRIM(
  LET(
    texto1, REGEXREPLACE(G118,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"),"Ernesto Rendón")</f>
        <v>Ernesto Rendón</v>
      </c>
      <c r="U118" s="22" t="str">
        <f t="shared" si="4"/>
        <v>7c7c5e94-04af-466b-bbd2-9ba60b16b6cc</v>
      </c>
      <c r="V118" s="24" t="str">
        <f t="shared" si="5"/>
        <v>Teléfono Gama media 32GB</v>
      </c>
    </row>
    <row r="119" ht="15.75" customHeight="1">
      <c r="A119" s="6" t="s">
        <v>519</v>
      </c>
      <c r="B119" s="2" t="s">
        <v>50</v>
      </c>
      <c r="C119" s="2" t="s">
        <v>508</v>
      </c>
      <c r="D119" s="7">
        <v>2200.84</v>
      </c>
      <c r="E119" s="2">
        <v>3.0</v>
      </c>
      <c r="F119" s="7">
        <v>6602.52</v>
      </c>
      <c r="G119" s="2" t="s">
        <v>520</v>
      </c>
      <c r="H119" s="2" t="s">
        <v>521</v>
      </c>
      <c r="I119" s="2" t="s">
        <v>522</v>
      </c>
      <c r="K119" s="25" t="str">
        <f>IFERROR(__xludf.DUMMYFUNCTION("IF(ISBLANK(A119),
  """",
  IF(ISNUMBER(A119),
    TEXT(A119,""dd/mm/yyyy""),
    IF(
      REGEXMATCH(TRIM(A119),""^\d{1,2}/\d{1,2}/\d{4}$""),
      TRIM(A119),
      IFERROR(
        TEXT(DATEVALUE(SUBSTITUTE(SUBSTITUTE(TRIM(A119),""-"",""/""),""."",""/"&amp;""")),""dd/mm/yyyy""),
        TRIM(A119)
      )
    )
  )
)
"),"16/10/2024")</f>
        <v>16/10/2024</v>
      </c>
      <c r="L119" s="26">
        <v>45581.0</v>
      </c>
      <c r="M119" s="27" t="str">
        <f>IFERROR(__xludf.DUMMYFUNCTION("PROPER(TRIM(
  REGEXREPLACE(
    REGEXREPLACE(
      SUBSTITUTE(SUBSTITUTE(SUBSTITUTE(SUBSTITUTE(SUBSTITUTE(SUBSTITUTE(SUBSTITUTE(SUBSTITUTE(SUBSTITUTE(SUBSTITUTE(SUBSTITUTE(
        B119,""√©"",""é""),""√°"",""á""),""√±"",""ñ""),""√≥"",""ó""),""√â"",""é"&amp;"""),""√Å"",""á""),""√ç"",""í""),""√Ç"",""Í""),""√Â"",""é""),""√≠"",""í""),""√º"",""ú""),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19" s="28" t="str">
        <f>IFERROR(__xludf.DUMMYFUNCTION("SPLIT(
  TRIM(
    SUBSTITUTE(
      SUBSTITUTE(
        SUBSTITUTE(
          SUBSTITUTE(
            C119,
            ""√©"", ""é""
          ),
          ""√±"", ""ñ""
        ),
        ""√°"", ""á""
      ),
      ""√≥"", ""ó""
    )
  ),
  ""-""
)
"),"Auriculares")</f>
        <v>Auriculares</v>
      </c>
      <c r="O119" s="28" t="str">
        <f>IFERROR(__xludf.DUMMYFUNCTION("""COMPUTED_VALUE"""),"Cancelación de ruido")</f>
        <v>Cancelación de ruido</v>
      </c>
      <c r="P119" s="28" t="str">
        <f>IFERROR(__xludf.DUMMYFUNCTION("""COMPUTED_VALUE"""),"16GB")</f>
        <v>16GB</v>
      </c>
      <c r="Q119" s="29">
        <f t="shared" si="1"/>
        <v>2200.84</v>
      </c>
      <c r="R119" s="28">
        <f t="shared" si="2"/>
        <v>3</v>
      </c>
      <c r="S119" s="29">
        <f t="shared" si="3"/>
        <v>6602.52</v>
      </c>
      <c r="T119" s="28" t="str">
        <f>IFERROR(__xludf.DUMMYFUNCTION("PROPER(TRIM(
  LET(
    texto1, REGEXREPLACE(G119,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"),"Gustavo Bernardo Briseño Marín")</f>
        <v>Gustavo Bernardo Briseño Marín</v>
      </c>
      <c r="U119" s="28" t="str">
        <f t="shared" si="4"/>
        <v>84e9d394-3af7-4da9-9805-83c89cc6120f</v>
      </c>
      <c r="V119" s="30" t="str">
        <f t="shared" si="5"/>
        <v>Auriculares Cancelación de ruido 16GB</v>
      </c>
    </row>
    <row r="120" ht="15.75" customHeight="1">
      <c r="A120" s="6">
        <v>45646.0</v>
      </c>
      <c r="B120" s="2" t="s">
        <v>27</v>
      </c>
      <c r="C120" s="2" t="s">
        <v>397</v>
      </c>
      <c r="D120" s="7">
        <v>290.07</v>
      </c>
      <c r="E120" s="2">
        <v>4.0</v>
      </c>
      <c r="F120" s="7">
        <v>1160.28</v>
      </c>
      <c r="G120" s="2" t="s">
        <v>523</v>
      </c>
      <c r="H120" s="2" t="s">
        <v>524</v>
      </c>
      <c r="I120" s="2" t="s">
        <v>525</v>
      </c>
      <c r="K120" s="19" t="str">
        <f>IFERROR(__xludf.DUMMYFUNCTION("IF(ISBLANK(A120),
  """",
  IF(ISNUMBER(A120),
    TEXT(A120,""dd/mm/yyyy""),
    IF(
      REGEXMATCH(TRIM(A120),""^\d{1,2}/\d{1,2}/\d{4}$""),
      TRIM(A120),
      IFERROR(
        TEXT(DATEVALUE(SUBSTITUTE(SUBSTITUTE(TRIM(A120),""-"",""/""),""."",""/"&amp;""")),""dd/mm/yyyy""),
        TRIM(A120)
      )
    )
  )
)
"),"20/12/2024")</f>
        <v>20/12/2024</v>
      </c>
      <c r="L120" s="20">
        <v>45646.0</v>
      </c>
      <c r="M120" s="21" t="str">
        <f>IFERROR(__xludf.DUMMYFUNCTION("PROPER(TRIM(
  REGEXREPLACE(
    REGEXREPLACE(
      SUBSTITUTE(SUBSTITUTE(SUBSTITUTE(SUBSTITUTE(SUBSTITUTE(SUBSTITUTE(SUBSTITUTE(SUBSTITUTE(SUBSTITUTE(SUBSTITUTE(SUBSTITUTE(
        B120,""√©"",""é""),""√°"",""á""),""√±"",""ñ""),""√≥"",""ó""),""√â"",""é"&amp;"""),""√Å"",""á""),""√ç"",""í""),""√Ç"",""Í""),""√Â"",""é""),""√≠"",""í""),""√º"",""ú""),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20" s="22" t="str">
        <f>IFERROR(__xludf.DUMMYFUNCTION("SPLIT(
  TRIM(
    SUBSTITUTE(
      SUBSTITUTE(
        SUBSTITUTE(
          SUBSTITUTE(
            C120,
            ""√©"", ""é""
          ),
          ""√±"", ""ñ""
        ),
        ""√°"", ""á""
      ),
      ""√≥"", ""ó""
    )
  ),
  ""-""
)
"),"Teléfono")</f>
        <v>Teléfono</v>
      </c>
      <c r="O120" s="22" t="str">
        <f>IFERROR(__xludf.DUMMYFUNCTION("""COMPUTED_VALUE"""),"Gama media")</f>
        <v>Gama media</v>
      </c>
      <c r="P120" s="22" t="str">
        <f>IFERROR(__xludf.DUMMYFUNCTION("""COMPUTED_VALUE"""),"32GB")</f>
        <v>32GB</v>
      </c>
      <c r="Q120" s="23">
        <f t="shared" si="1"/>
        <v>290.07</v>
      </c>
      <c r="R120" s="22">
        <f t="shared" si="2"/>
        <v>4</v>
      </c>
      <c r="S120" s="23">
        <f t="shared" si="3"/>
        <v>1160.28</v>
      </c>
      <c r="T120" s="22" t="str">
        <f>IFERROR(__xludf.DUMMYFUNCTION("PROPER(TRIM(
  LET(
    texto1, REGEXREPLACE(G120,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"),"Benjamín Alejandra Zapata Zamudio")</f>
        <v>Benjamín Alejandra Zapata Zamudio</v>
      </c>
      <c r="U120" s="22" t="str">
        <f t="shared" si="4"/>
        <v>d5d39d13-0c4d-4695-9fb3-6fbc66298a78</v>
      </c>
      <c r="V120" s="24" t="str">
        <f t="shared" si="5"/>
        <v>Teléfono Gama media 32GB</v>
      </c>
    </row>
    <row r="121" ht="15.75" customHeight="1">
      <c r="A121" s="6">
        <v>45640.0</v>
      </c>
      <c r="B121" s="2" t="s">
        <v>101</v>
      </c>
      <c r="C121" s="2" t="s">
        <v>508</v>
      </c>
      <c r="D121" s="7">
        <v>2312.52</v>
      </c>
      <c r="E121" s="2">
        <v>1.0</v>
      </c>
      <c r="F121" s="7">
        <v>2312.52</v>
      </c>
      <c r="G121" s="2" t="s">
        <v>527</v>
      </c>
      <c r="H121" s="2" t="s">
        <v>528</v>
      </c>
      <c r="I121" s="2" t="s">
        <v>529</v>
      </c>
      <c r="K121" s="25" t="str">
        <f>IFERROR(__xludf.DUMMYFUNCTION("IF(ISBLANK(A121),
  """",
  IF(ISNUMBER(A121),
    TEXT(A121,""dd/mm/yyyy""),
    IF(
      REGEXMATCH(TRIM(A121),""^\d{1,2}/\d{1,2}/\d{4}$""),
      TRIM(A121),
      IFERROR(
        TEXT(DATEVALUE(SUBSTITUTE(SUBSTITUTE(TRIM(A121),""-"",""/""),""."",""/"&amp;""")),""dd/mm/yyyy""),
        TRIM(A121)
      )
    )
  )
)
"),"14/12/2024")</f>
        <v>14/12/2024</v>
      </c>
      <c r="L121" s="26">
        <v>45640.0</v>
      </c>
      <c r="M121" s="27" t="str">
        <f>IFERROR(__xludf.DUMMYFUNCTION("PROPER(TRIM(
  REGEXREPLACE(
    REGEXREPLACE(
      SUBSTITUTE(SUBSTITUTE(SUBSTITUTE(SUBSTITUTE(SUBSTITUTE(SUBSTITUTE(SUBSTITUTE(SUBSTITUTE(SUBSTITUTE(SUBSTITUTE(SUBSTITUTE(
        B121,""√©"",""é""),""√°"",""á""),""√±"",""ñ""),""√≥"",""ó""),""√â"",""é"&amp;"""),""√Å"",""á""),""√ç"",""í""),""√Ç"",""Í""),""√Â"",""é""),""√≠"",""í""),""√º"",""ú""),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21" s="28" t="str">
        <f>IFERROR(__xludf.DUMMYFUNCTION("SPLIT(
  TRIM(
    SUBSTITUTE(
      SUBSTITUTE(
        SUBSTITUTE(
          SUBSTITUTE(
            C121,
            ""√©"", ""é""
          ),
          ""√±"", ""ñ""
        ),
        ""√°"", ""á""
      ),
      ""√≥"", ""ó""
    )
  ),
  ""-""
)
"),"Auriculares")</f>
        <v>Auriculares</v>
      </c>
      <c r="O121" s="28" t="str">
        <f>IFERROR(__xludf.DUMMYFUNCTION("""COMPUTED_VALUE"""),"Cancelación de ruido")</f>
        <v>Cancelación de ruido</v>
      </c>
      <c r="P121" s="28" t="str">
        <f>IFERROR(__xludf.DUMMYFUNCTION("""COMPUTED_VALUE"""),"16GB")</f>
        <v>16GB</v>
      </c>
      <c r="Q121" s="29">
        <f t="shared" si="1"/>
        <v>2312.52</v>
      </c>
      <c r="R121" s="28">
        <f t="shared" si="2"/>
        <v>1</v>
      </c>
      <c r="S121" s="29">
        <f t="shared" si="3"/>
        <v>2312.52</v>
      </c>
      <c r="T121" s="28" t="str">
        <f>IFERROR(__xludf.DUMMYFUNCTION("PROPER(TRIM(
  LET(
    texto1, REGEXREPLACE(G121,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"),"Gerardo Sauceda")</f>
        <v>Gerardo Sauceda</v>
      </c>
      <c r="U121" s="28" t="str">
        <f t="shared" si="4"/>
        <v>e8b495a0-823c-484a-8e06-d1bdd07a0b5f</v>
      </c>
      <c r="V121" s="30" t="str">
        <f t="shared" si="5"/>
        <v>Auriculares Cancelación de ruido 16GB</v>
      </c>
    </row>
    <row r="122" ht="15.75" customHeight="1">
      <c r="A122" s="6" t="s">
        <v>392</v>
      </c>
      <c r="B122" s="2" t="s">
        <v>27</v>
      </c>
      <c r="C122" s="2" t="s">
        <v>508</v>
      </c>
      <c r="D122" s="7">
        <v>1401.28</v>
      </c>
      <c r="E122" s="2">
        <v>5.0</v>
      </c>
      <c r="F122" s="7">
        <v>7006.4</v>
      </c>
      <c r="G122" s="2" t="s">
        <v>530</v>
      </c>
      <c r="H122" s="2" t="s">
        <v>531</v>
      </c>
      <c r="I122" s="2" t="s">
        <v>532</v>
      </c>
      <c r="K122" s="19" t="str">
        <f>IFERROR(__xludf.DUMMYFUNCTION("IF(ISBLANK(A122),
  """",
  IF(ISNUMBER(A122),
    TEXT(A122,""dd/mm/yyyy""),
    IF(
      REGEXMATCH(TRIM(A122),""^\d{1,2}/\d{1,2}/\d{4}$""),
      TRIM(A122),
      IFERROR(
        TEXT(DATEVALUE(SUBSTITUTE(SUBSTITUTE(TRIM(A122),""-"",""/""),""."",""/"&amp;""")),""dd/mm/yyyy""),
        TRIM(A122)
      )
    )
  )
)
"),"13/10/2024")</f>
        <v>13/10/2024</v>
      </c>
      <c r="L122" s="20">
        <v>45578.0</v>
      </c>
      <c r="M122" s="21" t="str">
        <f>IFERROR(__xludf.DUMMYFUNCTION("PROPER(TRIM(
  REGEXREPLACE(
    REGEXREPLACE(
      SUBSTITUTE(SUBSTITUTE(SUBSTITUTE(SUBSTITUTE(SUBSTITUTE(SUBSTITUTE(SUBSTITUTE(SUBSTITUTE(SUBSTITUTE(SUBSTITUTE(SUBSTITUTE(
        B122,""√©"",""é""),""√°"",""á""),""√±"",""ñ""),""√≥"",""ó""),""√â"",""é"&amp;"""),""√Å"",""á""),""√ç"",""í""),""√Ç"",""Í""),""√Â"",""é""),""√≠"",""í""),""√º"",""ú""),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22" s="22" t="str">
        <f>IFERROR(__xludf.DUMMYFUNCTION("SPLIT(
  TRIM(
    SUBSTITUTE(
      SUBSTITUTE(
        SUBSTITUTE(
          SUBSTITUTE(
            C122,
            ""√©"", ""é""
          ),
          ""√±"", ""ñ""
        ),
        ""√°"", ""á""
      ),
      ""√≥"", ""ó""
    )
  ),
  ""-""
)
"),"Auriculares")</f>
        <v>Auriculares</v>
      </c>
      <c r="O122" s="22" t="str">
        <f>IFERROR(__xludf.DUMMYFUNCTION("""COMPUTED_VALUE"""),"Cancelación de ruido")</f>
        <v>Cancelación de ruido</v>
      </c>
      <c r="P122" s="22" t="str">
        <f>IFERROR(__xludf.DUMMYFUNCTION("""COMPUTED_VALUE"""),"16GB")</f>
        <v>16GB</v>
      </c>
      <c r="Q122" s="23">
        <f t="shared" si="1"/>
        <v>1401.28</v>
      </c>
      <c r="R122" s="22">
        <f t="shared" si="2"/>
        <v>5</v>
      </c>
      <c r="S122" s="23">
        <f t="shared" si="3"/>
        <v>7006.4</v>
      </c>
      <c r="T122" s="22" t="str">
        <f>IFERROR(__xludf.DUMMYFUNCTION("PROPER(TRIM(
  LET(
    texto1, REGEXREPLACE(G122,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"),"Conchita Nazario")</f>
        <v>Conchita Nazario</v>
      </c>
      <c r="U122" s="22" t="str">
        <f t="shared" si="4"/>
        <v>6a6b7bb0-7d16-4f28-a74f-712ee43c38a6</v>
      </c>
      <c r="V122" s="24" t="str">
        <f t="shared" si="5"/>
        <v>Auriculares Cancelación de ruido 16GB</v>
      </c>
    </row>
    <row r="123" ht="15.75" customHeight="1">
      <c r="A123" s="6" t="s">
        <v>59</v>
      </c>
      <c r="B123" s="2" t="s">
        <v>16</v>
      </c>
      <c r="C123" s="2" t="s">
        <v>91</v>
      </c>
      <c r="D123" s="7">
        <v>1407.68</v>
      </c>
      <c r="E123" s="2">
        <v>3.0</v>
      </c>
      <c r="F123" s="7">
        <v>4223.04</v>
      </c>
      <c r="G123" s="2" t="s">
        <v>533</v>
      </c>
      <c r="H123" s="2" t="s">
        <v>534</v>
      </c>
      <c r="I123" s="2" t="s">
        <v>535</v>
      </c>
      <c r="K123" s="25" t="str">
        <f>IFERROR(__xludf.DUMMYFUNCTION("IF(ISBLANK(A123),
  """",
  IF(ISNUMBER(A123),
    TEXT(A123,""dd/mm/yyyy""),
    IF(
      REGEXMATCH(TRIM(A123),""^\d{1,2}/\d{1,2}/\d{4}$""),
      TRIM(A123),
      IFERROR(
        TEXT(DATEVALUE(SUBSTITUTE(SUBSTITUTE(TRIM(A123),""-"",""/""),""."",""/"&amp;""")),""dd/mm/yyyy""),
        TRIM(A123)
      )
    )
  )
)
"),"23/12/2024")</f>
        <v>23/12/2024</v>
      </c>
      <c r="L123" s="26">
        <v>45649.0</v>
      </c>
      <c r="M123" s="27" t="str">
        <f>IFERROR(__xludf.DUMMYFUNCTION("PROPER(TRIM(
  REGEXREPLACE(
    REGEXREPLACE(
      SUBSTITUTE(SUBSTITUTE(SUBSTITUTE(SUBSTITUTE(SUBSTITUTE(SUBSTITUTE(SUBSTITUTE(SUBSTITUTE(SUBSTITUTE(SUBSTITUTE(SUBSTITUTE(
        B123,""√©"",""é""),""√°"",""á""),""√±"",""ñ""),""√≥"",""ó""),""√â"",""é"&amp;"""),""√Å"",""á""),""√ç"",""í""),""√Ç"",""Í""),""√Â"",""é""),""√≠"",""í""),""√º"",""ú""),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23" s="28" t="str">
        <f>IFERROR(__xludf.DUMMYFUNCTION("SPLIT(
  TRIM(
    SUBSTITUTE(
      SUBSTITUTE(
        SUBSTITUTE(
          SUBSTITUTE(
            C123,
            ""√©"", ""é""
          ),
          ""√±"", ""ñ""
        ),
        ""√°"", ""á""
      ),
      ""√≥"", ""ó""
    )
  ),
  ""-""
)
"),"Tablet")</f>
        <v>Tablet</v>
      </c>
      <c r="O123" s="28" t="str">
        <f>IFERROR(__xludf.DUMMYFUNCTION("""COMPUTED_VALUE"""),"Mini")</f>
        <v>Mini</v>
      </c>
      <c r="P123" s="28" t="str">
        <f>IFERROR(__xludf.DUMMYFUNCTION("""COMPUTED_VALUE"""),"32GB")</f>
        <v>32GB</v>
      </c>
      <c r="Q123" s="29">
        <f t="shared" si="1"/>
        <v>1407.68</v>
      </c>
      <c r="R123" s="28">
        <f t="shared" si="2"/>
        <v>3</v>
      </c>
      <c r="S123" s="29">
        <f t="shared" si="3"/>
        <v>4223.04</v>
      </c>
      <c r="T123" s="28" t="str">
        <f>IFERROR(__xludf.DUMMYFUNCTION("PROPER(TRIM(
  LET(
    texto1, REGEXREPLACE(G123,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Valverde")</f>
        <v>Vanesa Valverde</v>
      </c>
      <c r="U123" s="28" t="str">
        <f t="shared" si="4"/>
        <v>4d3b34a5-8ae2-4de1-a0af-616e0a229665</v>
      </c>
      <c r="V123" s="30" t="str">
        <f t="shared" si="5"/>
        <v>Tablet Mini 32GB</v>
      </c>
    </row>
    <row r="124" ht="15.75" customHeight="1">
      <c r="A124" s="6">
        <v>45303.0</v>
      </c>
      <c r="B124" s="2" t="s">
        <v>38</v>
      </c>
      <c r="C124" s="2" t="s">
        <v>147</v>
      </c>
      <c r="D124" s="7">
        <v>2044.86</v>
      </c>
      <c r="E124" s="2">
        <v>3.0</v>
      </c>
      <c r="F124" s="7">
        <v>6134.58</v>
      </c>
      <c r="G124" s="2" t="s">
        <v>537</v>
      </c>
      <c r="H124" s="2" t="s">
        <v>538</v>
      </c>
      <c r="I124" s="2" t="s">
        <v>539</v>
      </c>
      <c r="K124" s="19" t="str">
        <f>IFERROR(__xludf.DUMMYFUNCTION("IF(ISBLANK(A124),
  """",
  IF(ISNUMBER(A124),
    TEXT(A124,""dd/mm/yyyy""),
    IF(
      REGEXMATCH(TRIM(A124),""^\d{1,2}/\d{1,2}/\d{4}$""),
      TRIM(A124),
      IFERROR(
        TEXT(DATEVALUE(SUBSTITUTE(SUBSTITUTE(TRIM(A124),""-"",""/""),""."",""/"&amp;""")),""dd/mm/yyyy""),
        TRIM(A124)
      )
    )
  )
)
"),"12/01/2024")</f>
        <v>12/01/2024</v>
      </c>
      <c r="L124" s="20">
        <v>45303.0</v>
      </c>
      <c r="M124" s="21" t="str">
        <f>IFERROR(__xludf.DUMMYFUNCTION("PROPER(TRIM(
  REGEXREPLACE(
    REGEXREPLACE(
      SUBSTITUTE(SUBSTITUTE(SUBSTITUTE(SUBSTITUTE(SUBSTITUTE(SUBSTITUTE(SUBSTITUTE(SUBSTITUTE(SUBSTITUTE(SUBSTITUTE(SUBSTITUTE(
        B124,""√©"",""é""),""√°"",""á""),""√±"",""ñ""),""√≥"",""ó""),""√â"",""é"&amp;"""),""√Å"",""á""),""√ç"",""í""),""√Ç"",""Í""),""√Â"",""é""),""√≠"",""í""),""√º"",""ú""),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24" s="22" t="str">
        <f>IFERROR(__xludf.DUMMYFUNCTION("SPLIT(
  TRIM(
    SUBSTITUTE(
      SUBSTITUTE(
        SUBSTITUTE(
          SUBSTITUTE(
            C124,
            ""√©"", ""é""
          ),
          ""√±"", ""ñ""
        ),
        ""√°"", ""á""
      ),
      ""√≥"", ""ó""
    )
  ),
  ""-""
)
"),"Laptop")</f>
        <v>Laptop</v>
      </c>
      <c r="O124" s="22" t="str">
        <f>IFERROR(__xludf.DUMMYFUNCTION("""COMPUTED_VALUE"""),"Oficina")</f>
        <v>Oficina</v>
      </c>
      <c r="P124" s="22" t="str">
        <f>IFERROR(__xludf.DUMMYFUNCTION("""COMPUTED_VALUE"""),"16GB")</f>
        <v>16GB</v>
      </c>
      <c r="Q124" s="23">
        <f t="shared" si="1"/>
        <v>2044.86</v>
      </c>
      <c r="R124" s="22">
        <f t="shared" si="2"/>
        <v>3</v>
      </c>
      <c r="S124" s="23">
        <f t="shared" si="3"/>
        <v>6134.58</v>
      </c>
      <c r="T124" s="22" t="str">
        <f>IFERROR(__xludf.DUMMYFUNCTION("PROPER(TRIM(
  LET(
    texto1, REGEXREPLACE(G124,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"),"Rosario Leticia Calderón Mota")</f>
        <v>Rosario Leticia Calderón Mota</v>
      </c>
      <c r="U124" s="22" t="str">
        <f t="shared" si="4"/>
        <v>768f4e3f-b865-4aa6-92fa-bf0b9431ed0a</v>
      </c>
      <c r="V124" s="24" t="str">
        <f t="shared" si="5"/>
        <v>Laptop Oficina 16GB</v>
      </c>
    </row>
    <row r="125" ht="15.75" customHeight="1">
      <c r="A125" s="6" t="s">
        <v>519</v>
      </c>
      <c r="B125" s="2" t="s">
        <v>16</v>
      </c>
      <c r="C125" s="2" t="s">
        <v>196</v>
      </c>
      <c r="D125" s="7">
        <v>2425.49</v>
      </c>
      <c r="E125" s="2">
        <v>5.0</v>
      </c>
      <c r="F125" s="7">
        <v>12127.45</v>
      </c>
      <c r="G125" s="2" t="s">
        <v>540</v>
      </c>
      <c r="H125" s="2" t="s">
        <v>541</v>
      </c>
      <c r="I125" s="2" t="s">
        <v>542</v>
      </c>
      <c r="K125" s="25" t="str">
        <f>IFERROR(__xludf.DUMMYFUNCTION("IF(ISBLANK(A125),
  """",
  IF(ISNUMBER(A125),
    TEXT(A125,""dd/mm/yyyy""),
    IF(
      REGEXMATCH(TRIM(A125),""^\d{1,2}/\d{1,2}/\d{4}$""),
      TRIM(A125),
      IFERROR(
        TEXT(DATEVALUE(SUBSTITUTE(SUBSTITUTE(TRIM(A125),""-"",""/""),""."",""/"&amp;""")),""dd/mm/yyyy""),
        TRIM(A125)
      )
    )
  )
)
"),"16/10/2024")</f>
        <v>16/10/2024</v>
      </c>
      <c r="L125" s="26">
        <v>45581.0</v>
      </c>
      <c r="M125" s="27" t="str">
        <f>IFERROR(__xludf.DUMMYFUNCTION("PROPER(TRIM(
  REGEXREPLACE(
    REGEXREPLACE(
      SUBSTITUTE(SUBSTITUTE(SUBSTITUTE(SUBSTITUTE(SUBSTITUTE(SUBSTITUTE(SUBSTITUTE(SUBSTITUTE(SUBSTITUTE(SUBSTITUTE(SUBSTITUTE(
        B125,""√©"",""é""),""√°"",""á""),""√±"",""ñ""),""√≥"",""ó""),""√â"",""é"&amp;"""),""√Å"",""á""),""√ç"",""í""),""√Ç"",""Í""),""√Â"",""é""),""√≠"",""í""),""√º"",""ú""),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25" s="28" t="str">
        <f>IFERROR(__xludf.DUMMYFUNCTION("SPLIT(
  TRIM(
    SUBSTITUTE(
      SUBSTITUTE(
        SUBSTITUTE(
          SUBSTITUTE(
            C125,
            ""√©"", ""é""
          ),
          ""√±"", ""ñ""
        ),
        ""√°"", ""á""
      ),
      ""√≥"", ""ó""
    )
  ),
  ""-""
)
"),"Auriculares")</f>
        <v>Auriculares</v>
      </c>
      <c r="O125" s="28" t="str">
        <f>IFERROR(__xludf.DUMMYFUNCTION("""COMPUTED_VALUE"""),"Cancelación de ruido")</f>
        <v>Cancelación de ruido</v>
      </c>
      <c r="P125" s="28" t="str">
        <f>IFERROR(__xludf.DUMMYFUNCTION("""COMPUTED_VALUE"""),"8GB")</f>
        <v>8GB</v>
      </c>
      <c r="Q125" s="29">
        <f t="shared" si="1"/>
        <v>2425.49</v>
      </c>
      <c r="R125" s="28">
        <f t="shared" si="2"/>
        <v>5</v>
      </c>
      <c r="S125" s="29">
        <f t="shared" si="3"/>
        <v>12127.45</v>
      </c>
      <c r="T125" s="28" t="str">
        <f>IFERROR(__xludf.DUMMYFUNCTION("PROPER(TRIM(
  LET(
    texto1, REGEXREPLACE(G125,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"),"Jerónimo Nava")</f>
        <v>Jerónimo Nava</v>
      </c>
      <c r="U125" s="28" t="str">
        <f t="shared" si="4"/>
        <v>e3cbaf49-bfb7-417c-9883-c7501381b3e1</v>
      </c>
      <c r="V125" s="30" t="str">
        <f t="shared" si="5"/>
        <v>Auriculares Cancelación de ruido 8GB</v>
      </c>
    </row>
    <row r="126" ht="15.75" customHeight="1">
      <c r="A126" s="6">
        <v>45616.0</v>
      </c>
      <c r="B126" s="2" t="s">
        <v>85</v>
      </c>
      <c r="C126" s="2" t="s">
        <v>186</v>
      </c>
      <c r="D126" s="7">
        <v>1752.92</v>
      </c>
      <c r="E126" s="2">
        <v>1.0</v>
      </c>
      <c r="F126" s="7">
        <v>1752.92</v>
      </c>
      <c r="G126" s="2" t="s">
        <v>544</v>
      </c>
      <c r="H126" s="2" t="s">
        <v>545</v>
      </c>
      <c r="I126" s="2" t="s">
        <v>546</v>
      </c>
      <c r="K126" s="19" t="str">
        <f>IFERROR(__xludf.DUMMYFUNCTION("IF(ISBLANK(A126),
  """",
  IF(ISNUMBER(A126),
    TEXT(A126,""dd/mm/yyyy""),
    IF(
      REGEXMATCH(TRIM(A126),""^\d{1,2}/\d{1,2}/\d{4}$""),
      TRIM(A126),
      IFERROR(
        TEXT(DATEVALUE(SUBSTITUTE(SUBSTITUTE(TRIM(A126),""-"",""/""),""."",""/"&amp;""")),""dd/mm/yyyy""),
        TRIM(A126)
      )
    )
  )
)
"),"20/11/2024")</f>
        <v>20/11/2024</v>
      </c>
      <c r="L126" s="20">
        <v>45616.0</v>
      </c>
      <c r="M126" s="21" t="str">
        <f>IFERROR(__xludf.DUMMYFUNCTION("PROPER(TRIM(
  REGEXREPLACE(
    REGEXREPLACE(
      SUBSTITUTE(SUBSTITUTE(SUBSTITUTE(SUBSTITUTE(SUBSTITUTE(SUBSTITUTE(SUBSTITUTE(SUBSTITUTE(SUBSTITUTE(SUBSTITUTE(SUBSTITUTE(
        B126,""√©"",""é""),""√°"",""á""),""√±"",""ñ""),""√≥"",""ó""),""√â"",""é"&amp;"""),""√Å"",""á""),""√ç"",""í""),""√Ç"",""Í""),""√Â"",""é""),""√≠"",""í""),""√º"",""ú""),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26" s="22" t="str">
        <f>IFERROR(__xludf.DUMMYFUNCTION("SPLIT(
  TRIM(
    SUBSTITUTE(
      SUBSTITUTE(
        SUBSTITUTE(
          SUBSTITUTE(
            C126,
            ""√©"", ""é""
          ),
          ""√±"", ""ñ""
        ),
        ""√°"", ""á""
      ),
      ""√≥"", ""ó""
    )
  ),
  ""-""
)
"),"Tablet")</f>
        <v>Tablet</v>
      </c>
      <c r="O126" s="22" t="str">
        <f>IFERROR(__xludf.DUMMYFUNCTION("""COMPUTED_VALUE"""),"Mini")</f>
        <v>Mini</v>
      </c>
      <c r="P126" s="22" t="str">
        <f>IFERROR(__xludf.DUMMYFUNCTION("""COMPUTED_VALUE"""),"8GB")</f>
        <v>8GB</v>
      </c>
      <c r="Q126" s="23">
        <f t="shared" si="1"/>
        <v>1752.92</v>
      </c>
      <c r="R126" s="22">
        <f t="shared" si="2"/>
        <v>1</v>
      </c>
      <c r="S126" s="23">
        <f t="shared" si="3"/>
        <v>1752.92</v>
      </c>
      <c r="T126" s="22" t="str">
        <f>IFERROR(__xludf.DUMMYFUNCTION("PROPER(TRIM(
  LET(
    texto1, REGEXREPLACE(G126,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"),"Ricardo Eugenio Meza")</f>
        <v>Ricardo Eugenio Meza</v>
      </c>
      <c r="U126" s="22" t="str">
        <f t="shared" si="4"/>
        <v>8f7b25cf-e88f-4704-9a71-5fe4e6e4d0c9</v>
      </c>
      <c r="V126" s="24" t="str">
        <f t="shared" si="5"/>
        <v>Tablet Mini 8GB</v>
      </c>
    </row>
    <row r="127" ht="15.75" customHeight="1">
      <c r="A127" s="6">
        <v>45653.0</v>
      </c>
      <c r="B127" s="2" t="s">
        <v>50</v>
      </c>
      <c r="C127" s="2" t="s">
        <v>360</v>
      </c>
      <c r="D127" s="7">
        <v>1935.15</v>
      </c>
      <c r="E127" s="2">
        <v>3.0</v>
      </c>
      <c r="F127" s="7">
        <v>5805.45</v>
      </c>
      <c r="G127" s="2" t="s">
        <v>548</v>
      </c>
      <c r="H127" s="2" t="s">
        <v>549</v>
      </c>
      <c r="I127" s="2" t="s">
        <v>550</v>
      </c>
      <c r="K127" s="25" t="str">
        <f>IFERROR(__xludf.DUMMYFUNCTION("IF(ISBLANK(A127),
  """",
  IF(ISNUMBER(A127),
    TEXT(A127,""dd/mm/yyyy""),
    IF(
      REGEXMATCH(TRIM(A127),""^\d{1,2}/\d{1,2}/\d{4}$""),
      TRIM(A127),
      IFERROR(
        TEXT(DATEVALUE(SUBSTITUTE(SUBSTITUTE(TRIM(A127),""-"",""/""),""."",""/"&amp;""")),""dd/mm/yyyy""),
        TRIM(A127)
      )
    )
  )
)
"),"27/12/2024")</f>
        <v>27/12/2024</v>
      </c>
      <c r="L127" s="26">
        <v>45653.0</v>
      </c>
      <c r="M127" s="27" t="str">
        <f>IFERROR(__xludf.DUMMYFUNCTION("PROPER(TRIM(
  REGEXREPLACE(
    REGEXREPLACE(
      SUBSTITUTE(SUBSTITUTE(SUBSTITUTE(SUBSTITUTE(SUBSTITUTE(SUBSTITUTE(SUBSTITUTE(SUBSTITUTE(SUBSTITUTE(SUBSTITUTE(SUBSTITUTE(
        B127,""√©"",""é""),""√°"",""á""),""√±"",""ñ""),""√≥"",""ó""),""√â"",""é"&amp;"""),""√Å"",""á""),""√ç"",""í""),""√Ç"",""Í""),""√Â"",""é""),""√≠"",""í""),""√º"",""ú""),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27" s="28" t="str">
        <f>IFERROR(__xludf.DUMMYFUNCTION("SPLIT(
  TRIM(
    SUBSTITUTE(
      SUBSTITUTE(
        SUBSTITUTE(
          SUBSTITUTE(
            C127,
            ""√©"", ""é""
          ),
          ""√±"", ""ñ""
        ),
        ""√°"", ""á""
      ),
      ""√≥"", ""ó""
    )
  ),
  ""-""
)
"),"Tablet")</f>
        <v>Tablet</v>
      </c>
      <c r="O127" s="28" t="str">
        <f>IFERROR(__xludf.DUMMYFUNCTION("""COMPUTED_VALUE"""),"Estándar")</f>
        <v>Estándar</v>
      </c>
      <c r="P127" s="28" t="str">
        <f>IFERROR(__xludf.DUMMYFUNCTION("""COMPUTED_VALUE"""),"8GB")</f>
        <v>8GB</v>
      </c>
      <c r="Q127" s="29">
        <f t="shared" si="1"/>
        <v>1935.15</v>
      </c>
      <c r="R127" s="28">
        <f t="shared" si="2"/>
        <v>3</v>
      </c>
      <c r="S127" s="29">
        <f t="shared" si="3"/>
        <v>5805.45</v>
      </c>
      <c r="T127" s="28" t="str">
        <f>IFERROR(__xludf.DUMMYFUNCTION("PROPER(TRIM(
  LET(
    texto1, REGEXREPLACE(G127,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"),"Aurora Zamudio")</f>
        <v>Aurora Zamudio</v>
      </c>
      <c r="U127" s="28" t="str">
        <f t="shared" si="4"/>
        <v>d21d73fe-7b8a-4ddb-a473-47c717ebb087</v>
      </c>
      <c r="V127" s="30" t="str">
        <f t="shared" si="5"/>
        <v>Tablet Estándar 8GB</v>
      </c>
    </row>
    <row r="128" ht="15.75" customHeight="1">
      <c r="A128" s="6">
        <v>45600.0</v>
      </c>
      <c r="B128" s="2" t="s">
        <v>27</v>
      </c>
      <c r="C128" s="2" t="s">
        <v>277</v>
      </c>
      <c r="D128" s="7">
        <v>1612.87</v>
      </c>
      <c r="E128" s="2">
        <v>4.0</v>
      </c>
      <c r="F128" s="7">
        <v>6451.48</v>
      </c>
      <c r="G128" s="2" t="s">
        <v>551</v>
      </c>
      <c r="H128" s="2" t="s">
        <v>552</v>
      </c>
      <c r="I128" s="2" t="s">
        <v>553</v>
      </c>
      <c r="K128" s="19" t="str">
        <f>IFERROR(__xludf.DUMMYFUNCTION("IF(ISBLANK(A128),
  """",
  IF(ISNUMBER(A128),
    TEXT(A128,""dd/mm/yyyy""),
    IF(
      REGEXMATCH(TRIM(A128),""^\d{1,2}/\d{1,2}/\d{4}$""),
      TRIM(A128),
      IFERROR(
        TEXT(DATEVALUE(SUBSTITUTE(SUBSTITUTE(TRIM(A128),""-"",""/""),""."",""/"&amp;""")),""dd/mm/yyyy""),
        TRIM(A128)
      )
    )
  )
)
"),"04/11/2024")</f>
        <v>04/11/2024</v>
      </c>
      <c r="L128" s="20">
        <v>45600.0</v>
      </c>
      <c r="M128" s="21" t="str">
        <f>IFERROR(__xludf.DUMMYFUNCTION("PROPER(TRIM(
  REGEXREPLACE(
    REGEXREPLACE(
      SUBSTITUTE(SUBSTITUTE(SUBSTITUTE(SUBSTITUTE(SUBSTITUTE(SUBSTITUTE(SUBSTITUTE(SUBSTITUTE(SUBSTITUTE(SUBSTITUTE(SUBSTITUTE(
        B128,""√©"",""é""),""√°"",""á""),""√±"",""ñ""),""√≥"",""ó""),""√â"",""é"&amp;"""),""√Å"",""á""),""√ç"",""í""),""√Ç"",""Í""),""√Â"",""é""),""√≠"",""í""),""√º"",""ú""),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28" s="22" t="str">
        <f>IFERROR(__xludf.DUMMYFUNCTION("SPLIT(
  TRIM(
    SUBSTITUTE(
      SUBSTITUTE(
        SUBSTITUTE(
          SUBSTITUTE(
            C128,
            ""√©"", ""é""
          ),
          ""√±"", ""ñ""
        ),
        ""√°"", ""á""
      ),
      ""√≥"", ""ó""
    )
  ),
  ""-""
)
"),"Teléfono")</f>
        <v>Teléfono</v>
      </c>
      <c r="O128" s="22" t="str">
        <f>IFERROR(__xludf.DUMMYFUNCTION("""COMPUTED_VALUE"""),"Gama alta")</f>
        <v>Gama alta</v>
      </c>
      <c r="P128" s="22" t="str">
        <f>IFERROR(__xludf.DUMMYFUNCTION("""COMPUTED_VALUE"""),"32GB")</f>
        <v>32GB</v>
      </c>
      <c r="Q128" s="23">
        <f t="shared" si="1"/>
        <v>1612.87</v>
      </c>
      <c r="R128" s="22">
        <f t="shared" si="2"/>
        <v>4</v>
      </c>
      <c r="S128" s="23">
        <f t="shared" si="3"/>
        <v>6451.48</v>
      </c>
      <c r="T128" s="22" t="str">
        <f>IFERROR(__xludf.DUMMYFUNCTION("PROPER(TRIM(
  LET(
    texto1, REGEXREPLACE(G128,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"),"Aldonza Hernán Sosa")</f>
        <v>Aldonza Hernán Sosa</v>
      </c>
      <c r="U128" s="22" t="str">
        <f t="shared" si="4"/>
        <v>4c53a9db-d0fe-42d8-a909-921633d44173</v>
      </c>
      <c r="V128" s="24" t="str">
        <f t="shared" si="5"/>
        <v>Teléfono Gama alta 32GB</v>
      </c>
    </row>
    <row r="129" ht="15.75" customHeight="1">
      <c r="A129" s="6" t="s">
        <v>554</v>
      </c>
      <c r="B129" s="2" t="s">
        <v>27</v>
      </c>
      <c r="C129" s="2" t="s">
        <v>147</v>
      </c>
      <c r="D129" s="7">
        <v>1105.02</v>
      </c>
      <c r="E129" s="2">
        <v>5.0</v>
      </c>
      <c r="F129" s="7">
        <v>5525.1</v>
      </c>
      <c r="G129" s="2" t="s">
        <v>555</v>
      </c>
      <c r="H129" s="2" t="s">
        <v>556</v>
      </c>
      <c r="I129" s="2" t="s">
        <v>557</v>
      </c>
      <c r="K129" s="25" t="str">
        <f>IFERROR(__xludf.DUMMYFUNCTION("IF(ISBLANK(A129),
  """",
  IF(ISNUMBER(A129),
    TEXT(A129,""dd/mm/yyyy""),
    IF(
      REGEXMATCH(TRIM(A129),""^\d{1,2}/\d{1,2}/\d{4}$""),
      TRIM(A129),
      IFERROR(
        TEXT(DATEVALUE(SUBSTITUTE(SUBSTITUTE(TRIM(A129),""-"",""/""),""."",""/"&amp;""")),""dd/mm/yyyy""),
        TRIM(A129)
      )
    )
  )
)
"),"14/12/2024")</f>
        <v>14/12/2024</v>
      </c>
      <c r="L129" s="26">
        <v>45640.0</v>
      </c>
      <c r="M129" s="27" t="str">
        <f>IFERROR(__xludf.DUMMYFUNCTION("PROPER(TRIM(
  REGEXREPLACE(
    REGEXREPLACE(
      SUBSTITUTE(SUBSTITUTE(SUBSTITUTE(SUBSTITUTE(SUBSTITUTE(SUBSTITUTE(SUBSTITUTE(SUBSTITUTE(SUBSTITUTE(SUBSTITUTE(SUBSTITUTE(
        B129,""√©"",""é""),""√°"",""á""),""√±"",""ñ""),""√≥"",""ó""),""√â"",""é"&amp;"""),""√Å"",""á""),""√ç"",""í""),""√Ç"",""Í""),""√Â"",""é""),""√≠"",""í""),""√º"",""ú""),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29" s="28" t="str">
        <f>IFERROR(__xludf.DUMMYFUNCTION("SPLIT(
  TRIM(
    SUBSTITUTE(
      SUBSTITUTE(
        SUBSTITUTE(
          SUBSTITUTE(
            C129,
            ""√©"", ""é""
          ),
          ""√±"", ""ñ""
        ),
        ""√°"", ""á""
      ),
      ""√≥"", ""ó""
    )
  ),
  ""-""
)
"),"Laptop")</f>
        <v>Laptop</v>
      </c>
      <c r="O129" s="28" t="str">
        <f>IFERROR(__xludf.DUMMYFUNCTION("""COMPUTED_VALUE"""),"Oficina")</f>
        <v>Oficina</v>
      </c>
      <c r="P129" s="28" t="str">
        <f>IFERROR(__xludf.DUMMYFUNCTION("""COMPUTED_VALUE"""),"16GB")</f>
        <v>16GB</v>
      </c>
      <c r="Q129" s="29">
        <f t="shared" si="1"/>
        <v>1105.02</v>
      </c>
      <c r="R129" s="28">
        <f t="shared" si="2"/>
        <v>5</v>
      </c>
      <c r="S129" s="29">
        <f t="shared" si="3"/>
        <v>5525.1</v>
      </c>
      <c r="T129" s="28" t="str">
        <f>IFERROR(__xludf.DUMMYFUNCTION("PROPER(TRIM(
  LET(
    texto1, REGEXREPLACE(G129,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"),"Dalia Crespo")</f>
        <v>Dalia Crespo</v>
      </c>
      <c r="U129" s="28" t="str">
        <f t="shared" si="4"/>
        <v>7b989337-edb6-498f-9b1d-9056bb83e316</v>
      </c>
      <c r="V129" s="30" t="str">
        <f t="shared" si="5"/>
        <v>Laptop Oficina 16GB</v>
      </c>
    </row>
    <row r="130" ht="15.75" customHeight="1">
      <c r="A130" s="6">
        <v>45583.0</v>
      </c>
      <c r="B130" s="2" t="s">
        <v>38</v>
      </c>
      <c r="C130" s="2" t="s">
        <v>96</v>
      </c>
      <c r="D130" s="7">
        <v>594.52</v>
      </c>
      <c r="E130" s="2">
        <v>2.0</v>
      </c>
      <c r="F130" s="7">
        <v>1189.04</v>
      </c>
      <c r="G130" s="2" t="s">
        <v>559</v>
      </c>
      <c r="H130" s="2" t="s">
        <v>560</v>
      </c>
      <c r="I130" s="2" t="s">
        <v>561</v>
      </c>
      <c r="K130" s="19" t="str">
        <f>IFERROR(__xludf.DUMMYFUNCTION("IF(ISBLANK(A130),
  """",
  IF(ISNUMBER(A130),
    TEXT(A130,""dd/mm/yyyy""),
    IF(
      REGEXMATCH(TRIM(A130),""^\d{1,2}/\d{1,2}/\d{4}$""),
      TRIM(A130),
      IFERROR(
        TEXT(DATEVALUE(SUBSTITUTE(SUBSTITUTE(TRIM(A130),""-"",""/""),""."",""/"&amp;""")),""dd/mm/yyyy""),
        TRIM(A130)
      )
    )
  )
)
"),"18/10/2024")</f>
        <v>18/10/2024</v>
      </c>
      <c r="L130" s="20">
        <v>45583.0</v>
      </c>
      <c r="M130" s="21" t="str">
        <f>IFERROR(__xludf.DUMMYFUNCTION("PROPER(TRIM(
  REGEXREPLACE(
    REGEXREPLACE(
      SUBSTITUTE(SUBSTITUTE(SUBSTITUTE(SUBSTITUTE(SUBSTITUTE(SUBSTITUTE(SUBSTITUTE(SUBSTITUTE(SUBSTITUTE(SUBSTITUTE(SUBSTITUTE(
        B130,""√©"",""é""),""√°"",""á""),""√±"",""ñ""),""√≥"",""ó""),""√â"",""é"&amp;"""),""√Å"",""á""),""√ç"",""í""),""√Ç"",""Í""),""√Â"",""é""),""√≠"",""í""),""√º"",""ú""),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30" s="22" t="str">
        <f>IFERROR(__xludf.DUMMYFUNCTION("SPLIT(
  TRIM(
    SUBSTITUTE(
      SUBSTITUTE(
        SUBSTITUTE(
          SUBSTITUTE(
            C130,
            ""√©"", ""é""
          ),
          ""√±"", ""ñ""
        ),
        ""√°"", ""á""
      ),
      ""√≥"", ""ó""
    )
  ),
  ""-""
)
"),"Auriculares")</f>
        <v>Auriculares</v>
      </c>
      <c r="O130" s="22" t="str">
        <f>IFERROR(__xludf.DUMMYFUNCTION("""COMPUTED_VALUE"""),"Cancelación de ruido")</f>
        <v>Cancelación de ruido</v>
      </c>
      <c r="P130" s="22" t="str">
        <f>IFERROR(__xludf.DUMMYFUNCTION("""COMPUTED_VALUE"""),"4GB")</f>
        <v>4GB</v>
      </c>
      <c r="Q130" s="23">
        <f t="shared" si="1"/>
        <v>594.52</v>
      </c>
      <c r="R130" s="22">
        <f t="shared" si="2"/>
        <v>2</v>
      </c>
      <c r="S130" s="23">
        <f t="shared" si="3"/>
        <v>1189.04</v>
      </c>
      <c r="T130" s="22" t="str">
        <f>IFERROR(__xludf.DUMMYFUNCTION("PROPER(TRIM(
  LET(
    texto1, REGEXREPLACE(G130,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"),"Rodrigo Aldonza Polanco")</f>
        <v>Rodrigo Aldonza Polanco</v>
      </c>
      <c r="U130" s="22" t="str">
        <f t="shared" si="4"/>
        <v>4b66bc0e-757f-46df-8fd9-af3d9751bd47</v>
      </c>
      <c r="V130" s="24" t="str">
        <f t="shared" si="5"/>
        <v>Auriculares Cancelación de ruido 4GB</v>
      </c>
    </row>
    <row r="131" ht="15.75" customHeight="1">
      <c r="A131" s="6">
        <v>45585.0</v>
      </c>
      <c r="B131" s="2" t="s">
        <v>50</v>
      </c>
      <c r="C131" s="2" t="s">
        <v>176</v>
      </c>
      <c r="D131" s="7">
        <v>1077.13</v>
      </c>
      <c r="E131" s="2">
        <v>5.0</v>
      </c>
      <c r="F131" s="7">
        <v>5385.65</v>
      </c>
      <c r="G131" s="2" t="s">
        <v>563</v>
      </c>
      <c r="H131" s="2" t="s">
        <v>564</v>
      </c>
      <c r="I131" s="2" t="s">
        <v>565</v>
      </c>
      <c r="K131" s="25" t="str">
        <f>IFERROR(__xludf.DUMMYFUNCTION("IF(ISBLANK(A131),
  """",
  IF(ISNUMBER(A131),
    TEXT(A131,""dd/mm/yyyy""),
    IF(
      REGEXMATCH(TRIM(A131),""^\d{1,2}/\d{1,2}/\d{4}$""),
      TRIM(A131),
      IFERROR(
        TEXT(DATEVALUE(SUBSTITUTE(SUBSTITUTE(TRIM(A131),""-"",""/""),""."",""/"&amp;""")),""dd/mm/yyyy""),
        TRIM(A131)
      )
    )
  )
)
"),"20/10/2024")</f>
        <v>20/10/2024</v>
      </c>
      <c r="L131" s="26">
        <v>45585.0</v>
      </c>
      <c r="M131" s="27" t="str">
        <f>IFERROR(__xludf.DUMMYFUNCTION("PROPER(TRIM(
  REGEXREPLACE(
    REGEXREPLACE(
      SUBSTITUTE(SUBSTITUTE(SUBSTITUTE(SUBSTITUTE(SUBSTITUTE(SUBSTITUTE(SUBSTITUTE(SUBSTITUTE(SUBSTITUTE(SUBSTITUTE(SUBSTITUTE(
        B131,""√©"",""é""),""√°"",""á""),""√±"",""ñ""),""√≥"",""ó""),""√â"",""é"&amp;"""),""√Å"",""á""),""√ç"",""í""),""√Ç"",""Í""),""√Â"",""é""),""√≠"",""í""),""√º"",""ú""),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31" s="28" t="str">
        <f>IFERROR(__xludf.DUMMYFUNCTION("SPLIT(
  TRIM(
    SUBSTITUTE(
      SUBSTITUTE(
        SUBSTITUTE(
          SUBSTITUTE(
            C131,
            ""√©"", ""é""
          ),
          ""√±"", ""ñ""
        ),
        ""√°"", ""á""
      ),
      ""√≥"", ""ó""
    )
  ),
  ""-""
)
"),"Auriculares")</f>
        <v>Auriculares</v>
      </c>
      <c r="O131" s="28" t="str">
        <f>IFERROR(__xludf.DUMMYFUNCTION("""COMPUTED_VALUE"""),"Con cable")</f>
        <v>Con cable</v>
      </c>
      <c r="P131" s="28" t="str">
        <f>IFERROR(__xludf.DUMMYFUNCTION("""COMPUTED_VALUE"""),"8GB")</f>
        <v>8GB</v>
      </c>
      <c r="Q131" s="29">
        <f t="shared" si="1"/>
        <v>1077.13</v>
      </c>
      <c r="R131" s="28">
        <f t="shared" si="2"/>
        <v>5</v>
      </c>
      <c r="S131" s="29">
        <f t="shared" si="3"/>
        <v>5385.65</v>
      </c>
      <c r="T131" s="28" t="str">
        <f>IFERROR(__xludf.DUMMYFUNCTION("PROPER(TRIM(
  LET(
    texto1, REGEXREPLACE(G131,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"),"Minerva Lorena Santana Botello")</f>
        <v>Minerva Lorena Santana Botello</v>
      </c>
      <c r="U131" s="28" t="str">
        <f t="shared" si="4"/>
        <v>1c3f2222-1db8-46db-876a-6f85812ebbbf</v>
      </c>
      <c r="V131" s="30" t="str">
        <f t="shared" si="5"/>
        <v>Auriculares Con cable 8GB</v>
      </c>
    </row>
    <row r="132" ht="15.75" customHeight="1">
      <c r="A132" s="6">
        <v>45594.0</v>
      </c>
      <c r="B132" s="2" t="s">
        <v>85</v>
      </c>
      <c r="C132" s="2" t="s">
        <v>348</v>
      </c>
      <c r="D132" s="7">
        <v>1598.45</v>
      </c>
      <c r="E132" s="2">
        <v>3.0</v>
      </c>
      <c r="F132" s="7">
        <v>4795.35</v>
      </c>
      <c r="G132" s="2" t="s">
        <v>566</v>
      </c>
      <c r="H132" s="2" t="s">
        <v>567</v>
      </c>
      <c r="I132" s="2" t="s">
        <v>568</v>
      </c>
      <c r="K132" s="19" t="str">
        <f>IFERROR(__xludf.DUMMYFUNCTION("IF(ISBLANK(A132),
  """",
  IF(ISNUMBER(A132),
    TEXT(A132,""dd/mm/yyyy""),
    IF(
      REGEXMATCH(TRIM(A132),""^\d{1,2}/\d{1,2}/\d{4}$""),
      TRIM(A132),
      IFERROR(
        TEXT(DATEVALUE(SUBSTITUTE(SUBSTITUTE(TRIM(A132),""-"",""/""),""."",""/"&amp;""")),""dd/mm/yyyy""),
        TRIM(A132)
      )
    )
  )
)
"),"29/10/2024")</f>
        <v>29/10/2024</v>
      </c>
      <c r="L132" s="20">
        <v>45594.0</v>
      </c>
      <c r="M132" s="21" t="str">
        <f>IFERROR(__xludf.DUMMYFUNCTION("PROPER(TRIM(
  REGEXREPLACE(
    REGEXREPLACE(
      SUBSTITUTE(SUBSTITUTE(SUBSTITUTE(SUBSTITUTE(SUBSTITUTE(SUBSTITUTE(SUBSTITUTE(SUBSTITUTE(SUBSTITUTE(SUBSTITUTE(SUBSTITUTE(
        B132,""√©"",""é""),""√°"",""á""),""√±"",""ñ""),""√≥"",""ó""),""√â"",""é"&amp;"""),""√Å"",""á""),""√ç"",""í""),""√Ç"",""Í""),""√Â"",""é""),""√≠"",""í""),""√º"",""ú""),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32" s="22" t="str">
        <f>IFERROR(__xludf.DUMMYFUNCTION("SPLIT(
  TRIM(
    SUBSTITUTE(
      SUBSTITUTE(
        SUBSTITUTE(
          SUBSTITUTE(
            C132,
            ""√©"", ""é""
          ),
          ""√±"", ""ñ""
        ),
        ""√°"", ""á""
      ),
      ""√≥"", ""ó""
    )
  ),
  ""-""
)
"),"Teléfono")</f>
        <v>Teléfono</v>
      </c>
      <c r="O132" s="22" t="str">
        <f>IFERROR(__xludf.DUMMYFUNCTION("""COMPUTED_VALUE"""),"Gama media")</f>
        <v>Gama media</v>
      </c>
      <c r="P132" s="22" t="str">
        <f>IFERROR(__xludf.DUMMYFUNCTION("""COMPUTED_VALUE"""),"8GB")</f>
        <v>8GB</v>
      </c>
      <c r="Q132" s="23">
        <f t="shared" si="1"/>
        <v>1598.45</v>
      </c>
      <c r="R132" s="22">
        <f t="shared" si="2"/>
        <v>3</v>
      </c>
      <c r="S132" s="23">
        <f t="shared" si="3"/>
        <v>4795.35</v>
      </c>
      <c r="T132" s="22" t="str">
        <f>IFERROR(__xludf.DUMMYFUNCTION("PROPER(TRIM(
  LET(
    texto1, REGEXREPLACE(G132,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"),"Marisol Espinosa Briones")</f>
        <v>Marisol Espinosa Briones</v>
      </c>
      <c r="U132" s="22" t="str">
        <f t="shared" si="4"/>
        <v>1a50b4b1-1657-4b5e-a237-9cfb5c083efc</v>
      </c>
      <c r="V132" s="24" t="str">
        <f t="shared" si="5"/>
        <v>Teléfono Gama media 8GB</v>
      </c>
    </row>
    <row r="133" ht="15.75" customHeight="1">
      <c r="A133" s="6">
        <v>45635.0</v>
      </c>
      <c r="B133" s="2" t="s">
        <v>27</v>
      </c>
      <c r="C133" s="2" t="s">
        <v>186</v>
      </c>
      <c r="D133" s="7">
        <v>1744.95</v>
      </c>
      <c r="E133" s="2">
        <v>2.0</v>
      </c>
      <c r="F133" s="7">
        <v>3489.9</v>
      </c>
      <c r="G133" s="2" t="s">
        <v>569</v>
      </c>
      <c r="H133" s="2" t="s">
        <v>570</v>
      </c>
      <c r="I133" s="2" t="s">
        <v>571</v>
      </c>
      <c r="K133" s="25" t="str">
        <f>IFERROR(__xludf.DUMMYFUNCTION("IF(ISBLANK(A133),
  """",
  IF(ISNUMBER(A133),
    TEXT(A133,""dd/mm/yyyy""),
    IF(
      REGEXMATCH(TRIM(A133),""^\d{1,2}/\d{1,2}/\d{4}$""),
      TRIM(A133),
      IFERROR(
        TEXT(DATEVALUE(SUBSTITUTE(SUBSTITUTE(TRIM(A133),""-"",""/""),""."",""/"&amp;""")),""dd/mm/yyyy""),
        TRIM(A133)
      )
    )
  )
)
"),"09/12/2024")</f>
        <v>09/12/2024</v>
      </c>
      <c r="L133" s="26">
        <v>45635.0</v>
      </c>
      <c r="M133" s="27" t="str">
        <f>IFERROR(__xludf.DUMMYFUNCTION("PROPER(TRIM(
  REGEXREPLACE(
    REGEXREPLACE(
      SUBSTITUTE(SUBSTITUTE(SUBSTITUTE(SUBSTITUTE(SUBSTITUTE(SUBSTITUTE(SUBSTITUTE(SUBSTITUTE(SUBSTITUTE(SUBSTITUTE(SUBSTITUTE(
        B133,""√©"",""é""),""√°"",""á""),""√±"",""ñ""),""√≥"",""ó""),""√â"",""é"&amp;"""),""√Å"",""á""),""√ç"",""í""),""√Ç"",""Í""),""√Â"",""é""),""√≠"",""í""),""√º"",""ú""),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33" s="28" t="str">
        <f>IFERROR(__xludf.DUMMYFUNCTION("SPLIT(
  TRIM(
    SUBSTITUTE(
      SUBSTITUTE(
        SUBSTITUTE(
          SUBSTITUTE(
            C133,
            ""√©"", ""é""
          ),
          ""√±"", ""ñ""
        ),
        ""√°"", ""á""
      ),
      ""√≥"", ""ó""
    )
  ),
  ""-""
)
"),"Tablet")</f>
        <v>Tablet</v>
      </c>
      <c r="O133" s="28" t="str">
        <f>IFERROR(__xludf.DUMMYFUNCTION("""COMPUTED_VALUE"""),"Mini")</f>
        <v>Mini</v>
      </c>
      <c r="P133" s="28" t="str">
        <f>IFERROR(__xludf.DUMMYFUNCTION("""COMPUTED_VALUE"""),"8GB")</f>
        <v>8GB</v>
      </c>
      <c r="Q133" s="29">
        <f t="shared" si="1"/>
        <v>1744.95</v>
      </c>
      <c r="R133" s="28">
        <f t="shared" si="2"/>
        <v>2</v>
      </c>
      <c r="S133" s="29">
        <f t="shared" si="3"/>
        <v>3489.9</v>
      </c>
      <c r="T133" s="28" t="str">
        <f>IFERROR(__xludf.DUMMYFUNCTION("PROPER(TRIM(
  LET(
    texto1, REGEXREPLACE(G133,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"),"Frida Arroyo Zepeda")</f>
        <v>Frida Arroyo Zepeda</v>
      </c>
      <c r="U133" s="28" t="str">
        <f t="shared" si="4"/>
        <v>48fa08f3-3f1d-41d4-98c7-9d364159c3ee</v>
      </c>
      <c r="V133" s="30" t="str">
        <f t="shared" si="5"/>
        <v>Tablet Mini 8GB</v>
      </c>
    </row>
    <row r="134" ht="15.75" customHeight="1">
      <c r="A134" s="6" t="s">
        <v>171</v>
      </c>
      <c r="B134" s="2" t="s">
        <v>50</v>
      </c>
      <c r="C134" s="2" t="s">
        <v>162</v>
      </c>
      <c r="D134" s="7">
        <v>2212.26</v>
      </c>
      <c r="E134" s="2">
        <v>5.0</v>
      </c>
      <c r="F134" s="7">
        <v>11061.3</v>
      </c>
      <c r="G134" s="2" t="s">
        <v>572</v>
      </c>
      <c r="H134" s="2" t="s">
        <v>573</v>
      </c>
      <c r="I134" s="2" t="s">
        <v>574</v>
      </c>
      <c r="K134" s="19" t="str">
        <f>IFERROR(__xludf.DUMMYFUNCTION("IF(ISBLANK(A134),
  """",
  IF(ISNUMBER(A134),
    TEXT(A134,""dd/mm/yyyy""),
    IF(
      REGEXMATCH(TRIM(A134),""^\d{1,2}/\d{1,2}/\d{4}$""),
      TRIM(A134),
      IFERROR(
        TEXT(DATEVALUE(SUBSTITUTE(SUBSTITUTE(TRIM(A134),""-"",""/""),""."",""/"&amp;""")),""dd/mm/yyyy""),
        TRIM(A134)
      )
    )
  )
)
"),"23/10/2024")</f>
        <v>23/10/2024</v>
      </c>
      <c r="L134" s="20">
        <v>45588.0</v>
      </c>
      <c r="M134" s="21" t="str">
        <f>IFERROR(__xludf.DUMMYFUNCTION("PROPER(TRIM(
  REGEXREPLACE(
    REGEXREPLACE(
      SUBSTITUTE(SUBSTITUTE(SUBSTITUTE(SUBSTITUTE(SUBSTITUTE(SUBSTITUTE(SUBSTITUTE(SUBSTITUTE(SUBSTITUTE(SUBSTITUTE(SUBSTITUTE(
        B134,""√©"",""é""),""√°"",""á""),""√±"",""ñ""),""√≥"",""ó""),""√â"",""é"&amp;"""),""√Å"",""á""),""√ç"",""í""),""√Ç"",""Í""),""√Â"",""é""),""√≠"",""í""),""√º"",""ú""),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34" s="22" t="str">
        <f>IFERROR(__xludf.DUMMYFUNCTION("SPLIT(
  TRIM(
    SUBSTITUTE(
      SUBSTITUTE(
        SUBSTITUTE(
          SUBSTITUTE(
            C134,
            ""√©"", ""é""
          ),
          ""√±"", ""ñ""
        ),
        ""√°"", ""á""
      ),
      ""√≥"", ""ó""
    )
  ),
  ""-""
)
"),"Teléfono")</f>
        <v>Teléfono</v>
      </c>
      <c r="O134" s="22" t="str">
        <f>IFERROR(__xludf.DUMMYFUNCTION("""COMPUTED_VALUE"""),"Gama alta")</f>
        <v>Gama alta</v>
      </c>
      <c r="P134" s="22" t="str">
        <f>IFERROR(__xludf.DUMMYFUNCTION("""COMPUTED_VALUE"""),"16GB")</f>
        <v>16GB</v>
      </c>
      <c r="Q134" s="23">
        <f t="shared" si="1"/>
        <v>2212.26</v>
      </c>
      <c r="R134" s="22">
        <f t="shared" si="2"/>
        <v>5</v>
      </c>
      <c r="S134" s="23">
        <f t="shared" si="3"/>
        <v>11061.3</v>
      </c>
      <c r="T134" s="22" t="str">
        <f>IFERROR(__xludf.DUMMYFUNCTION("PROPER(TRIM(
  LET(
    texto1, REGEXREPLACE(G134,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"),"Cristian Ofelia Urbina Murillo")</f>
        <v>Cristian Ofelia Urbina Murillo</v>
      </c>
      <c r="U134" s="22" t="str">
        <f t="shared" si="4"/>
        <v>ffdae6e0-eb2e-4a6c-8726-a98497d0dedb</v>
      </c>
      <c r="V134" s="24" t="str">
        <f t="shared" si="5"/>
        <v>Teléfono Gama alta 16GB</v>
      </c>
    </row>
    <row r="135" ht="15.75" customHeight="1">
      <c r="A135" s="6">
        <v>45620.0</v>
      </c>
      <c r="B135" s="2" t="s">
        <v>16</v>
      </c>
      <c r="C135" s="2" t="s">
        <v>96</v>
      </c>
      <c r="D135" s="7">
        <v>443.81</v>
      </c>
      <c r="E135" s="2">
        <v>1.0</v>
      </c>
      <c r="F135" s="7">
        <v>443.81</v>
      </c>
      <c r="G135" s="2" t="s">
        <v>576</v>
      </c>
      <c r="H135" s="2" t="s">
        <v>577</v>
      </c>
      <c r="I135" s="3" t="s">
        <v>578</v>
      </c>
      <c r="K135" s="25" t="str">
        <f>IFERROR(__xludf.DUMMYFUNCTION("IF(ISBLANK(A135),
  """",
  IF(ISNUMBER(A135),
    TEXT(A135,""dd/mm/yyyy""),
    IF(
      REGEXMATCH(TRIM(A135),""^\d{1,2}/\d{1,2}/\d{4}$""),
      TRIM(A135),
      IFERROR(
        TEXT(DATEVALUE(SUBSTITUTE(SUBSTITUTE(TRIM(A135),""-"",""/""),""."",""/"&amp;""")),""dd/mm/yyyy""),
        TRIM(A135)
      )
    )
  )
)
"),"24/11/2024")</f>
        <v>24/11/2024</v>
      </c>
      <c r="L135" s="26">
        <v>45620.0</v>
      </c>
      <c r="M135" s="27" t="str">
        <f>IFERROR(__xludf.DUMMYFUNCTION("PROPER(TRIM(
  REGEXREPLACE(
    REGEXREPLACE(
      SUBSTITUTE(SUBSTITUTE(SUBSTITUTE(SUBSTITUTE(SUBSTITUTE(SUBSTITUTE(SUBSTITUTE(SUBSTITUTE(SUBSTITUTE(SUBSTITUTE(SUBSTITUTE(
        B135,""√©"",""é""),""√°"",""á""),""√±"",""ñ""),""√≥"",""ó""),""√â"",""é"&amp;"""),""√Å"",""á""),""√ç"",""í""),""√Ç"",""Í""),""√Â"",""é""),""√≠"",""í""),""√º"",""ú""),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35" s="28" t="str">
        <f>IFERROR(__xludf.DUMMYFUNCTION("SPLIT(
  TRIM(
    SUBSTITUTE(
      SUBSTITUTE(
        SUBSTITUTE(
          SUBSTITUTE(
            C135,
            ""√©"", ""é""
          ),
          ""√±"", ""ñ""
        ),
        ""√°"", ""á""
      ),
      ""√≥"", ""ó""
    )
  ),
  ""-""
)
"),"Auriculares")</f>
        <v>Auriculares</v>
      </c>
      <c r="O135" s="28" t="str">
        <f>IFERROR(__xludf.DUMMYFUNCTION("""COMPUTED_VALUE"""),"Cancelación de ruido")</f>
        <v>Cancelación de ruido</v>
      </c>
      <c r="P135" s="28" t="str">
        <f>IFERROR(__xludf.DUMMYFUNCTION("""COMPUTED_VALUE"""),"4GB")</f>
        <v>4GB</v>
      </c>
      <c r="Q135" s="29">
        <f t="shared" si="1"/>
        <v>443.81</v>
      </c>
      <c r="R135" s="28">
        <f t="shared" si="2"/>
        <v>1</v>
      </c>
      <c r="S135" s="29">
        <f t="shared" si="3"/>
        <v>443.81</v>
      </c>
      <c r="T135" s="28" t="str">
        <f>IFERROR(__xludf.DUMMYFUNCTION("PROPER(TRIM(
  LET(
    texto1, REGEXREPLACE(G135,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"),"Oswaldo Trujillo Tórrez")</f>
        <v>Oswaldo Trujillo Tórrez</v>
      </c>
      <c r="U135" s="31" t="str">
        <f t="shared" si="4"/>
        <v>873e756f-1f4a-4de6-90ff-4cb697b1e8fe</v>
      </c>
      <c r="V135" s="30" t="str">
        <f t="shared" si="5"/>
        <v>Auriculares Cancelación de ruido 4GB</v>
      </c>
    </row>
    <row r="136" ht="15.75" customHeight="1">
      <c r="A136" s="6">
        <v>45618.0</v>
      </c>
      <c r="B136" s="2" t="s">
        <v>50</v>
      </c>
      <c r="C136" s="2" t="s">
        <v>385</v>
      </c>
      <c r="D136" s="7">
        <v>416.62</v>
      </c>
      <c r="E136" s="2">
        <v>5.0</v>
      </c>
      <c r="F136" s="7">
        <v>2083.1</v>
      </c>
      <c r="G136" s="2" t="s">
        <v>580</v>
      </c>
      <c r="H136" s="2" t="s">
        <v>581</v>
      </c>
      <c r="I136" s="2" t="s">
        <v>582</v>
      </c>
      <c r="K136" s="19" t="str">
        <f>IFERROR(__xludf.DUMMYFUNCTION("IF(ISBLANK(A136),
  """",
  IF(ISNUMBER(A136),
    TEXT(A136,""dd/mm/yyyy""),
    IF(
      REGEXMATCH(TRIM(A136),""^\d{1,2}/\d{1,2}/\d{4}$""),
      TRIM(A136),
      IFERROR(
        TEXT(DATEVALUE(SUBSTITUTE(SUBSTITUTE(TRIM(A136),""-"",""/""),""."",""/"&amp;""")),""dd/mm/yyyy""),
        TRIM(A136)
      )
    )
  )
)
"),"22/11/2024")</f>
        <v>22/11/2024</v>
      </c>
      <c r="L136" s="20">
        <v>45618.0</v>
      </c>
      <c r="M136" s="21" t="str">
        <f>IFERROR(__xludf.DUMMYFUNCTION("PROPER(TRIM(
  REGEXREPLACE(
    REGEXREPLACE(
      SUBSTITUTE(SUBSTITUTE(SUBSTITUTE(SUBSTITUTE(SUBSTITUTE(SUBSTITUTE(SUBSTITUTE(SUBSTITUTE(SUBSTITUTE(SUBSTITUTE(SUBSTITUTE(
        B136,""√©"",""é""),""√°"",""á""),""√±"",""ñ""),""√≥"",""ó""),""√â"",""é"&amp;"""),""√Å"",""á""),""√ç"",""í""),""√Ç"",""Í""),""√Â"",""é""),""√≠"",""í""),""√º"",""ú""),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36" s="22" t="str">
        <f>IFERROR(__xludf.DUMMYFUNCTION("SPLIT(
  TRIM(
    SUBSTITUTE(
      SUBSTITUTE(
        SUBSTITUTE(
          SUBSTITUTE(
            C136,
            ""√©"", ""é""
          ),
          ""√±"", ""ñ""
        ),
        ""√°"", ""á""
      ),
      ""√≥"", ""ó""
    )
  ),
  ""-""
)
"),"Tablet")</f>
        <v>Tablet</v>
      </c>
      <c r="O136" s="22" t="str">
        <f>IFERROR(__xludf.DUMMYFUNCTION("""COMPUTED_VALUE"""),"Estándar")</f>
        <v>Estándar</v>
      </c>
      <c r="P136" s="22" t="str">
        <f>IFERROR(__xludf.DUMMYFUNCTION("""COMPUTED_VALUE"""),"32GB")</f>
        <v>32GB</v>
      </c>
      <c r="Q136" s="23">
        <f t="shared" si="1"/>
        <v>416.62</v>
      </c>
      <c r="R136" s="22">
        <f t="shared" si="2"/>
        <v>5</v>
      </c>
      <c r="S136" s="23">
        <f t="shared" si="3"/>
        <v>2083.1</v>
      </c>
      <c r="T136" s="22" t="str">
        <f>IFERROR(__xludf.DUMMYFUNCTION("PROPER(TRIM(
  LET(
    texto1, REGEXREPLACE(G136,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"),"Federico Guillermina Vargas")</f>
        <v>Federico Guillermina Vargas</v>
      </c>
      <c r="U136" s="22" t="str">
        <f t="shared" si="4"/>
        <v>7ba0efb4-239e-4695-a171-7e53a2d5321c</v>
      </c>
      <c r="V136" s="24" t="str">
        <f t="shared" si="5"/>
        <v>Tablet Estándar 32GB</v>
      </c>
    </row>
    <row r="137" ht="15.75" customHeight="1">
      <c r="A137" s="6">
        <v>45605.0</v>
      </c>
      <c r="B137" s="2" t="s">
        <v>50</v>
      </c>
      <c r="C137" s="2" t="s">
        <v>369</v>
      </c>
      <c r="D137" s="7">
        <v>271.11</v>
      </c>
      <c r="E137" s="2">
        <v>2.0</v>
      </c>
      <c r="F137" s="7">
        <v>542.22</v>
      </c>
      <c r="G137" s="2" t="s">
        <v>584</v>
      </c>
      <c r="H137" s="2" t="s">
        <v>585</v>
      </c>
      <c r="I137" s="2" t="s">
        <v>586</v>
      </c>
      <c r="K137" s="25" t="str">
        <f>IFERROR(__xludf.DUMMYFUNCTION("IF(ISBLANK(A137),
  """",
  IF(ISNUMBER(A137),
    TEXT(A137,""dd/mm/yyyy""),
    IF(
      REGEXMATCH(TRIM(A137),""^\d{1,2}/\d{1,2}/\d{4}$""),
      TRIM(A137),
      IFERROR(
        TEXT(DATEVALUE(SUBSTITUTE(SUBSTITUTE(TRIM(A137),""-"",""/""),""."",""/"&amp;""")),""dd/mm/yyyy""),
        TRIM(A137)
      )
    )
  )
)
"),"09/11/2024")</f>
        <v>09/11/2024</v>
      </c>
      <c r="L137" s="26">
        <v>45605.0</v>
      </c>
      <c r="M137" s="27" t="str">
        <f>IFERROR(__xludf.DUMMYFUNCTION("PROPER(TRIM(
  REGEXREPLACE(
    REGEXREPLACE(
      SUBSTITUTE(SUBSTITUTE(SUBSTITUTE(SUBSTITUTE(SUBSTITUTE(SUBSTITUTE(SUBSTITUTE(SUBSTITUTE(SUBSTITUTE(SUBSTITUTE(SUBSTITUTE(
        B137,""√©"",""é""),""√°"",""á""),""√±"",""ñ""),""√≥"",""ó""),""√â"",""é"&amp;"""),""√Å"",""á""),""√ç"",""í""),""√Ç"",""Í""),""√Â"",""é""),""√≠"",""í""),""√º"",""ú""),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37" s="28" t="str">
        <f>IFERROR(__xludf.DUMMYFUNCTION("SPLIT(
  TRIM(
    SUBSTITUTE(
      SUBSTITUTE(
        SUBSTITUTE(
          SUBSTITUTE(
            C137,
            ""√©"", ""é""
          ),
          ""√±"", ""ñ""
        ),
        ""√°"", ""á""
      ),
      ""√≥"", ""ó""
    )
  ),
  ""-""
)
"),"Tablet")</f>
        <v>Tablet</v>
      </c>
      <c r="O137" s="28" t="str">
        <f>IFERROR(__xludf.DUMMYFUNCTION("""COMPUTED_VALUE"""),"Pro")</f>
        <v>Pro</v>
      </c>
      <c r="P137" s="28" t="str">
        <f>IFERROR(__xludf.DUMMYFUNCTION("""COMPUTED_VALUE"""),"16GB")</f>
        <v>16GB</v>
      </c>
      <c r="Q137" s="29">
        <f t="shared" si="1"/>
        <v>271.11</v>
      </c>
      <c r="R137" s="28">
        <f t="shared" si="2"/>
        <v>2</v>
      </c>
      <c r="S137" s="29">
        <f t="shared" si="3"/>
        <v>542.22</v>
      </c>
      <c r="T137" s="28" t="str">
        <f>IFERROR(__xludf.DUMMYFUNCTION("PROPER(TRIM(
  LET(
    texto1, REGEXREPLACE(G137,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José Zeferino Avilés Zarate")</f>
        <v>María José Zeferino Avilés Zarate</v>
      </c>
      <c r="U137" s="28" t="str">
        <f t="shared" si="4"/>
        <v>404fea2a-d896-4427-a0d6-e0581df99ba3</v>
      </c>
      <c r="V137" s="30" t="str">
        <f t="shared" si="5"/>
        <v>Tablet Pro 16GB</v>
      </c>
    </row>
    <row r="138" ht="15.75" customHeight="1">
      <c r="A138" s="6" t="s">
        <v>59</v>
      </c>
      <c r="B138" s="2" t="s">
        <v>85</v>
      </c>
      <c r="C138" s="2" t="s">
        <v>201</v>
      </c>
      <c r="D138" s="7">
        <v>797.54</v>
      </c>
      <c r="E138" s="2">
        <v>4.0</v>
      </c>
      <c r="F138" s="7">
        <v>3190.16</v>
      </c>
      <c r="G138" s="2" t="s">
        <v>587</v>
      </c>
      <c r="H138" s="2" t="s">
        <v>164</v>
      </c>
      <c r="I138" s="2" t="s">
        <v>588</v>
      </c>
      <c r="K138" s="19" t="str">
        <f>IFERROR(__xludf.DUMMYFUNCTION("IF(ISBLANK(A138),
  """",
  IF(ISNUMBER(A138),
    TEXT(A138,""dd/mm/yyyy""),
    IF(
      REGEXMATCH(TRIM(A138),""^\d{1,2}/\d{1,2}/\d{4}$""),
      TRIM(A138),
      IFERROR(
        TEXT(DATEVALUE(SUBSTITUTE(SUBSTITUTE(TRIM(A138),""-"",""/""),""."",""/"&amp;""")),""dd/mm/yyyy""),
        TRIM(A138)
      )
    )
  )
)
"),"23/12/2024")</f>
        <v>23/12/2024</v>
      </c>
      <c r="L138" s="20">
        <v>45649.0</v>
      </c>
      <c r="M138" s="21" t="str">
        <f>IFERROR(__xludf.DUMMYFUNCTION("PROPER(TRIM(
  REGEXREPLACE(
    REGEXREPLACE(
      SUBSTITUTE(SUBSTITUTE(SUBSTITUTE(SUBSTITUTE(SUBSTITUTE(SUBSTITUTE(SUBSTITUTE(SUBSTITUTE(SUBSTITUTE(SUBSTITUTE(SUBSTITUTE(
        B138,""√©"",""é""),""√°"",""á""),""√±"",""ñ""),""√≥"",""ó""),""√â"",""é"&amp;"""),""√Å"",""á""),""√ç"",""í""),""√Ç"",""Í""),""√Â"",""é""),""√≠"",""í""),""√º"",""ú""),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38" s="22" t="str">
        <f>IFERROR(__xludf.DUMMYFUNCTION("SPLIT(
  TRIM(
    SUBSTITUTE(
      SUBSTITUTE(
        SUBSTITUTE(
          SUBSTITUTE(
            C138,
            ""√©"", ""é""
          ),
          ""√±"", ""ñ""
        ),
        ""√°"", ""á""
      ),
      ""√≥"", ""ó""
    )
  ),
  ""-""
)
"),"Laptop")</f>
        <v>Laptop</v>
      </c>
      <c r="O138" s="22" t="str">
        <f>IFERROR(__xludf.DUMMYFUNCTION("""COMPUTED_VALUE"""),"Gaming")</f>
        <v>Gaming</v>
      </c>
      <c r="P138" s="22" t="str">
        <f>IFERROR(__xludf.DUMMYFUNCTION("""COMPUTED_VALUE"""),"4GB")</f>
        <v>4GB</v>
      </c>
      <c r="Q138" s="23">
        <f t="shared" si="1"/>
        <v>797.54</v>
      </c>
      <c r="R138" s="22">
        <f t="shared" si="2"/>
        <v>4</v>
      </c>
      <c r="S138" s="23">
        <f t="shared" si="3"/>
        <v>3190.16</v>
      </c>
      <c r="T138" s="22" t="str">
        <f>IFERROR(__xludf.DUMMYFUNCTION("PROPER(TRIM(
  LET(
    texto1, REGEXREPLACE(G138,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"),"Horacio Moya Noriega")</f>
        <v>Horacio Moya Noriega</v>
      </c>
      <c r="U138" s="22" t="str">
        <f t="shared" si="4"/>
        <v>8ed93f26-7deb-40c4-b603-2dab763f14bd</v>
      </c>
      <c r="V138" s="24" t="str">
        <f t="shared" si="5"/>
        <v>Laptop Gaming 4GB</v>
      </c>
    </row>
    <row r="139" ht="15.75" customHeight="1">
      <c r="A139" s="6">
        <v>45485.0</v>
      </c>
      <c r="B139" s="2" t="s">
        <v>38</v>
      </c>
      <c r="C139" s="2" t="s">
        <v>121</v>
      </c>
      <c r="D139" s="7">
        <v>157.83</v>
      </c>
      <c r="E139" s="2">
        <v>5.0</v>
      </c>
      <c r="F139" s="7">
        <v>789.15</v>
      </c>
      <c r="G139" s="2" t="s">
        <v>590</v>
      </c>
      <c r="H139" s="2" t="s">
        <v>591</v>
      </c>
      <c r="I139" s="3" t="s">
        <v>592</v>
      </c>
      <c r="K139" s="25" t="str">
        <f>IFERROR(__xludf.DUMMYFUNCTION("IF(ISBLANK(A139),
  """",
  IF(ISNUMBER(A139),
    TEXT(A139,""dd/mm/yyyy""),
    IF(
      REGEXMATCH(TRIM(A139),""^\d{1,2}/\d{1,2}/\d{4}$""),
      TRIM(A139),
      IFERROR(
        TEXT(DATEVALUE(SUBSTITUTE(SUBSTITUTE(TRIM(A139),""-"",""/""),""."",""/"&amp;""")),""dd/mm/yyyy""),
        TRIM(A139)
      )
    )
  )
)
"),"12/07/2024")</f>
        <v>12/07/2024</v>
      </c>
      <c r="L139" s="26">
        <v>45485.0</v>
      </c>
      <c r="M139" s="27" t="str">
        <f>IFERROR(__xludf.DUMMYFUNCTION("PROPER(TRIM(
  REGEXREPLACE(
    REGEXREPLACE(
      SUBSTITUTE(SUBSTITUTE(SUBSTITUTE(SUBSTITUTE(SUBSTITUTE(SUBSTITUTE(SUBSTITUTE(SUBSTITUTE(SUBSTITUTE(SUBSTITUTE(SUBSTITUTE(
        B139,""√©"",""é""),""√°"",""á""),""√±"",""ñ""),""√≥"",""ó""),""√â"",""é"&amp;"""),""√Å"",""á""),""√ç"",""í""),""√Ç"",""Í""),""√Â"",""é""),""√≠"",""í""),""√º"",""ú""),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39" s="28" t="str">
        <f>IFERROR(__xludf.DUMMYFUNCTION("SPLIT(
  TRIM(
    SUBSTITUTE(
      SUBSTITUTE(
        SUBSTITUTE(
          SUBSTITUTE(
            C139,
            ""√©"", ""é""
          ),
          ""√±"", ""ñ""
        ),
        ""√°"", ""á""
      ),
      ""√≥"", ""ó""
    )
  ),
  ""-""
)
"),"Teléfono")</f>
        <v>Teléfono</v>
      </c>
      <c r="O139" s="28" t="str">
        <f>IFERROR(__xludf.DUMMYFUNCTION("""COMPUTED_VALUE"""),"Gama baja")</f>
        <v>Gama baja</v>
      </c>
      <c r="P139" s="28" t="str">
        <f>IFERROR(__xludf.DUMMYFUNCTION("""COMPUTED_VALUE"""),"8GB")</f>
        <v>8GB</v>
      </c>
      <c r="Q139" s="29">
        <f t="shared" si="1"/>
        <v>157.83</v>
      </c>
      <c r="R139" s="28">
        <f t="shared" si="2"/>
        <v>5</v>
      </c>
      <c r="S139" s="29">
        <f t="shared" si="3"/>
        <v>789.15</v>
      </c>
      <c r="T139" s="28" t="str">
        <f>IFERROR(__xludf.DUMMYFUNCTION("PROPER(TRIM(
  LET(
    texto1, REGEXREPLACE(G139,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 Teresa Zñiga")</f>
        <v>Abel Teresa Zñiga</v>
      </c>
      <c r="U139" s="31" t="str">
        <f t="shared" si="4"/>
        <v>15e734e2-2950-4516-be09-1c82cf0c10ef</v>
      </c>
      <c r="V139" s="30" t="str">
        <f t="shared" si="5"/>
        <v>Teléfono Gama baja 8GB</v>
      </c>
    </row>
    <row r="140" ht="15.75" customHeight="1">
      <c r="A140" s="6">
        <v>45644.0</v>
      </c>
      <c r="B140" s="2" t="s">
        <v>27</v>
      </c>
      <c r="C140" s="2" t="s">
        <v>593</v>
      </c>
      <c r="D140" s="7">
        <v>1096.28</v>
      </c>
      <c r="E140" s="2">
        <v>3.0</v>
      </c>
      <c r="F140" s="7">
        <v>3288.84</v>
      </c>
      <c r="G140" s="2" t="s">
        <v>594</v>
      </c>
      <c r="H140" s="2" t="s">
        <v>595</v>
      </c>
      <c r="I140" s="2" t="s">
        <v>596</v>
      </c>
      <c r="K140" s="19" t="str">
        <f>IFERROR(__xludf.DUMMYFUNCTION("IF(ISBLANK(A140),
  """",
  IF(ISNUMBER(A140),
    TEXT(A140,""dd/mm/yyyy""),
    IF(
      REGEXMATCH(TRIM(A140),""^\d{1,2}/\d{1,2}/\d{4}$""),
      TRIM(A140),
      IFERROR(
        TEXT(DATEVALUE(SUBSTITUTE(SUBSTITUTE(TRIM(A140),""-"",""/""),""."",""/"&amp;""")),""dd/mm/yyyy""),
        TRIM(A140)
      )
    )
  )
)
"),"18/12/2024")</f>
        <v>18/12/2024</v>
      </c>
      <c r="L140" s="20">
        <v>45644.0</v>
      </c>
      <c r="M140" s="21" t="str">
        <f>IFERROR(__xludf.DUMMYFUNCTION("PROPER(TRIM(
  REGEXREPLACE(
    REGEXREPLACE(
      SUBSTITUTE(SUBSTITUTE(SUBSTITUTE(SUBSTITUTE(SUBSTITUTE(SUBSTITUTE(SUBSTITUTE(SUBSTITUTE(SUBSTITUTE(SUBSTITUTE(SUBSTITUTE(
        B140,""√©"",""é""),""√°"",""á""),""√±"",""ñ""),""√≥"",""ó""),""√â"",""é"&amp;"""),""√Å"",""á""),""√ç"",""í""),""√Ç"",""Í""),""√Â"",""é""),""√≠"",""í""),""√º"",""ú""),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40" s="22" t="str">
        <f>IFERROR(__xludf.DUMMYFUNCTION("SPLIT(
  TRIM(
    SUBSTITUTE(
      SUBSTITUTE(
        SUBSTITUTE(
          SUBSTITUTE(
            C140,
            ""√©"", ""é""
          ),
          ""√±"", ""ñ""
        ),
        ""√°"", ""á""
      ),
      ""√≥"", ""ó""
    )
  ),
  ""-""
)
"),"Laptop")</f>
        <v>Laptop</v>
      </c>
      <c r="O140" s="22" t="str">
        <f>IFERROR(__xludf.DUMMYFUNCTION("""COMPUTED_VALUE"""),"Gaming")</f>
        <v>Gaming</v>
      </c>
      <c r="P140" s="22" t="str">
        <f>IFERROR(__xludf.DUMMYFUNCTION("""COMPUTED_VALUE"""),"16GB")</f>
        <v>16GB</v>
      </c>
      <c r="Q140" s="23">
        <f t="shared" si="1"/>
        <v>1096.28</v>
      </c>
      <c r="R140" s="22">
        <f t="shared" si="2"/>
        <v>3</v>
      </c>
      <c r="S140" s="23">
        <f t="shared" si="3"/>
        <v>3288.84</v>
      </c>
      <c r="T140" s="22" t="str">
        <f>IFERROR(__xludf.DUMMYFUNCTION("PROPER(TRIM(
  LET(
    texto1, REGEXREPLACE(G140,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"),"Israel Amaya")</f>
        <v>Israel Amaya</v>
      </c>
      <c r="U140" s="22" t="str">
        <f t="shared" si="4"/>
        <v>73c9e2ed-d0e0-4b5c-92ac-e3a55014e974</v>
      </c>
      <c r="V140" s="24" t="str">
        <f t="shared" si="5"/>
        <v>Laptop Gaming 16GB</v>
      </c>
    </row>
    <row r="141" ht="15.75" customHeight="1">
      <c r="A141" s="6">
        <v>45569.0</v>
      </c>
      <c r="B141" s="2" t="s">
        <v>50</v>
      </c>
      <c r="C141" s="2" t="s">
        <v>176</v>
      </c>
      <c r="D141" s="7">
        <v>1086.48</v>
      </c>
      <c r="E141" s="2">
        <v>1.0</v>
      </c>
      <c r="F141" s="7">
        <v>1086.48</v>
      </c>
      <c r="G141" s="2" t="s">
        <v>598</v>
      </c>
      <c r="H141" s="2" t="s">
        <v>599</v>
      </c>
      <c r="I141" s="2" t="s">
        <v>600</v>
      </c>
      <c r="K141" s="25" t="str">
        <f>IFERROR(__xludf.DUMMYFUNCTION("IF(ISBLANK(A141),
  """",
  IF(ISNUMBER(A141),
    TEXT(A141,""dd/mm/yyyy""),
    IF(
      REGEXMATCH(TRIM(A141),""^\d{1,2}/\d{1,2}/\d{4}$""),
      TRIM(A141),
      IFERROR(
        TEXT(DATEVALUE(SUBSTITUTE(SUBSTITUTE(TRIM(A141),""-"",""/""),""."",""/"&amp;""")),""dd/mm/yyyy""),
        TRIM(A141)
      )
    )
  )
)
"),"04/10/2024")</f>
        <v>04/10/2024</v>
      </c>
      <c r="L141" s="26">
        <v>45569.0</v>
      </c>
      <c r="M141" s="27" t="str">
        <f>IFERROR(__xludf.DUMMYFUNCTION("PROPER(TRIM(
  REGEXREPLACE(
    REGEXREPLACE(
      SUBSTITUTE(SUBSTITUTE(SUBSTITUTE(SUBSTITUTE(SUBSTITUTE(SUBSTITUTE(SUBSTITUTE(SUBSTITUTE(SUBSTITUTE(SUBSTITUTE(SUBSTITUTE(
        B141,""√©"",""é""),""√°"",""á""),""√±"",""ñ""),""√≥"",""ó""),""√â"",""é"&amp;"""),""√Å"",""á""),""√ç"",""í""),""√Ç"",""Í""),""√Â"",""é""),""√≠"",""í""),""√º"",""ú""),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41" s="28" t="str">
        <f>IFERROR(__xludf.DUMMYFUNCTION("SPLIT(
  TRIM(
    SUBSTITUTE(
      SUBSTITUTE(
        SUBSTITUTE(
          SUBSTITUTE(
            C141,
            ""√©"", ""é""
          ),
          ""√±"", ""ñ""
        ),
        ""√°"", ""á""
      ),
      ""√≥"", ""ó""
    )
  ),
  ""-""
)
"),"Auriculares")</f>
        <v>Auriculares</v>
      </c>
      <c r="O141" s="28" t="str">
        <f>IFERROR(__xludf.DUMMYFUNCTION("""COMPUTED_VALUE"""),"Con cable")</f>
        <v>Con cable</v>
      </c>
      <c r="P141" s="28" t="str">
        <f>IFERROR(__xludf.DUMMYFUNCTION("""COMPUTED_VALUE"""),"8GB")</f>
        <v>8GB</v>
      </c>
      <c r="Q141" s="29">
        <f t="shared" si="1"/>
        <v>1086.48</v>
      </c>
      <c r="R141" s="28">
        <f t="shared" si="2"/>
        <v>1</v>
      </c>
      <c r="S141" s="29">
        <f t="shared" si="3"/>
        <v>1086.48</v>
      </c>
      <c r="T141" s="28" t="str">
        <f>IFERROR(__xludf.DUMMYFUNCTION("PROPER(TRIM(
  LET(
    texto1, REGEXREPLACE(G141,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"),"Cristal Luis Manuel Sánchez")</f>
        <v>Cristal Luis Manuel Sánchez</v>
      </c>
      <c r="U141" s="28" t="str">
        <f t="shared" si="4"/>
        <v>a895a20b-523d-4f9e-a3e5-039259362c4f</v>
      </c>
      <c r="V141" s="30" t="str">
        <f t="shared" si="5"/>
        <v>Auriculares Con cable 8GB</v>
      </c>
    </row>
    <row r="142" ht="15.75" customHeight="1">
      <c r="A142" s="6" t="s">
        <v>519</v>
      </c>
      <c r="B142" s="2" t="s">
        <v>101</v>
      </c>
      <c r="C142" s="2" t="s">
        <v>245</v>
      </c>
      <c r="D142" s="7">
        <v>2361.22</v>
      </c>
      <c r="E142" s="2">
        <v>2.0</v>
      </c>
      <c r="F142" s="7">
        <v>4722.44</v>
      </c>
      <c r="G142" s="2" t="s">
        <v>601</v>
      </c>
      <c r="H142" s="2" t="s">
        <v>602</v>
      </c>
      <c r="I142" s="2" t="s">
        <v>603</v>
      </c>
      <c r="K142" s="19" t="str">
        <f>IFERROR(__xludf.DUMMYFUNCTION("IF(ISBLANK(A142),
  """",
  IF(ISNUMBER(A142),
    TEXT(A142,""dd/mm/yyyy""),
    IF(
      REGEXMATCH(TRIM(A142),""^\d{1,2}/\d{1,2}/\d{4}$""),
      TRIM(A142),
      IFERROR(
        TEXT(DATEVALUE(SUBSTITUTE(SUBSTITUTE(TRIM(A142),""-"",""/""),""."",""/"&amp;""")),""dd/mm/yyyy""),
        TRIM(A142)
      )
    )
  )
)
"),"16/10/2024")</f>
        <v>16/10/2024</v>
      </c>
      <c r="L142" s="20">
        <v>45581.0</v>
      </c>
      <c r="M142" s="21" t="str">
        <f>IFERROR(__xludf.DUMMYFUNCTION("PROPER(TRIM(
  REGEXREPLACE(
    REGEXREPLACE(
      SUBSTITUTE(SUBSTITUTE(SUBSTITUTE(SUBSTITUTE(SUBSTITUTE(SUBSTITUTE(SUBSTITUTE(SUBSTITUTE(SUBSTITUTE(SUBSTITUTE(SUBSTITUTE(
        B142,""√©"",""é""),""√°"",""á""),""√±"",""ñ""),""√≥"",""ó""),""√â"",""é"&amp;"""),""√Å"",""á""),""√ç"",""í""),""√Ç"",""Í""),""√Â"",""é""),""√≠"",""í""),""√º"",""ú""),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42" s="22" t="str">
        <f>IFERROR(__xludf.DUMMYFUNCTION("SPLIT(
  TRIM(
    SUBSTITUTE(
      SUBSTITUTE(
        SUBSTITUTE(
          SUBSTITUTE(
            C142,
            ""√©"", ""é""
          ),
          ""√±"", ""ñ""
        ),
        ""√°"", ""á""
      ),
      ""√≥"", ""ó""
    )
  ),
  ""-""
)
"),"Teléfono")</f>
        <v>Teléfono</v>
      </c>
      <c r="O142" s="22" t="str">
        <f>IFERROR(__xludf.DUMMYFUNCTION("""COMPUTED_VALUE"""),"Gama baja")</f>
        <v>Gama baja</v>
      </c>
      <c r="P142" s="22" t="str">
        <f>IFERROR(__xludf.DUMMYFUNCTION("""COMPUTED_VALUE"""),"32GB")</f>
        <v>32GB</v>
      </c>
      <c r="Q142" s="23">
        <f t="shared" si="1"/>
        <v>2361.22</v>
      </c>
      <c r="R142" s="22">
        <f t="shared" si="2"/>
        <v>2</v>
      </c>
      <c r="S142" s="23">
        <f t="shared" si="3"/>
        <v>4722.44</v>
      </c>
      <c r="T142" s="22" t="str">
        <f>IFERROR(__xludf.DUMMYFUNCTION("PROPER(TRIM(
  LET(
    texto1, REGEXREPLACE(G142,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"),"Rosario Centeno Rosario")</f>
        <v>Rosario Centeno Rosario</v>
      </c>
      <c r="U142" s="22" t="str">
        <f t="shared" si="4"/>
        <v>677b528f-dda1-49de-adfd-cb2648ff77c2</v>
      </c>
      <c r="V142" s="24" t="str">
        <f t="shared" si="5"/>
        <v>Teléfono Gama baja 32GB</v>
      </c>
    </row>
    <row r="143" ht="15.75" customHeight="1">
      <c r="A143" s="6">
        <v>45302.0</v>
      </c>
      <c r="B143" s="2" t="s">
        <v>50</v>
      </c>
      <c r="C143" s="2" t="s">
        <v>172</v>
      </c>
      <c r="D143" s="7">
        <v>2378.7</v>
      </c>
      <c r="E143" s="2">
        <v>1.0</v>
      </c>
      <c r="F143" s="7">
        <v>2378.7</v>
      </c>
      <c r="G143" s="2" t="s">
        <v>604</v>
      </c>
      <c r="H143" s="2" t="s">
        <v>605</v>
      </c>
      <c r="I143" s="2" t="s">
        <v>606</v>
      </c>
      <c r="K143" s="25" t="str">
        <f>IFERROR(__xludf.DUMMYFUNCTION("IF(ISBLANK(A143),
  """",
  IF(ISNUMBER(A143),
    TEXT(A143,""dd/mm/yyyy""),
    IF(
      REGEXMATCH(TRIM(A143),""^\d{1,2}/\d{1,2}/\d{4}$""),
      TRIM(A143),
      IFERROR(
        TEXT(DATEVALUE(SUBSTITUTE(SUBSTITUTE(TRIM(A143),""-"",""/""),""."",""/"&amp;""")),""dd/mm/yyyy""),
        TRIM(A143)
      )
    )
  )
)
"),"11/01/2024")</f>
        <v>11/01/2024</v>
      </c>
      <c r="L143" s="26">
        <v>45302.0</v>
      </c>
      <c r="M143" s="27" t="str">
        <f>IFERROR(__xludf.DUMMYFUNCTION("PROPER(TRIM(
  REGEXREPLACE(
    REGEXREPLACE(
      SUBSTITUTE(SUBSTITUTE(SUBSTITUTE(SUBSTITUTE(SUBSTITUTE(SUBSTITUTE(SUBSTITUTE(SUBSTITUTE(SUBSTITUTE(SUBSTITUTE(SUBSTITUTE(
        B143,""√©"",""é""),""√°"",""á""),""√±"",""ñ""),""√≥"",""ó""),""√â"",""é"&amp;"""),""√Å"",""á""),""√ç"",""í""),""√Ç"",""Í""),""√Â"",""é""),""√≠"",""í""),""√º"",""ú""),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43" s="28" t="str">
        <f>IFERROR(__xludf.DUMMYFUNCTION("SPLIT(
  TRIM(
    SUBSTITUTE(
      SUBSTITUTE(
        SUBSTITUTE(
          SUBSTITUTE(
            C143,
            ""√©"", ""é""
          ),
          ""√±"", ""ñ""
        ),
        ""√°"", ""á""
      ),
      ""√≥"", ""ó""
    )
  ),
  ""-""
)
"),"Laptop")</f>
        <v>Laptop</v>
      </c>
      <c r="O143" s="28" t="str">
        <f>IFERROR(__xludf.DUMMYFUNCTION("""COMPUTED_VALUE"""),"Oficina")</f>
        <v>Oficina</v>
      </c>
      <c r="P143" s="28" t="str">
        <f>IFERROR(__xludf.DUMMYFUNCTION("""COMPUTED_VALUE"""),"8GB")</f>
        <v>8GB</v>
      </c>
      <c r="Q143" s="29">
        <f t="shared" si="1"/>
        <v>2378.7</v>
      </c>
      <c r="R143" s="28">
        <f t="shared" si="2"/>
        <v>1</v>
      </c>
      <c r="S143" s="29">
        <f t="shared" si="3"/>
        <v>2378.7</v>
      </c>
      <c r="T143" s="28" t="str">
        <f>IFERROR(__xludf.DUMMYFUNCTION("PROPER(TRIM(
  LET(
    texto1, REGEXREPLACE(G143,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 Vega")</f>
        <v>Jos Vega</v>
      </c>
      <c r="U143" s="28" t="str">
        <f t="shared" si="4"/>
        <v>6c8cd43e-c6ec-498f-b791-a986f872af1d</v>
      </c>
      <c r="V143" s="30" t="str">
        <f t="shared" si="5"/>
        <v>Laptop Oficina 8GB</v>
      </c>
    </row>
    <row r="144" ht="15.75" customHeight="1">
      <c r="A144" s="6">
        <v>45648.0</v>
      </c>
      <c r="B144" s="2" t="s">
        <v>38</v>
      </c>
      <c r="C144" s="2" t="s">
        <v>111</v>
      </c>
      <c r="D144" s="7">
        <v>2186.25</v>
      </c>
      <c r="E144" s="2">
        <v>5.0</v>
      </c>
      <c r="F144" s="7">
        <v>10931.25</v>
      </c>
      <c r="G144" s="2" t="s">
        <v>608</v>
      </c>
      <c r="H144" s="2" t="s">
        <v>609</v>
      </c>
      <c r="I144" s="2" t="s">
        <v>610</v>
      </c>
      <c r="K144" s="19" t="str">
        <f>IFERROR(__xludf.DUMMYFUNCTION("IF(ISBLANK(A144),
  """",
  IF(ISNUMBER(A144),
    TEXT(A144,""dd/mm/yyyy""),
    IF(
      REGEXMATCH(TRIM(A144),""^\d{1,2}/\d{1,2}/\d{4}$""),
      TRIM(A144),
      IFERROR(
        TEXT(DATEVALUE(SUBSTITUTE(SUBSTITUTE(TRIM(A144),""-"",""/""),""."",""/"&amp;""")),""dd/mm/yyyy""),
        TRIM(A144)
      )
    )
  )
)
"),"22/12/2024")</f>
        <v>22/12/2024</v>
      </c>
      <c r="L144" s="20">
        <v>45648.0</v>
      </c>
      <c r="M144" s="21" t="str">
        <f>IFERROR(__xludf.DUMMYFUNCTION("PROPER(TRIM(
  REGEXREPLACE(
    REGEXREPLACE(
      SUBSTITUTE(SUBSTITUTE(SUBSTITUTE(SUBSTITUTE(SUBSTITUTE(SUBSTITUTE(SUBSTITUTE(SUBSTITUTE(SUBSTITUTE(SUBSTITUTE(SUBSTITUTE(
        B144,""√©"",""é""),""√°"",""á""),""√±"",""ñ""),""√≥"",""ó""),""√â"",""é"&amp;"""),""√Å"",""á""),""√ç"",""í""),""√Ç"",""Í""),""√Â"",""é""),""√≠"",""í""),""√º"",""ú""),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44" s="22" t="str">
        <f>IFERROR(__xludf.DUMMYFUNCTION("SPLIT(
  TRIM(
    SUBSTITUTE(
      SUBSTITUTE(
        SUBSTITUTE(
          SUBSTITUTE(
            C144,
            ""√©"", ""é""
          ),
          ""√±"", ""ñ""
        ),
        ""√°"", ""á""
      ),
      ""√≥"", ""ó""
    )
  ),
  ""-""
)
"),"Tablet")</f>
        <v>Tablet</v>
      </c>
      <c r="O144" s="22" t="str">
        <f>IFERROR(__xludf.DUMMYFUNCTION("""COMPUTED_VALUE"""),"Estándar")</f>
        <v>Estándar</v>
      </c>
      <c r="P144" s="22" t="str">
        <f>IFERROR(__xludf.DUMMYFUNCTION("""COMPUTED_VALUE"""),"16GB")</f>
        <v>16GB</v>
      </c>
      <c r="Q144" s="23">
        <f t="shared" si="1"/>
        <v>2186.25</v>
      </c>
      <c r="R144" s="22">
        <f t="shared" si="2"/>
        <v>5</v>
      </c>
      <c r="S144" s="23">
        <f t="shared" si="3"/>
        <v>10931.25</v>
      </c>
      <c r="T144" s="22" t="str">
        <f>IFERROR(__xludf.DUMMYFUNCTION("PROPER(TRIM(
  LET(
    texto1, REGEXREPLACE(G144,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Barbara De La Rosa")</f>
        <v>Cristina Barbara De La Rosa</v>
      </c>
      <c r="U144" s="22" t="str">
        <f t="shared" si="4"/>
        <v>5407753d-0304-48ca-9ea9-d8bbfb643e29</v>
      </c>
      <c r="V144" s="24" t="str">
        <f t="shared" si="5"/>
        <v>Tablet Estándar 16GB</v>
      </c>
    </row>
    <row r="145" ht="15.75" customHeight="1">
      <c r="A145" s="6">
        <v>45453.0</v>
      </c>
      <c r="B145" s="2" t="s">
        <v>50</v>
      </c>
      <c r="C145" s="2" t="s">
        <v>111</v>
      </c>
      <c r="D145" s="7">
        <v>156.04</v>
      </c>
      <c r="E145" s="2">
        <v>3.0</v>
      </c>
      <c r="F145" s="7">
        <v>468.12</v>
      </c>
      <c r="G145" s="2" t="s">
        <v>612</v>
      </c>
      <c r="H145" s="2" t="s">
        <v>613</v>
      </c>
      <c r="I145" s="2" t="s">
        <v>614</v>
      </c>
      <c r="K145" s="25" t="str">
        <f>IFERROR(__xludf.DUMMYFUNCTION("IF(ISBLANK(A145),
  """",
  IF(ISNUMBER(A145),
    TEXT(A145,""dd/mm/yyyy""),
    IF(
      REGEXMATCH(TRIM(A145),""^\d{1,2}/\d{1,2}/\d{4}$""),
      TRIM(A145),
      IFERROR(
        TEXT(DATEVALUE(SUBSTITUTE(SUBSTITUTE(TRIM(A145),""-"",""/""),""."",""/"&amp;""")),""dd/mm/yyyy""),
        TRIM(A145)
      )
    )
  )
)
"),"10/06/2024")</f>
        <v>10/06/2024</v>
      </c>
      <c r="L145" s="26">
        <v>45453.0</v>
      </c>
      <c r="M145" s="27" t="str">
        <f>IFERROR(__xludf.DUMMYFUNCTION("PROPER(TRIM(
  REGEXREPLACE(
    REGEXREPLACE(
      SUBSTITUTE(SUBSTITUTE(SUBSTITUTE(SUBSTITUTE(SUBSTITUTE(SUBSTITUTE(SUBSTITUTE(SUBSTITUTE(SUBSTITUTE(SUBSTITUTE(SUBSTITUTE(
        B145,""√©"",""é""),""√°"",""á""),""√±"",""ñ""),""√≥"",""ó""),""√â"",""é"&amp;"""),""√Å"",""á""),""√ç"",""í""),""√Ç"",""Í""),""√Â"",""é""),""√≠"",""í""),""√º"",""ú""),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45" s="28" t="str">
        <f>IFERROR(__xludf.DUMMYFUNCTION("SPLIT(
  TRIM(
    SUBSTITUTE(
      SUBSTITUTE(
        SUBSTITUTE(
          SUBSTITUTE(
            C145,
            ""√©"", ""é""
          ),
          ""√±"", ""ñ""
        ),
        ""√°"", ""á""
      ),
      ""√≥"", ""ó""
    )
  ),
  ""-""
)
"),"Tablet")</f>
        <v>Tablet</v>
      </c>
      <c r="O145" s="28" t="str">
        <f>IFERROR(__xludf.DUMMYFUNCTION("""COMPUTED_VALUE"""),"Estándar")</f>
        <v>Estándar</v>
      </c>
      <c r="P145" s="28" t="str">
        <f>IFERROR(__xludf.DUMMYFUNCTION("""COMPUTED_VALUE"""),"16GB")</f>
        <v>16GB</v>
      </c>
      <c r="Q145" s="29">
        <f t="shared" si="1"/>
        <v>156.04</v>
      </c>
      <c r="R145" s="28">
        <f t="shared" si="2"/>
        <v>3</v>
      </c>
      <c r="S145" s="29">
        <f t="shared" si="3"/>
        <v>468.12</v>
      </c>
      <c r="T145" s="28" t="str">
        <f>IFERROR(__xludf.DUMMYFUNCTION("PROPER(TRIM(
  LET(
    texto1, REGEXREPLACE(G145,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"),"Ariadna Rosas Altamirano")</f>
        <v>Ariadna Rosas Altamirano</v>
      </c>
      <c r="U145" s="28" t="str">
        <f t="shared" si="4"/>
        <v>0b19abc7-fda3-4d4c-944d-c789af3a12ee</v>
      </c>
      <c r="V145" s="30" t="str">
        <f t="shared" si="5"/>
        <v>Tablet Estándar 16GB</v>
      </c>
    </row>
    <row r="146" ht="15.75" customHeight="1">
      <c r="A146" s="6">
        <v>45621.0</v>
      </c>
      <c r="B146" s="2" t="s">
        <v>16</v>
      </c>
      <c r="C146" s="2" t="s">
        <v>348</v>
      </c>
      <c r="D146" s="7">
        <v>1847.8</v>
      </c>
      <c r="E146" s="2">
        <v>3.0</v>
      </c>
      <c r="F146" s="7">
        <v>5543.4</v>
      </c>
      <c r="G146" s="2" t="s">
        <v>615</v>
      </c>
      <c r="H146" s="2" t="s">
        <v>616</v>
      </c>
      <c r="I146" s="2" t="s">
        <v>617</v>
      </c>
      <c r="K146" s="19" t="str">
        <f>IFERROR(__xludf.DUMMYFUNCTION("IF(ISBLANK(A146),
  """",
  IF(ISNUMBER(A146),
    TEXT(A146,""dd/mm/yyyy""),
    IF(
      REGEXMATCH(TRIM(A146),""^\d{1,2}/\d{1,2}/\d{4}$""),
      TRIM(A146),
      IFERROR(
        TEXT(DATEVALUE(SUBSTITUTE(SUBSTITUTE(TRIM(A146),""-"",""/""),""."",""/"&amp;""")),""dd/mm/yyyy""),
        TRIM(A146)
      )
    )
  )
)
"),"25/11/2024")</f>
        <v>25/11/2024</v>
      </c>
      <c r="L146" s="20">
        <v>45621.0</v>
      </c>
      <c r="M146" s="21" t="str">
        <f>IFERROR(__xludf.DUMMYFUNCTION("PROPER(TRIM(
  REGEXREPLACE(
    REGEXREPLACE(
      SUBSTITUTE(SUBSTITUTE(SUBSTITUTE(SUBSTITUTE(SUBSTITUTE(SUBSTITUTE(SUBSTITUTE(SUBSTITUTE(SUBSTITUTE(SUBSTITUTE(SUBSTITUTE(
        B146,""√©"",""é""),""√°"",""á""),""√±"",""ñ""),""√≥"",""ó""),""√â"",""é"&amp;"""),""√Å"",""á""),""√ç"",""í""),""√Ç"",""Í""),""√Â"",""é""),""√≠"",""í""),""√º"",""ú""),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46" s="22" t="str">
        <f>IFERROR(__xludf.DUMMYFUNCTION("SPLIT(
  TRIM(
    SUBSTITUTE(
      SUBSTITUTE(
        SUBSTITUTE(
          SUBSTITUTE(
            C146,
            ""√©"", ""é""
          ),
          ""√±"", ""ñ""
        ),
        ""√°"", ""á""
      ),
      ""√≥"", ""ó""
    )
  ),
  ""-""
)
"),"Teléfono")</f>
        <v>Teléfono</v>
      </c>
      <c r="O146" s="22" t="str">
        <f>IFERROR(__xludf.DUMMYFUNCTION("""COMPUTED_VALUE"""),"Gama media")</f>
        <v>Gama media</v>
      </c>
      <c r="P146" s="22" t="str">
        <f>IFERROR(__xludf.DUMMYFUNCTION("""COMPUTED_VALUE"""),"8GB")</f>
        <v>8GB</v>
      </c>
      <c r="Q146" s="23">
        <f t="shared" si="1"/>
        <v>1847.8</v>
      </c>
      <c r="R146" s="22">
        <f t="shared" si="2"/>
        <v>3</v>
      </c>
      <c r="S146" s="23">
        <f t="shared" si="3"/>
        <v>5543.4</v>
      </c>
      <c r="T146" s="22" t="str">
        <f>IFERROR(__xludf.DUMMYFUNCTION("PROPER(TRIM(
  LET(
    texto1, REGEXREPLACE(G146,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"),"Andrea Almaraz Barajas")</f>
        <v>Andrea Almaraz Barajas</v>
      </c>
      <c r="U146" s="22" t="str">
        <f t="shared" si="4"/>
        <v>2f83c135-17e5-4888-8b31-f505c0170e5e</v>
      </c>
      <c r="V146" s="24" t="str">
        <f t="shared" si="5"/>
        <v>Teléfono Gama media 8GB</v>
      </c>
    </row>
    <row r="147" ht="15.75" customHeight="1">
      <c r="A147" s="6">
        <v>45597.0</v>
      </c>
      <c r="B147" s="2" t="s">
        <v>85</v>
      </c>
      <c r="C147" s="2" t="s">
        <v>39</v>
      </c>
      <c r="D147" s="7">
        <v>1912.53</v>
      </c>
      <c r="E147" s="2">
        <v>1.0</v>
      </c>
      <c r="F147" s="7">
        <v>1912.53</v>
      </c>
      <c r="G147" s="2" t="s">
        <v>619</v>
      </c>
      <c r="H147" s="2" t="s">
        <v>620</v>
      </c>
      <c r="I147" s="2" t="s">
        <v>621</v>
      </c>
      <c r="K147" s="25" t="str">
        <f>IFERROR(__xludf.DUMMYFUNCTION("IF(ISBLANK(A147),
  """",
  IF(ISNUMBER(A147),
    TEXT(A147,""dd/mm/yyyy""),
    IF(
      REGEXMATCH(TRIM(A147),""^\d{1,2}/\d{1,2}/\d{4}$""),
      TRIM(A147),
      IFERROR(
        TEXT(DATEVALUE(SUBSTITUTE(SUBSTITUTE(TRIM(A147),""-"",""/""),""."",""/"&amp;""")),""dd/mm/yyyy""),
        TRIM(A147)
      )
    )
  )
)
"),"01/11/2024")</f>
        <v>01/11/2024</v>
      </c>
      <c r="L147" s="26">
        <v>45597.0</v>
      </c>
      <c r="M147" s="27" t="str">
        <f>IFERROR(__xludf.DUMMYFUNCTION("PROPER(TRIM(
  REGEXREPLACE(
    REGEXREPLACE(
      SUBSTITUTE(SUBSTITUTE(SUBSTITUTE(SUBSTITUTE(SUBSTITUTE(SUBSTITUTE(SUBSTITUTE(SUBSTITUTE(SUBSTITUTE(SUBSTITUTE(SUBSTITUTE(
        B147,""√©"",""é""),""√°"",""á""),""√±"",""ñ""),""√≥"",""ó""),""√â"",""é"&amp;"""),""√Å"",""á""),""√ç"",""í""),""√Ç"",""Í""),""√Â"",""é""),""√≠"",""í""),""√º"",""ú""),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47" s="28" t="str">
        <f>IFERROR(__xludf.DUMMYFUNCTION("SPLIT(
  TRIM(
    SUBSTITUTE(
      SUBSTITUTE(
        SUBSTITUTE(
          SUBSTITUTE(
            C147,
            ""√©"", ""é""
          ),
          ""√±"", ""ñ""
        ),
        ""√°"", ""á""
      ),
      ""√≥"", ""ó""
    )
  ),
  ""-""
)
"),"Teléfono")</f>
        <v>Teléfono</v>
      </c>
      <c r="O147" s="28" t="str">
        <f>IFERROR(__xludf.DUMMYFUNCTION("""COMPUTED_VALUE"""),"Gama alta")</f>
        <v>Gama alta</v>
      </c>
      <c r="P147" s="28" t="str">
        <f>IFERROR(__xludf.DUMMYFUNCTION("""COMPUTED_VALUE"""),"8GB")</f>
        <v>8GB</v>
      </c>
      <c r="Q147" s="29">
        <f t="shared" si="1"/>
        <v>1912.53</v>
      </c>
      <c r="R147" s="28">
        <f t="shared" si="2"/>
        <v>1</v>
      </c>
      <c r="S147" s="29">
        <f t="shared" si="3"/>
        <v>1912.53</v>
      </c>
      <c r="T147" s="28" t="str">
        <f>IFERROR(__xludf.DUMMYFUNCTION("PROPER(TRIM(
  LET(
    texto1, REGEXREPLACE(G147,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"),"Arcelia Nieves")</f>
        <v>Arcelia Nieves</v>
      </c>
      <c r="U147" s="28" t="str">
        <f t="shared" si="4"/>
        <v>d5751f29-c753-47da-9e7a-d5ed1090b0ad</v>
      </c>
      <c r="V147" s="30" t="str">
        <f t="shared" si="5"/>
        <v>Teléfono Gama alta 8GB</v>
      </c>
    </row>
    <row r="148" ht="15.75" customHeight="1">
      <c r="A148" s="6">
        <v>45591.0</v>
      </c>
      <c r="B148" s="2" t="s">
        <v>16</v>
      </c>
      <c r="C148" s="2" t="s">
        <v>623</v>
      </c>
      <c r="D148" s="7">
        <v>919.0</v>
      </c>
      <c r="E148" s="2">
        <v>5.0</v>
      </c>
      <c r="F148" s="7">
        <v>4595.0</v>
      </c>
      <c r="G148" s="2" t="s">
        <v>624</v>
      </c>
      <c r="H148" s="2" t="s">
        <v>625</v>
      </c>
      <c r="I148" s="2" t="s">
        <v>626</v>
      </c>
      <c r="K148" s="19" t="str">
        <f>IFERROR(__xludf.DUMMYFUNCTION("IF(ISBLANK(A148),
  """",
  IF(ISNUMBER(A148),
    TEXT(A148,""dd/mm/yyyy""),
    IF(
      REGEXMATCH(TRIM(A148),""^\d{1,2}/\d{1,2}/\d{4}$""),
      TRIM(A148),
      IFERROR(
        TEXT(DATEVALUE(SUBSTITUTE(SUBSTITUTE(TRIM(A148),""-"",""/""),""."",""/"&amp;""")),""dd/mm/yyyy""),
        TRIM(A148)
      )
    )
  )
)
"),"26/10/2024")</f>
        <v>26/10/2024</v>
      </c>
      <c r="L148" s="20">
        <v>45591.0</v>
      </c>
      <c r="M148" s="21" t="str">
        <f>IFERROR(__xludf.DUMMYFUNCTION("PROPER(TRIM(
  REGEXREPLACE(
    REGEXREPLACE(
      SUBSTITUTE(SUBSTITUTE(SUBSTITUTE(SUBSTITUTE(SUBSTITUTE(SUBSTITUTE(SUBSTITUTE(SUBSTITUTE(SUBSTITUTE(SUBSTITUTE(SUBSTITUTE(
        B148,""√©"",""é""),""√°"",""á""),""√±"",""ñ""),""√≥"",""ó""),""√â"",""é"&amp;"""),""√Å"",""á""),""√ç"",""í""),""√Ç"",""Í""),""√Â"",""é""),""√≠"",""í""),""√º"",""ú""),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48" s="22" t="str">
        <f>IFERROR(__xludf.DUMMYFUNCTION("SPLIT(
  TRIM(
    SUBSTITUTE(
      SUBSTITUTE(
        SUBSTITUTE(
          SUBSTITUTE(
            C148,
            ""√©"", ""é""
          ),
          ""√±"", ""ñ""
        ),
        ""√°"", ""á""
      ),
      ""√≥"", ""ó""
    )
  ),
  ""-""
)
"),"Teléfono")</f>
        <v>Teléfono</v>
      </c>
      <c r="O148" s="22" t="str">
        <f>IFERROR(__xludf.DUMMYFUNCTION("""COMPUTED_VALUE"""),"Gama baja")</f>
        <v>Gama baja</v>
      </c>
      <c r="P148" s="22" t="str">
        <f>IFERROR(__xludf.DUMMYFUNCTION("""COMPUTED_VALUE"""),"32GB")</f>
        <v>32GB</v>
      </c>
      <c r="Q148" s="23">
        <f t="shared" si="1"/>
        <v>919</v>
      </c>
      <c r="R148" s="22">
        <f t="shared" si="2"/>
        <v>5</v>
      </c>
      <c r="S148" s="23">
        <f t="shared" si="3"/>
        <v>4595</v>
      </c>
      <c r="T148" s="22" t="str">
        <f>IFERROR(__xludf.DUMMYFUNCTION("PROPER(TRIM(
  LET(
    texto1, REGEXREPLACE(G148,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"),"Verónica De León Covarrubias")</f>
        <v>Verónica De León Covarrubias</v>
      </c>
      <c r="U148" s="22" t="str">
        <f t="shared" si="4"/>
        <v>0461093f-4c28-41d9-b8c1-8f858b8a8164</v>
      </c>
      <c r="V148" s="24" t="str">
        <f t="shared" si="5"/>
        <v>Teléfono Gama baja 32GB</v>
      </c>
    </row>
    <row r="149" ht="15.75" customHeight="1">
      <c r="A149" s="6">
        <v>45576.0</v>
      </c>
      <c r="B149" s="2" t="s">
        <v>27</v>
      </c>
      <c r="C149" s="2" t="s">
        <v>65</v>
      </c>
      <c r="D149" s="7">
        <v>2208.12</v>
      </c>
      <c r="E149" s="2">
        <v>2.0</v>
      </c>
      <c r="F149" s="7">
        <v>4416.24</v>
      </c>
      <c r="G149" s="2" t="s">
        <v>628</v>
      </c>
      <c r="H149" s="2" t="s">
        <v>629</v>
      </c>
      <c r="I149" s="2" t="s">
        <v>630</v>
      </c>
      <c r="K149" s="25" t="str">
        <f>IFERROR(__xludf.DUMMYFUNCTION("IF(ISBLANK(A149),
  """",
  IF(ISNUMBER(A149),
    TEXT(A149,""dd/mm/yyyy""),
    IF(
      REGEXMATCH(TRIM(A149),""^\d{1,2}/\d{1,2}/\d{4}$""),
      TRIM(A149),
      IFERROR(
        TEXT(DATEVALUE(SUBSTITUTE(SUBSTITUTE(TRIM(A149),""-"",""/""),""."",""/"&amp;""")),""dd/mm/yyyy""),
        TRIM(A149)
      )
    )
  )
)
"),"11/10/2024")</f>
        <v>11/10/2024</v>
      </c>
      <c r="L149" s="26">
        <v>45576.0</v>
      </c>
      <c r="M149" s="27" t="str">
        <f>IFERROR(__xludf.DUMMYFUNCTION("PROPER(TRIM(
  REGEXREPLACE(
    REGEXREPLACE(
      SUBSTITUTE(SUBSTITUTE(SUBSTITUTE(SUBSTITUTE(SUBSTITUTE(SUBSTITUTE(SUBSTITUTE(SUBSTITUTE(SUBSTITUTE(SUBSTITUTE(SUBSTITUTE(
        B149,""√©"",""é""),""√°"",""á""),""√±"",""ñ""),""√≥"",""ó""),""√â"",""é"&amp;"""),""√Å"",""á""),""√ç"",""í""),""√Ç"",""Í""),""√Â"",""é""),""√≠"",""í""),""√º"",""ú""),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49" s="28" t="str">
        <f>IFERROR(__xludf.DUMMYFUNCTION("SPLIT(
  TRIM(
    SUBSTITUTE(
      SUBSTITUTE(
        SUBSTITUTE(
          SUBSTITUTE(
            C149,
            ""√©"", ""é""
          ),
          ""√±"", ""ñ""
        ),
        ""√°"", ""á""
      ),
      ""√≥"", ""ó""
    )
  ),
  ""-""
)
"),"Auriculares")</f>
        <v>Auriculares</v>
      </c>
      <c r="O149" s="28" t="str">
        <f>IFERROR(__xludf.DUMMYFUNCTION("""COMPUTED_VALUE"""),"Bluetooth")</f>
        <v>Bluetooth</v>
      </c>
      <c r="P149" s="28" t="str">
        <f>IFERROR(__xludf.DUMMYFUNCTION("""COMPUTED_VALUE"""),"16GB")</f>
        <v>16GB</v>
      </c>
      <c r="Q149" s="29">
        <f t="shared" si="1"/>
        <v>2208.12</v>
      </c>
      <c r="R149" s="28">
        <f t="shared" si="2"/>
        <v>2</v>
      </c>
      <c r="S149" s="29">
        <f t="shared" si="3"/>
        <v>4416.24</v>
      </c>
      <c r="T149" s="28" t="str">
        <f>IFERROR(__xludf.DUMMYFUNCTION("PROPER(TRIM(
  LET(
    texto1, REGEXREPLACE(G149,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"),"Benjamín Marcela Lucero")</f>
        <v>Benjamín Marcela Lucero</v>
      </c>
      <c r="U149" s="28" t="str">
        <f t="shared" si="4"/>
        <v>cc9f2851-c332-405f-a3fb-1abae821a706</v>
      </c>
      <c r="V149" s="30" t="str">
        <f t="shared" si="5"/>
        <v>Auriculares Bluetooth 16GB</v>
      </c>
    </row>
    <row r="150" ht="15.75" customHeight="1">
      <c r="A150" s="6">
        <v>45584.0</v>
      </c>
      <c r="B150" s="2" t="s">
        <v>38</v>
      </c>
      <c r="C150" s="2" t="s">
        <v>385</v>
      </c>
      <c r="D150" s="7">
        <v>902.5</v>
      </c>
      <c r="E150" s="2">
        <v>3.0</v>
      </c>
      <c r="F150" s="7">
        <v>2707.5</v>
      </c>
      <c r="G150" s="2" t="s">
        <v>632</v>
      </c>
      <c r="H150" s="2" t="s">
        <v>633</v>
      </c>
      <c r="I150" s="2" t="s">
        <v>634</v>
      </c>
      <c r="K150" s="19" t="str">
        <f>IFERROR(__xludf.DUMMYFUNCTION("IF(ISBLANK(A150),
  """",
  IF(ISNUMBER(A150),
    TEXT(A150,""dd/mm/yyyy""),
    IF(
      REGEXMATCH(TRIM(A150),""^\d{1,2}/\d{1,2}/\d{4}$""),
      TRIM(A150),
      IFERROR(
        TEXT(DATEVALUE(SUBSTITUTE(SUBSTITUTE(TRIM(A150),""-"",""/""),""."",""/"&amp;""")),""dd/mm/yyyy""),
        TRIM(A150)
      )
    )
  )
)
"),"19/10/2024")</f>
        <v>19/10/2024</v>
      </c>
      <c r="L150" s="20">
        <v>45584.0</v>
      </c>
      <c r="M150" s="21" t="str">
        <f>IFERROR(__xludf.DUMMYFUNCTION("PROPER(TRIM(
  REGEXREPLACE(
    REGEXREPLACE(
      SUBSTITUTE(SUBSTITUTE(SUBSTITUTE(SUBSTITUTE(SUBSTITUTE(SUBSTITUTE(SUBSTITUTE(SUBSTITUTE(SUBSTITUTE(SUBSTITUTE(SUBSTITUTE(
        B150,""√©"",""é""),""√°"",""á""),""√±"",""ñ""),""√≥"",""ó""),""√â"",""é"&amp;"""),""√Å"",""á""),""√ç"",""í""),""√Ç"",""Í""),""√Â"",""é""),""√≠"",""í""),""√º"",""ú""),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50" s="22" t="str">
        <f>IFERROR(__xludf.DUMMYFUNCTION("SPLIT(
  TRIM(
    SUBSTITUTE(
      SUBSTITUTE(
        SUBSTITUTE(
          SUBSTITUTE(
            C150,
            ""√©"", ""é""
          ),
          ""√±"", ""ñ""
        ),
        ""√°"", ""á""
      ),
      ""√≥"", ""ó""
    )
  ),
  ""-""
)
"),"Tablet")</f>
        <v>Tablet</v>
      </c>
      <c r="O150" s="22" t="str">
        <f>IFERROR(__xludf.DUMMYFUNCTION("""COMPUTED_VALUE"""),"Estándar")</f>
        <v>Estándar</v>
      </c>
      <c r="P150" s="22" t="str">
        <f>IFERROR(__xludf.DUMMYFUNCTION("""COMPUTED_VALUE"""),"32GB")</f>
        <v>32GB</v>
      </c>
      <c r="Q150" s="23">
        <f t="shared" si="1"/>
        <v>902.5</v>
      </c>
      <c r="R150" s="22">
        <f t="shared" si="2"/>
        <v>3</v>
      </c>
      <c r="S150" s="23">
        <f t="shared" si="3"/>
        <v>2707.5</v>
      </c>
      <c r="T150" s="22" t="str">
        <f>IFERROR(__xludf.DUMMYFUNCTION("PROPER(TRIM(
  LET(
    texto1, REGEXREPLACE(G150,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"),"Estefanía Piña")</f>
        <v>Estefanía Piña</v>
      </c>
      <c r="U150" s="22" t="str">
        <f t="shared" si="4"/>
        <v>a735a980-0215-4741-924f-a6525c85f916</v>
      </c>
      <c r="V150" s="24" t="str">
        <f t="shared" si="5"/>
        <v>Tablet Estándar 32GB</v>
      </c>
    </row>
    <row r="151" ht="15.75" customHeight="1">
      <c r="A151" s="6" t="s">
        <v>413</v>
      </c>
      <c r="B151" s="2" t="s">
        <v>38</v>
      </c>
      <c r="C151" s="2" t="s">
        <v>191</v>
      </c>
      <c r="D151" s="7">
        <v>1585.53</v>
      </c>
      <c r="E151" s="2">
        <v>3.0</v>
      </c>
      <c r="F151" s="7">
        <v>4756.59</v>
      </c>
      <c r="G151" s="2" t="s">
        <v>635</v>
      </c>
      <c r="H151" s="2" t="s">
        <v>636</v>
      </c>
      <c r="I151" s="2" t="s">
        <v>637</v>
      </c>
      <c r="K151" s="25" t="str">
        <f>IFERROR(__xludf.DUMMYFUNCTION("IF(ISBLANK(A151),
  """",
  IF(ISNUMBER(A151),
    TEXT(A151,""dd/mm/yyyy""),
    IF(
      REGEXMATCH(TRIM(A151),""^\d{1,2}/\d{1,2}/\d{4}$""),
      TRIM(A151),
      IFERROR(
        TEXT(DATEVALUE(SUBSTITUTE(SUBSTITUTE(TRIM(A151),""-"",""/""),""."",""/"&amp;""")),""dd/mm/yyyy""),
        TRIM(A151)
      )
    )
  )
)
"),"23/11/2024")</f>
        <v>23/11/2024</v>
      </c>
      <c r="L151" s="26">
        <v>45619.0</v>
      </c>
      <c r="M151" s="27" t="str">
        <f>IFERROR(__xludf.DUMMYFUNCTION("PROPER(TRIM(
  REGEXREPLACE(
    REGEXREPLACE(
      SUBSTITUTE(SUBSTITUTE(SUBSTITUTE(SUBSTITUTE(SUBSTITUTE(SUBSTITUTE(SUBSTITUTE(SUBSTITUTE(SUBSTITUTE(SUBSTITUTE(SUBSTITUTE(
        B151,""√©"",""é""),""√°"",""á""),""√±"",""ñ""),""√≥"",""ó""),""√â"",""é"&amp;"""),""√Å"",""á""),""√ç"",""í""),""√Ç"",""Í""),""√Â"",""é""),""√≠"",""í""),""√º"",""ú""),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51" s="28" t="str">
        <f>IFERROR(__xludf.DUMMYFUNCTION("SPLIT(
  TRIM(
    SUBSTITUTE(
      SUBSTITUTE(
        SUBSTITUTE(
          SUBSTITUTE(
            C151,
            ""√©"", ""é""
          ),
          ""√±"", ""ñ""
        ),
        ""√°"", ""á""
      ),
      ""√≥"", ""ó""
    )
  ),
  ""-""
)
"),"Auriculares")</f>
        <v>Auriculares</v>
      </c>
      <c r="O151" s="28" t="str">
        <f>IFERROR(__xludf.DUMMYFUNCTION("""COMPUTED_VALUE"""),"Cancelación de ruido")</f>
        <v>Cancelación de ruido</v>
      </c>
      <c r="P151" s="28" t="str">
        <f>IFERROR(__xludf.DUMMYFUNCTION("""COMPUTED_VALUE"""),"32GB")</f>
        <v>32GB</v>
      </c>
      <c r="Q151" s="29">
        <f t="shared" si="1"/>
        <v>1585.53</v>
      </c>
      <c r="R151" s="28">
        <f t="shared" si="2"/>
        <v>3</v>
      </c>
      <c r="S151" s="29">
        <f t="shared" si="3"/>
        <v>4756.59</v>
      </c>
      <c r="T151" s="28" t="str">
        <f>IFERROR(__xludf.DUMMYFUNCTION("PROPER(TRIM(
  LET(
    texto1, REGEXREPLACE(G151,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"),"Teodoro Nieves Burgos")</f>
        <v>Teodoro Nieves Burgos</v>
      </c>
      <c r="U151" s="28" t="str">
        <f t="shared" si="4"/>
        <v>20cb126e-53ab-49aa-9f94-792732fd304c</v>
      </c>
      <c r="V151" s="30" t="str">
        <f t="shared" si="5"/>
        <v>Auriculares Cancelación de ruido 32GB</v>
      </c>
    </row>
    <row r="152" ht="15.75" customHeight="1">
      <c r="A152" s="6">
        <v>45629.0</v>
      </c>
      <c r="B152" s="2" t="s">
        <v>60</v>
      </c>
      <c r="C152" s="2" t="s">
        <v>116</v>
      </c>
      <c r="D152" s="7">
        <v>90.89</v>
      </c>
      <c r="E152" s="2">
        <v>1.0</v>
      </c>
      <c r="F152" s="7">
        <v>90.89</v>
      </c>
      <c r="G152" s="2" t="s">
        <v>638</v>
      </c>
      <c r="H152" s="2" t="s">
        <v>639</v>
      </c>
      <c r="I152" s="2" t="s">
        <v>640</v>
      </c>
      <c r="K152" s="19" t="str">
        <f>IFERROR(__xludf.DUMMYFUNCTION("IF(ISBLANK(A152),
  """",
  IF(ISNUMBER(A152),
    TEXT(A152,""dd/mm/yyyy""),
    IF(
      REGEXMATCH(TRIM(A152),""^\d{1,2}/\d{1,2}/\d{4}$""),
      TRIM(A152),
      IFERROR(
        TEXT(DATEVALUE(SUBSTITUTE(SUBSTITUTE(TRIM(A152),""-"",""/""),""."",""/"&amp;""")),""dd/mm/yyyy""),
        TRIM(A152)
      )
    )
  )
)
"),"03/12/2024")</f>
        <v>03/12/2024</v>
      </c>
      <c r="L152" s="20">
        <v>45629.0</v>
      </c>
      <c r="M152" s="21" t="str">
        <f>IFERROR(__xludf.DUMMYFUNCTION("PROPER(TRIM(
  REGEXREPLACE(
    REGEXREPLACE(
      SUBSTITUTE(SUBSTITUTE(SUBSTITUTE(SUBSTITUTE(SUBSTITUTE(SUBSTITUTE(SUBSTITUTE(SUBSTITUTE(SUBSTITUTE(SUBSTITUTE(SUBSTITUTE(
        B152,""√©"",""é""),""√°"",""á""),""√±"",""ñ""),""√≥"",""ó""),""√â"",""é"&amp;"""),""√Å"",""á""),""√ç"",""í""),""√Ç"",""Í""),""√Â"",""é""),""√≠"",""í""),""√º"",""ú""),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52" s="22" t="str">
        <f>IFERROR(__xludf.DUMMYFUNCTION("SPLIT(
  TRIM(
    SUBSTITUTE(
      SUBSTITUTE(
        SUBSTITUTE(
          SUBSTITUTE(
            C152,
            ""√©"", ""é""
          ),
          ""√±"", ""ñ""
        ),
        ""√°"", ""á""
      ),
      ""√≥"", ""ó""
    )
  ),
  ""-""
)
"),"Teléfono")</f>
        <v>Teléfono</v>
      </c>
      <c r="O152" s="22" t="str">
        <f>IFERROR(__xludf.DUMMYFUNCTION("""COMPUTED_VALUE"""),"Gama media")</f>
        <v>Gama media</v>
      </c>
      <c r="P152" s="22" t="str">
        <f>IFERROR(__xludf.DUMMYFUNCTION("""COMPUTED_VALUE"""),"4GB")</f>
        <v>4GB</v>
      </c>
      <c r="Q152" s="23">
        <f t="shared" si="1"/>
        <v>90.89</v>
      </c>
      <c r="R152" s="22">
        <f t="shared" si="2"/>
        <v>1</v>
      </c>
      <c r="S152" s="23">
        <f t="shared" si="3"/>
        <v>90.89</v>
      </c>
      <c r="T152" s="22" t="str">
        <f>IFERROR(__xludf.DUMMYFUNCTION("PROPER(TRIM(
  LET(
    texto1, REGEXREPLACE(G152,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Emilio Herrera Sanabria")</f>
        <v>José Emilio Herrera Sanabria</v>
      </c>
      <c r="U152" s="22" t="str">
        <f t="shared" si="4"/>
        <v>43bdd060-f236-479e-81bb-97be1c5dc7be</v>
      </c>
      <c r="V152" s="24" t="str">
        <f t="shared" si="5"/>
        <v>Teléfono Gama media 4GB</v>
      </c>
    </row>
    <row r="153" ht="15.75" customHeight="1">
      <c r="A153" s="6" t="s">
        <v>641</v>
      </c>
      <c r="B153" s="2" t="s">
        <v>38</v>
      </c>
      <c r="C153" s="2" t="s">
        <v>642</v>
      </c>
      <c r="D153" s="7">
        <v>88.54</v>
      </c>
      <c r="E153" s="2">
        <v>5.0</v>
      </c>
      <c r="F153" s="7">
        <v>442.7</v>
      </c>
      <c r="G153" s="2" t="s">
        <v>643</v>
      </c>
      <c r="H153" s="2" t="s">
        <v>644</v>
      </c>
      <c r="I153" s="2" t="s">
        <v>645</v>
      </c>
      <c r="K153" s="25" t="str">
        <f>IFERROR(__xludf.DUMMYFUNCTION("IF(ISBLANK(A153),
  """",
  IF(ISNUMBER(A153),
    TEXT(A153,""dd/mm/yyyy""),
    IF(
      REGEXMATCH(TRIM(A153),""^\d{1,2}/\d{1,2}/\d{4}$""),
      TRIM(A153),
      IFERROR(
        TEXT(DATEVALUE(SUBSTITUTE(SUBSTITUTE(TRIM(A153),""-"",""/""),""."",""/"&amp;""")),""dd/mm/yyyy""),
        TRIM(A153)
      )
    )
  )
)
"),"22/11/2024")</f>
        <v>22/11/2024</v>
      </c>
      <c r="L153" s="26">
        <v>45618.0</v>
      </c>
      <c r="M153" s="27" t="str">
        <f>IFERROR(__xludf.DUMMYFUNCTION("PROPER(TRIM(
  REGEXREPLACE(
    REGEXREPLACE(
      SUBSTITUTE(SUBSTITUTE(SUBSTITUTE(SUBSTITUTE(SUBSTITUTE(SUBSTITUTE(SUBSTITUTE(SUBSTITUTE(SUBSTITUTE(SUBSTITUTE(SUBSTITUTE(
        B153,""√©"",""é""),""√°"",""á""),""√±"",""ñ""),""√≥"",""ó""),""√â"",""é"&amp;"""),""√Å"",""á""),""√ç"",""í""),""√Ç"",""Í""),""√Â"",""é""),""√≠"",""í""),""√º"",""ú""),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53" s="28" t="str">
        <f>IFERROR(__xludf.DUMMYFUNCTION("SPLIT(
  TRIM(
    SUBSTITUTE(
      SUBSTITUTE(
        SUBSTITUTE(
          SUBSTITUTE(
            C153,
            ""√©"", ""é""
          ),
          ""√±"", ""ñ""
        ),
        ""√°"", ""á""
      ),
      ""√≥"", ""ó""
    )
  ),
  ""-""
)
"),"Tablet")</f>
        <v>Tablet</v>
      </c>
      <c r="O153" s="28" t="str">
        <f>IFERROR(__xludf.DUMMYFUNCTION("""COMPUTED_VALUE"""),"Mini")</f>
        <v>Mini</v>
      </c>
      <c r="P153" s="28" t="str">
        <f>IFERROR(__xludf.DUMMYFUNCTION("""COMPUTED_VALUE"""),"32GB")</f>
        <v>32GB</v>
      </c>
      <c r="Q153" s="29">
        <f t="shared" si="1"/>
        <v>88.54</v>
      </c>
      <c r="R153" s="28">
        <f t="shared" si="2"/>
        <v>5</v>
      </c>
      <c r="S153" s="29">
        <f t="shared" si="3"/>
        <v>442.7</v>
      </c>
      <c r="T153" s="28" t="str">
        <f>IFERROR(__xludf.DUMMYFUNCTION("PROPER(TRIM(
  LET(
    texto1, REGEXREPLACE(G153,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"),"Aldonza Morales Piña")</f>
        <v>Aldonza Morales Piña</v>
      </c>
      <c r="U153" s="28" t="str">
        <f t="shared" si="4"/>
        <v>135a4c21-3cb1-4e50-ba78-3db911948053</v>
      </c>
      <c r="V153" s="30" t="str">
        <f t="shared" si="5"/>
        <v>Tablet Mini 32GB</v>
      </c>
    </row>
    <row r="154" ht="15.75" customHeight="1">
      <c r="A154" s="6" t="s">
        <v>21</v>
      </c>
      <c r="B154" s="2" t="s">
        <v>38</v>
      </c>
      <c r="C154" s="2" t="s">
        <v>500</v>
      </c>
      <c r="D154" s="7">
        <v>230.59</v>
      </c>
      <c r="E154" s="2">
        <v>1.0</v>
      </c>
      <c r="F154" s="7">
        <v>230.59</v>
      </c>
      <c r="G154" s="2" t="s">
        <v>646</v>
      </c>
      <c r="H154" s="2" t="s">
        <v>647</v>
      </c>
      <c r="I154" s="2" t="s">
        <v>648</v>
      </c>
      <c r="K154" s="19" t="str">
        <f>IFERROR(__xludf.DUMMYFUNCTION("IF(ISBLANK(A154),
  """",
  IF(ISNUMBER(A154),
    TEXT(A154,""dd/mm/yyyy""),
    IF(
      REGEXMATCH(TRIM(A154),""^\d{1,2}/\d{1,2}/\d{4}$""),
      TRIM(A154),
      IFERROR(
        TEXT(DATEVALUE(SUBSTITUTE(SUBSTITUTE(TRIM(A154),""-"",""/""),""."",""/"&amp;""")),""dd/mm/yyyy""),
        TRIM(A154)
      )
    )
  )
)
"),"27/10/2024")</f>
        <v>27/10/2024</v>
      </c>
      <c r="L154" s="20">
        <v>45592.0</v>
      </c>
      <c r="M154" s="21" t="str">
        <f>IFERROR(__xludf.DUMMYFUNCTION("PROPER(TRIM(
  REGEXREPLACE(
    REGEXREPLACE(
      SUBSTITUTE(SUBSTITUTE(SUBSTITUTE(SUBSTITUTE(SUBSTITUTE(SUBSTITUTE(SUBSTITUTE(SUBSTITUTE(SUBSTITUTE(SUBSTITUTE(SUBSTITUTE(
        B154,""√©"",""é""),""√°"",""á""),""√±"",""ñ""),""√≥"",""ó""),""√â"",""é"&amp;"""),""√Å"",""á""),""√ç"",""í""),""√Ç"",""Í""),""√Â"",""é""),""√≠"",""í""),""√º"",""ú""),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54" s="22" t="str">
        <f>IFERROR(__xludf.DUMMYFUNCTION("SPLIT(
  TRIM(
    SUBSTITUTE(
      SUBSTITUTE(
        SUBSTITUTE(
          SUBSTITUTE(
            C154,
            ""√©"", ""é""
          ),
          ""√±"", ""ñ""
        ),
        ""√°"", ""á""
      ),
      ""√≥"", ""ó""
    )
  ),
  ""-""
)
"),"Teléfono")</f>
        <v>Teléfono</v>
      </c>
      <c r="O154" s="22" t="str">
        <f>IFERROR(__xludf.DUMMYFUNCTION("""COMPUTED_VALUE"""),"Gama alta")</f>
        <v>Gama alta</v>
      </c>
      <c r="P154" s="22" t="str">
        <f>IFERROR(__xludf.DUMMYFUNCTION("""COMPUTED_VALUE"""),"32GB")</f>
        <v>32GB</v>
      </c>
      <c r="Q154" s="23">
        <f t="shared" si="1"/>
        <v>230.59</v>
      </c>
      <c r="R154" s="22">
        <f t="shared" si="2"/>
        <v>1</v>
      </c>
      <c r="S154" s="23">
        <f t="shared" si="3"/>
        <v>230.59</v>
      </c>
      <c r="T154" s="22" t="str">
        <f>IFERROR(__xludf.DUMMYFUNCTION("PROPER(TRIM(
  LET(
    texto1, REGEXREPLACE(G154,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"),"Nancy Mauro Ibarra Lucio")</f>
        <v>Nancy Mauro Ibarra Lucio</v>
      </c>
      <c r="U154" s="22" t="str">
        <f t="shared" si="4"/>
        <v>749cbc33-d403-4c84-a42b-66866a2e6f47</v>
      </c>
      <c r="V154" s="24" t="str">
        <f t="shared" si="5"/>
        <v>Teléfono Gama alta 32GB</v>
      </c>
    </row>
    <row r="155" ht="15.75" customHeight="1">
      <c r="A155" s="6">
        <v>45606.0</v>
      </c>
      <c r="B155" s="2" t="s">
        <v>85</v>
      </c>
      <c r="C155" s="2" t="s">
        <v>452</v>
      </c>
      <c r="D155" s="7">
        <v>2356.5</v>
      </c>
      <c r="E155" s="2">
        <v>5.0</v>
      </c>
      <c r="F155" s="7">
        <v>11782.5</v>
      </c>
      <c r="G155" s="2" t="s">
        <v>650</v>
      </c>
      <c r="H155" s="2" t="s">
        <v>651</v>
      </c>
      <c r="I155" s="2" t="s">
        <v>652</v>
      </c>
      <c r="K155" s="25" t="str">
        <f>IFERROR(__xludf.DUMMYFUNCTION("IF(ISBLANK(A155),
  """",
  IF(ISNUMBER(A155),
    TEXT(A155,""dd/mm/yyyy""),
    IF(
      REGEXMATCH(TRIM(A155),""^\d{1,2}/\d{1,2}/\d{4}$""),
      TRIM(A155),
      IFERROR(
        TEXT(DATEVALUE(SUBSTITUTE(SUBSTITUTE(TRIM(A155),""-"",""/""),""."",""/"&amp;""")),""dd/mm/yyyy""),
        TRIM(A155)
      )
    )
  )
)
"),"10/11/2024")</f>
        <v>10/11/2024</v>
      </c>
      <c r="L155" s="26">
        <v>45606.0</v>
      </c>
      <c r="M155" s="27" t="str">
        <f>IFERROR(__xludf.DUMMYFUNCTION("PROPER(TRIM(
  REGEXREPLACE(
    REGEXREPLACE(
      SUBSTITUTE(SUBSTITUTE(SUBSTITUTE(SUBSTITUTE(SUBSTITUTE(SUBSTITUTE(SUBSTITUTE(SUBSTITUTE(SUBSTITUTE(SUBSTITUTE(SUBSTITUTE(
        B155,""√©"",""é""),""√°"",""á""),""√±"",""ñ""),""√≥"",""ó""),""√â"",""é"&amp;"""),""√Å"",""á""),""√ç"",""í""),""√Ç"",""Í""),""√Â"",""é""),""√≠"",""í""),""√º"",""ú""),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55" s="28" t="str">
        <f>IFERROR(__xludf.DUMMYFUNCTION("SPLIT(
  TRIM(
    SUBSTITUTE(
      SUBSTITUTE(
        SUBSTITUTE(
          SUBSTITUTE(
            C155,
            ""√©"", ""é""
          ),
          ""√±"", ""ñ""
        ),
        ""√°"", ""á""
      ),
      ""√≥"", ""ó""
    )
  ),
  ""-""
)
"),"Teléfono")</f>
        <v>Teléfono</v>
      </c>
      <c r="O155" s="28" t="str">
        <f>IFERROR(__xludf.DUMMYFUNCTION("""COMPUTED_VALUE"""),"Gama media")</f>
        <v>Gama media</v>
      </c>
      <c r="P155" s="28" t="str">
        <f>IFERROR(__xludf.DUMMYFUNCTION("""COMPUTED_VALUE"""),"16GB")</f>
        <v>16GB</v>
      </c>
      <c r="Q155" s="29">
        <f t="shared" si="1"/>
        <v>2356.5</v>
      </c>
      <c r="R155" s="28">
        <f t="shared" si="2"/>
        <v>5</v>
      </c>
      <c r="S155" s="29">
        <f t="shared" si="3"/>
        <v>11782.5</v>
      </c>
      <c r="T155" s="28" t="str">
        <f>IFERROR(__xludf.DUMMYFUNCTION("PROPER(TRIM(
  LET(
    texto1, REGEXREPLACE(G155,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 Véliz")</f>
        <v>Abel Véliz</v>
      </c>
      <c r="U155" s="28" t="str">
        <f t="shared" si="4"/>
        <v>499ebdfa-358c-41aa-8d92-cc8b5259dfd0</v>
      </c>
      <c r="V155" s="30" t="str">
        <f t="shared" si="5"/>
        <v>Teléfono Gama media 16GB</v>
      </c>
    </row>
    <row r="156" ht="15.75" customHeight="1">
      <c r="A156" s="6">
        <v>45644.0</v>
      </c>
      <c r="B156" s="2" t="s">
        <v>101</v>
      </c>
      <c r="C156" s="2" t="s">
        <v>55</v>
      </c>
      <c r="D156" s="7">
        <v>2030.62</v>
      </c>
      <c r="E156" s="2">
        <v>2.0</v>
      </c>
      <c r="F156" s="7">
        <v>4061.24</v>
      </c>
      <c r="G156" s="2" t="s">
        <v>654</v>
      </c>
      <c r="H156" s="2" t="s">
        <v>655</v>
      </c>
      <c r="I156" s="2" t="s">
        <v>656</v>
      </c>
      <c r="K156" s="19" t="str">
        <f>IFERROR(__xludf.DUMMYFUNCTION("IF(ISBLANK(A156),
  """",
  IF(ISNUMBER(A156),
    TEXT(A156,""dd/mm/yyyy""),
    IF(
      REGEXMATCH(TRIM(A156),""^\d{1,2}/\d{1,2}/\d{4}$""),
      TRIM(A156),
      IFERROR(
        TEXT(DATEVALUE(SUBSTITUTE(SUBSTITUTE(TRIM(A156),""-"",""/""),""."",""/"&amp;""")),""dd/mm/yyyy""),
        TRIM(A156)
      )
    )
  )
)
"),"18/12/2024")</f>
        <v>18/12/2024</v>
      </c>
      <c r="L156" s="20">
        <v>45644.0</v>
      </c>
      <c r="M156" s="21" t="str">
        <f>IFERROR(__xludf.DUMMYFUNCTION("PROPER(TRIM(
  REGEXREPLACE(
    REGEXREPLACE(
      SUBSTITUTE(SUBSTITUTE(SUBSTITUTE(SUBSTITUTE(SUBSTITUTE(SUBSTITUTE(SUBSTITUTE(SUBSTITUTE(SUBSTITUTE(SUBSTITUTE(SUBSTITUTE(
        B156,""√©"",""é""),""√°"",""á""),""√±"",""ñ""),""√≥"",""ó""),""√â"",""é"&amp;"""),""√Å"",""á""),""√ç"",""í""),""√Ç"",""Í""),""√Â"",""é""),""√≠"",""í""),""√º"",""ú""),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56" s="22" t="str">
        <f>IFERROR(__xludf.DUMMYFUNCTION("SPLIT(
  TRIM(
    SUBSTITUTE(
      SUBSTITUTE(
        SUBSTITUTE(
          SUBSTITUTE(
            C156,
            ""√©"", ""é""
          ),
          ""√±"", ""ñ""
        ),
        ""√°"", ""á""
      ),
      ""√≥"", ""ó""
    )
  ),
  ""-""
)
"),"Laptop")</f>
        <v>Laptop</v>
      </c>
      <c r="O156" s="22" t="str">
        <f>IFERROR(__xludf.DUMMYFUNCTION("""COMPUTED_VALUE"""),"Ultraliviana")</f>
        <v>Ultraliviana</v>
      </c>
      <c r="P156" s="22" t="str">
        <f>IFERROR(__xludf.DUMMYFUNCTION("""COMPUTED_VALUE"""),"16GB")</f>
        <v>16GB</v>
      </c>
      <c r="Q156" s="23">
        <f t="shared" si="1"/>
        <v>2030.62</v>
      </c>
      <c r="R156" s="22">
        <f t="shared" si="2"/>
        <v>2</v>
      </c>
      <c r="S156" s="23">
        <f t="shared" si="3"/>
        <v>4061.24</v>
      </c>
      <c r="T156" s="22" t="str">
        <f>IFERROR(__xludf.DUMMYFUNCTION("PROPER(TRIM(
  LET(
    texto1, REGEXREPLACE(G156,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"),"Paola Zarate")</f>
        <v>Paola Zarate</v>
      </c>
      <c r="U156" s="22" t="str">
        <f t="shared" si="4"/>
        <v>22971ca8-f21c-436b-84f8-11a2a2c20ff6</v>
      </c>
      <c r="V156" s="24" t="str">
        <f t="shared" si="5"/>
        <v>Laptop Ultraliviana 16GB</v>
      </c>
    </row>
    <row r="157" ht="15.75" customHeight="1">
      <c r="A157" s="6">
        <v>45392.0</v>
      </c>
      <c r="B157" s="2" t="s">
        <v>16</v>
      </c>
      <c r="C157" s="2" t="s">
        <v>22</v>
      </c>
      <c r="D157" s="7">
        <v>539.2</v>
      </c>
      <c r="E157" s="2">
        <v>1.0</v>
      </c>
      <c r="F157" s="7">
        <v>539.2</v>
      </c>
      <c r="G157" s="2" t="s">
        <v>658</v>
      </c>
      <c r="H157" s="2" t="s">
        <v>659</v>
      </c>
      <c r="I157" s="2" t="s">
        <v>660</v>
      </c>
      <c r="K157" s="25" t="str">
        <f>IFERROR(__xludf.DUMMYFUNCTION("IF(ISBLANK(A157),
  """",
  IF(ISNUMBER(A157),
    TEXT(A157,""dd/mm/yyyy""),
    IF(
      REGEXMATCH(TRIM(A157),""^\d{1,2}/\d{1,2}/\d{4}$""),
      TRIM(A157),
      IFERROR(
        TEXT(DATEVALUE(SUBSTITUTE(SUBSTITUTE(TRIM(A157),""-"",""/""),""."",""/"&amp;""")),""dd/mm/yyyy""),
        TRIM(A157)
      )
    )
  )
)
"),"10/04/2024")</f>
        <v>10/04/2024</v>
      </c>
      <c r="L157" s="26">
        <v>45392.0</v>
      </c>
      <c r="M157" s="27" t="str">
        <f>IFERROR(__xludf.DUMMYFUNCTION("PROPER(TRIM(
  REGEXREPLACE(
    REGEXREPLACE(
      SUBSTITUTE(SUBSTITUTE(SUBSTITUTE(SUBSTITUTE(SUBSTITUTE(SUBSTITUTE(SUBSTITUTE(SUBSTITUTE(SUBSTITUTE(SUBSTITUTE(SUBSTITUTE(
        B157,""√©"",""é""),""√°"",""á""),""√±"",""ñ""),""√≥"",""ó""),""√â"",""é"&amp;"""),""√Å"",""á""),""√ç"",""í""),""√Ç"",""Í""),""√Â"",""é""),""√≠"",""í""),""√º"",""ú""),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57" s="28" t="str">
        <f>IFERROR(__xludf.DUMMYFUNCTION("SPLIT(
  TRIM(
    SUBSTITUTE(
      SUBSTITUTE(
        SUBSTITUTE(
          SUBSTITUTE(
            C157,
            ""√©"", ""é""
          ),
          ""√±"", ""ñ""
        ),
        ""√°"", ""á""
      ),
      ""√≥"", ""ó""
    )
  ),
  ""-""
)
"),"Laptop")</f>
        <v>Laptop</v>
      </c>
      <c r="O157" s="28" t="str">
        <f>IFERROR(__xludf.DUMMYFUNCTION("""COMPUTED_VALUE"""),"Gaming")</f>
        <v>Gaming</v>
      </c>
      <c r="P157" s="28" t="str">
        <f>IFERROR(__xludf.DUMMYFUNCTION("""COMPUTED_VALUE"""),"32GB")</f>
        <v>32GB</v>
      </c>
      <c r="Q157" s="29">
        <f t="shared" si="1"/>
        <v>539.2</v>
      </c>
      <c r="R157" s="28">
        <f t="shared" si="2"/>
        <v>1</v>
      </c>
      <c r="S157" s="29">
        <f t="shared" si="3"/>
        <v>539.2</v>
      </c>
      <c r="T157" s="28" t="str">
        <f>IFERROR(__xludf.DUMMYFUNCTION("PROPER(TRIM(
  LET(
    texto1, REGEXREPLACE(G157,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"),"Socorro Aida Moya Amaya")</f>
        <v>Socorro Aida Moya Amaya</v>
      </c>
      <c r="U157" s="28" t="str">
        <f t="shared" si="4"/>
        <v>c7c879c2-7a83-4527-a295-5f822ea9b655</v>
      </c>
      <c r="V157" s="30" t="str">
        <f t="shared" si="5"/>
        <v>Laptop Gaming 32GB</v>
      </c>
    </row>
    <row r="158" ht="15.75" customHeight="1">
      <c r="A158" s="6">
        <v>45602.0</v>
      </c>
      <c r="B158" s="2" t="s">
        <v>16</v>
      </c>
      <c r="C158" s="2" t="s">
        <v>311</v>
      </c>
      <c r="D158" s="7">
        <v>1945.67</v>
      </c>
      <c r="E158" s="2">
        <v>4.0</v>
      </c>
      <c r="F158" s="7">
        <v>7782.68</v>
      </c>
      <c r="G158" s="2" t="s">
        <v>662</v>
      </c>
      <c r="H158" s="2" t="s">
        <v>663</v>
      </c>
      <c r="I158" s="2" t="s">
        <v>664</v>
      </c>
      <c r="K158" s="19" t="str">
        <f>IFERROR(__xludf.DUMMYFUNCTION("IF(ISBLANK(A158),
  """",
  IF(ISNUMBER(A158),
    TEXT(A158,""dd/mm/yyyy""),
    IF(
      REGEXMATCH(TRIM(A158),""^\d{1,2}/\d{1,2}/\d{4}$""),
      TRIM(A158),
      IFERROR(
        TEXT(DATEVALUE(SUBSTITUTE(SUBSTITUTE(TRIM(A158),""-"",""/""),""."",""/"&amp;""")),""dd/mm/yyyy""),
        TRIM(A158)
      )
    )
  )
)
"),"06/11/2024")</f>
        <v>06/11/2024</v>
      </c>
      <c r="L158" s="20">
        <v>45602.0</v>
      </c>
      <c r="M158" s="21" t="str">
        <f>IFERROR(__xludf.DUMMYFUNCTION("PROPER(TRIM(
  REGEXREPLACE(
    REGEXREPLACE(
      SUBSTITUTE(SUBSTITUTE(SUBSTITUTE(SUBSTITUTE(SUBSTITUTE(SUBSTITUTE(SUBSTITUTE(SUBSTITUTE(SUBSTITUTE(SUBSTITUTE(SUBSTITUTE(
        B158,""√©"",""é""),""√°"",""á""),""√±"",""ñ""),""√≥"",""ó""),""√â"",""é"&amp;"""),""√Å"",""á""),""√ç"",""í""),""√Ç"",""Í""),""√Â"",""é""),""√≠"",""í""),""√º"",""ú""),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58" s="22" t="str">
        <f>IFERROR(__xludf.DUMMYFUNCTION("SPLIT(
  TRIM(
    SUBSTITUTE(
      SUBSTITUTE(
        SUBSTITUTE(
          SUBSTITUTE(
            C158,
            ""√©"", ""é""
          ),
          ""√±"", ""ñ""
        ),
        ""√°"", ""á""
      ),
      ""√≥"", ""ó""
    )
  ),
  ""-""
)
"),"Laptop")</f>
        <v>Laptop</v>
      </c>
      <c r="O158" s="22" t="str">
        <f>IFERROR(__xludf.DUMMYFUNCTION("""COMPUTED_VALUE"""),"Oficina")</f>
        <v>Oficina</v>
      </c>
      <c r="P158" s="22" t="str">
        <f>IFERROR(__xludf.DUMMYFUNCTION("""COMPUTED_VALUE"""),"4GB")</f>
        <v>4GB</v>
      </c>
      <c r="Q158" s="23">
        <f t="shared" si="1"/>
        <v>1945.67</v>
      </c>
      <c r="R158" s="22">
        <f t="shared" si="2"/>
        <v>4</v>
      </c>
      <c r="S158" s="23">
        <f t="shared" si="3"/>
        <v>7782.68</v>
      </c>
      <c r="T158" s="22" t="str">
        <f>IFERROR(__xludf.DUMMYFUNCTION("PROPER(TRIM(
  LET(
    texto1, REGEXREPLACE(G158,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"),"Gerardo Mónica Cornejo Collado")</f>
        <v>Gerardo Mónica Cornejo Collado</v>
      </c>
      <c r="U158" s="22" t="str">
        <f t="shared" si="4"/>
        <v>f4841777-97d3-4cce-bc0f-17c21f34e253</v>
      </c>
      <c r="V158" s="24" t="str">
        <f t="shared" si="5"/>
        <v>Laptop Oficina 4GB</v>
      </c>
    </row>
    <row r="159" ht="15.75" customHeight="1">
      <c r="A159" s="6">
        <v>45604.0</v>
      </c>
      <c r="B159" s="2" t="s">
        <v>27</v>
      </c>
      <c r="C159" s="2" t="s">
        <v>172</v>
      </c>
      <c r="D159" s="7">
        <v>1656.59</v>
      </c>
      <c r="E159" s="2">
        <v>1.0</v>
      </c>
      <c r="F159" s="7">
        <v>1656.59</v>
      </c>
      <c r="G159" s="2" t="s">
        <v>666</v>
      </c>
      <c r="H159" s="2" t="s">
        <v>667</v>
      </c>
      <c r="I159" s="2" t="s">
        <v>668</v>
      </c>
      <c r="K159" s="25" t="str">
        <f>IFERROR(__xludf.DUMMYFUNCTION("IF(ISBLANK(A159),
  """",
  IF(ISNUMBER(A159),
    TEXT(A159,""dd/mm/yyyy""),
    IF(
      REGEXMATCH(TRIM(A159),""^\d{1,2}/\d{1,2}/\d{4}$""),
      TRIM(A159),
      IFERROR(
        TEXT(DATEVALUE(SUBSTITUTE(SUBSTITUTE(TRIM(A159),""-"",""/""),""."",""/"&amp;""")),""dd/mm/yyyy""),
        TRIM(A159)
      )
    )
  )
)
"),"08/11/2024")</f>
        <v>08/11/2024</v>
      </c>
      <c r="L159" s="26">
        <v>45604.0</v>
      </c>
      <c r="M159" s="27" t="str">
        <f>IFERROR(__xludf.DUMMYFUNCTION("PROPER(TRIM(
  REGEXREPLACE(
    REGEXREPLACE(
      SUBSTITUTE(SUBSTITUTE(SUBSTITUTE(SUBSTITUTE(SUBSTITUTE(SUBSTITUTE(SUBSTITUTE(SUBSTITUTE(SUBSTITUTE(SUBSTITUTE(SUBSTITUTE(
        B159,""√©"",""é""),""√°"",""á""),""√±"",""ñ""),""√≥"",""ó""),""√â"",""é"&amp;"""),""√Å"",""á""),""√ç"",""í""),""√Ç"",""Í""),""√Â"",""é""),""√≠"",""í""),""√º"",""ú""),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59" s="28" t="str">
        <f>IFERROR(__xludf.DUMMYFUNCTION("SPLIT(
  TRIM(
    SUBSTITUTE(
      SUBSTITUTE(
        SUBSTITUTE(
          SUBSTITUTE(
            C159,
            ""√©"", ""é""
          ),
          ""√±"", ""ñ""
        ),
        ""√°"", ""á""
      ),
      ""√≥"", ""ó""
    )
  ),
  ""-""
)
"),"Laptop")</f>
        <v>Laptop</v>
      </c>
      <c r="O159" s="28" t="str">
        <f>IFERROR(__xludf.DUMMYFUNCTION("""COMPUTED_VALUE"""),"Oficina")</f>
        <v>Oficina</v>
      </c>
      <c r="P159" s="28" t="str">
        <f>IFERROR(__xludf.DUMMYFUNCTION("""COMPUTED_VALUE"""),"8GB")</f>
        <v>8GB</v>
      </c>
      <c r="Q159" s="29">
        <f t="shared" si="1"/>
        <v>1656.59</v>
      </c>
      <c r="R159" s="28">
        <f t="shared" si="2"/>
        <v>1</v>
      </c>
      <c r="S159" s="29">
        <f t="shared" si="3"/>
        <v>1656.59</v>
      </c>
      <c r="T159" s="28" t="str">
        <f>IFERROR(__xludf.DUMMYFUNCTION("PROPER(TRIM(
  LET(
    texto1, REGEXREPLACE(G159,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"),"Liliana Puente")</f>
        <v>Liliana Puente</v>
      </c>
      <c r="U159" s="28" t="str">
        <f t="shared" si="4"/>
        <v>49d7397b-eb15-4d2d-b30b-8f6ca86b2125</v>
      </c>
      <c r="V159" s="30" t="str">
        <f t="shared" si="5"/>
        <v>Laptop Oficina 8GB</v>
      </c>
    </row>
    <row r="160" ht="15.75" customHeight="1">
      <c r="A160" s="6">
        <v>45606.0</v>
      </c>
      <c r="B160" s="2" t="s">
        <v>101</v>
      </c>
      <c r="C160" s="2" t="s">
        <v>28</v>
      </c>
      <c r="D160" s="7">
        <v>56.71</v>
      </c>
      <c r="E160" s="2">
        <v>1.0</v>
      </c>
      <c r="F160" s="7">
        <v>56.71</v>
      </c>
      <c r="G160" s="2" t="s">
        <v>669</v>
      </c>
      <c r="H160" s="2" t="s">
        <v>670</v>
      </c>
      <c r="I160" s="2" t="s">
        <v>671</v>
      </c>
      <c r="K160" s="19" t="str">
        <f>IFERROR(__xludf.DUMMYFUNCTION("IF(ISBLANK(A160),
  """",
  IF(ISNUMBER(A160),
    TEXT(A160,""dd/mm/yyyy""),
    IF(
      REGEXMATCH(TRIM(A160),""^\d{1,2}/\d{1,2}/\d{4}$""),
      TRIM(A160),
      IFERROR(
        TEXT(DATEVALUE(SUBSTITUTE(SUBSTITUTE(TRIM(A160),""-"",""/""),""."",""/"&amp;""")),""dd/mm/yyyy""),
        TRIM(A160)
      )
    )
  )
)
"),"10/11/2024")</f>
        <v>10/11/2024</v>
      </c>
      <c r="L160" s="20">
        <v>45606.0</v>
      </c>
      <c r="M160" s="21" t="str">
        <f>IFERROR(__xludf.DUMMYFUNCTION("PROPER(TRIM(
  REGEXREPLACE(
    REGEXREPLACE(
      SUBSTITUTE(SUBSTITUTE(SUBSTITUTE(SUBSTITUTE(SUBSTITUTE(SUBSTITUTE(SUBSTITUTE(SUBSTITUTE(SUBSTITUTE(SUBSTITUTE(SUBSTITUTE(
        B160,""√©"",""é""),""√°"",""á""),""√±"",""ñ""),""√≥"",""ó""),""√â"",""é"&amp;"""),""√Å"",""á""),""√ç"",""í""),""√Ç"",""Í""),""√Â"",""é""),""√≠"",""í""),""√º"",""ú""),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60" s="22" t="str">
        <f>IFERROR(__xludf.DUMMYFUNCTION("SPLIT(
  TRIM(
    SUBSTITUTE(
      SUBSTITUTE(
        SUBSTITUTE(
          SUBSTITUTE(
            C160,
            ""√©"", ""é""
          ),
          ""√±"", ""ñ""
        ),
        ""√°"", ""á""
      ),
      ""√≥"", ""ó""
    )
  ),
  ""-""
)
"),"Tablet")</f>
        <v>Tablet</v>
      </c>
      <c r="O160" s="22" t="str">
        <f>IFERROR(__xludf.DUMMYFUNCTION("""COMPUTED_VALUE"""),"Pro")</f>
        <v>Pro</v>
      </c>
      <c r="P160" s="22" t="str">
        <f>IFERROR(__xludf.DUMMYFUNCTION("""COMPUTED_VALUE"""),"8GB")</f>
        <v>8GB</v>
      </c>
      <c r="Q160" s="23">
        <f t="shared" si="1"/>
        <v>56.71</v>
      </c>
      <c r="R160" s="22">
        <f t="shared" si="2"/>
        <v>1</v>
      </c>
      <c r="S160" s="23">
        <f t="shared" si="3"/>
        <v>56.71</v>
      </c>
      <c r="T160" s="22" t="str">
        <f>IFERROR(__xludf.DUMMYFUNCTION("PROPER(TRIM(
  LET(
    texto1, REGEXREPLACE(G160,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Arellano Lozano")</f>
        <v>Gilberto Arellano Lozano</v>
      </c>
      <c r="U160" s="22" t="str">
        <f t="shared" si="4"/>
        <v>5659c3e8-e722-4ce4-a66f-283a33db3b2a</v>
      </c>
      <c r="V160" s="24" t="str">
        <f t="shared" si="5"/>
        <v>Tablet Pro 8GB</v>
      </c>
    </row>
    <row r="161" ht="15.75" customHeight="1">
      <c r="A161" s="6">
        <v>45646.0</v>
      </c>
      <c r="B161" s="2" t="s">
        <v>101</v>
      </c>
      <c r="C161" s="2" t="s">
        <v>55</v>
      </c>
      <c r="D161" s="7">
        <v>841.77</v>
      </c>
      <c r="E161" s="2">
        <v>1.0</v>
      </c>
      <c r="F161" s="7">
        <v>841.77</v>
      </c>
      <c r="G161" s="2" t="s">
        <v>673</v>
      </c>
      <c r="H161" s="2" t="s">
        <v>674</v>
      </c>
      <c r="I161" s="2" t="s">
        <v>675</v>
      </c>
      <c r="K161" s="25" t="str">
        <f>IFERROR(__xludf.DUMMYFUNCTION("IF(ISBLANK(A161),
  """",
  IF(ISNUMBER(A161),
    TEXT(A161,""dd/mm/yyyy""),
    IF(
      REGEXMATCH(TRIM(A161),""^\d{1,2}/\d{1,2}/\d{4}$""),
      TRIM(A161),
      IFERROR(
        TEXT(DATEVALUE(SUBSTITUTE(SUBSTITUTE(TRIM(A161),""-"",""/""),""."",""/"&amp;""")),""dd/mm/yyyy""),
        TRIM(A161)
      )
    )
  )
)
"),"20/12/2024")</f>
        <v>20/12/2024</v>
      </c>
      <c r="L161" s="26">
        <v>45646.0</v>
      </c>
      <c r="M161" s="27" t="str">
        <f>IFERROR(__xludf.DUMMYFUNCTION("PROPER(TRIM(
  REGEXREPLACE(
    REGEXREPLACE(
      SUBSTITUTE(SUBSTITUTE(SUBSTITUTE(SUBSTITUTE(SUBSTITUTE(SUBSTITUTE(SUBSTITUTE(SUBSTITUTE(SUBSTITUTE(SUBSTITUTE(SUBSTITUTE(
        B161,""√©"",""é""),""√°"",""á""),""√±"",""ñ""),""√≥"",""ó""),""√â"",""é"&amp;"""),""√Å"",""á""),""√ç"",""í""),""√Ç"",""Í""),""√Â"",""é""),""√≠"",""í""),""√º"",""ú""),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61" s="28" t="str">
        <f>IFERROR(__xludf.DUMMYFUNCTION("SPLIT(
  TRIM(
    SUBSTITUTE(
      SUBSTITUTE(
        SUBSTITUTE(
          SUBSTITUTE(
            C161,
            ""√©"", ""é""
          ),
          ""√±"", ""ñ""
        ),
        ""√°"", ""á""
      ),
      ""√≥"", ""ó""
    )
  ),
  ""-""
)
"),"Laptop")</f>
        <v>Laptop</v>
      </c>
      <c r="O161" s="28" t="str">
        <f>IFERROR(__xludf.DUMMYFUNCTION("""COMPUTED_VALUE"""),"Ultraliviana")</f>
        <v>Ultraliviana</v>
      </c>
      <c r="P161" s="28" t="str">
        <f>IFERROR(__xludf.DUMMYFUNCTION("""COMPUTED_VALUE"""),"16GB")</f>
        <v>16GB</v>
      </c>
      <c r="Q161" s="29">
        <f t="shared" si="1"/>
        <v>841.77</v>
      </c>
      <c r="R161" s="28">
        <f t="shared" si="2"/>
        <v>1</v>
      </c>
      <c r="S161" s="29">
        <f t="shared" si="3"/>
        <v>841.77</v>
      </c>
      <c r="T161" s="28" t="str">
        <f>IFERROR(__xludf.DUMMYFUNCTION("PROPER(TRIM(
  LET(
    texto1, REGEXREPLACE(G161,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Valentín Castillo")</f>
        <v>Cristina Valentín Castillo</v>
      </c>
      <c r="U161" s="28" t="str">
        <f t="shared" si="4"/>
        <v>784aa491-3eb3-4b5e-858a-3b24918b10a1</v>
      </c>
      <c r="V161" s="30" t="str">
        <f t="shared" si="5"/>
        <v>Laptop Ultraliviana 16GB</v>
      </c>
    </row>
    <row r="162" ht="15.75" customHeight="1">
      <c r="A162" s="6">
        <v>45606.0</v>
      </c>
      <c r="B162" s="2" t="s">
        <v>16</v>
      </c>
      <c r="C162" s="2" t="s">
        <v>360</v>
      </c>
      <c r="D162" s="7">
        <v>853.52</v>
      </c>
      <c r="E162" s="2">
        <v>5.0</v>
      </c>
      <c r="F162" s="7">
        <v>4267.6</v>
      </c>
      <c r="G162" s="2" t="s">
        <v>676</v>
      </c>
      <c r="H162" s="2" t="s">
        <v>677</v>
      </c>
      <c r="I162" s="2" t="s">
        <v>678</v>
      </c>
      <c r="K162" s="19" t="str">
        <f>IFERROR(__xludf.DUMMYFUNCTION("IF(ISBLANK(A162),
  """",
  IF(ISNUMBER(A162),
    TEXT(A162,""dd/mm/yyyy""),
    IF(
      REGEXMATCH(TRIM(A162),""^\d{1,2}/\d{1,2}/\d{4}$""),
      TRIM(A162),
      IFERROR(
        TEXT(DATEVALUE(SUBSTITUTE(SUBSTITUTE(TRIM(A162),""-"",""/""),""."",""/"&amp;""")),""dd/mm/yyyy""),
        TRIM(A162)
      )
    )
  )
)
"),"10/11/2024")</f>
        <v>10/11/2024</v>
      </c>
      <c r="L162" s="20">
        <v>45606.0</v>
      </c>
      <c r="M162" s="21" t="str">
        <f>IFERROR(__xludf.DUMMYFUNCTION("PROPER(TRIM(
  REGEXREPLACE(
    REGEXREPLACE(
      SUBSTITUTE(SUBSTITUTE(SUBSTITUTE(SUBSTITUTE(SUBSTITUTE(SUBSTITUTE(SUBSTITUTE(SUBSTITUTE(SUBSTITUTE(SUBSTITUTE(SUBSTITUTE(
        B162,""√©"",""é""),""√°"",""á""),""√±"",""ñ""),""√≥"",""ó""),""√â"",""é"&amp;"""),""√Å"",""á""),""√ç"",""í""),""√Ç"",""Í""),""√Â"",""é""),""√≠"",""í""),""√º"",""ú""),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62" s="22" t="str">
        <f>IFERROR(__xludf.DUMMYFUNCTION("SPLIT(
  TRIM(
    SUBSTITUTE(
      SUBSTITUTE(
        SUBSTITUTE(
          SUBSTITUTE(
            C162,
            ""√©"", ""é""
          ),
          ""√±"", ""ñ""
        ),
        ""√°"", ""á""
      ),
      ""√≥"", ""ó""
    )
  ),
  ""-""
)
"),"Tablet")</f>
        <v>Tablet</v>
      </c>
      <c r="O162" s="22" t="str">
        <f>IFERROR(__xludf.DUMMYFUNCTION("""COMPUTED_VALUE"""),"Estándar")</f>
        <v>Estándar</v>
      </c>
      <c r="P162" s="22" t="str">
        <f>IFERROR(__xludf.DUMMYFUNCTION("""COMPUTED_VALUE"""),"8GB")</f>
        <v>8GB</v>
      </c>
      <c r="Q162" s="23">
        <f t="shared" si="1"/>
        <v>853.52</v>
      </c>
      <c r="R162" s="22">
        <f t="shared" si="2"/>
        <v>5</v>
      </c>
      <c r="S162" s="23">
        <f t="shared" si="3"/>
        <v>4267.6</v>
      </c>
      <c r="T162" s="22" t="str">
        <f>IFERROR(__xludf.DUMMYFUNCTION("PROPER(TRIM(
  LET(
    texto1, REGEXREPLACE(G162,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Miguel Madrid")</f>
        <v>Cristina Miguel Madrid</v>
      </c>
      <c r="U162" s="22" t="str">
        <f t="shared" si="4"/>
        <v>d710fc03-2b70-47e7-9fe6-590b75fdde09</v>
      </c>
      <c r="V162" s="24" t="str">
        <f t="shared" si="5"/>
        <v>Tablet Estándar 8GB</v>
      </c>
    </row>
    <row r="163" ht="15.75" customHeight="1">
      <c r="A163" s="6" t="s">
        <v>679</v>
      </c>
      <c r="B163" s="2" t="s">
        <v>85</v>
      </c>
      <c r="C163" s="2" t="s">
        <v>11</v>
      </c>
      <c r="D163" s="7">
        <v>851.86</v>
      </c>
      <c r="E163" s="2">
        <v>1.0</v>
      </c>
      <c r="F163" s="7">
        <v>851.86</v>
      </c>
      <c r="G163" s="2" t="s">
        <v>680</v>
      </c>
      <c r="H163" s="2" t="s">
        <v>681</v>
      </c>
      <c r="I163" s="2" t="s">
        <v>682</v>
      </c>
      <c r="K163" s="25" t="str">
        <f>IFERROR(__xludf.DUMMYFUNCTION("IF(ISBLANK(A163),
  """",
  IF(ISNUMBER(A163),
    TEXT(A163,""dd/mm/yyyy""),
    IF(
      REGEXMATCH(TRIM(A163),""^\d{1,2}/\d{1,2}/\d{4}$""),
      TRIM(A163),
      IFERROR(
        TEXT(DATEVALUE(SUBSTITUTE(SUBSTITUTE(TRIM(A163),""-"",""/""),""."",""/"&amp;""")),""dd/mm/yyyy""),
        TRIM(A163)
      )
    )
  )
)
"),"27/12/2024")</f>
        <v>27/12/2024</v>
      </c>
      <c r="L163" s="26">
        <v>45653.0</v>
      </c>
      <c r="M163" s="27" t="str">
        <f>IFERROR(__xludf.DUMMYFUNCTION("PROPER(TRIM(
  REGEXREPLACE(
    REGEXREPLACE(
      SUBSTITUTE(SUBSTITUTE(SUBSTITUTE(SUBSTITUTE(SUBSTITUTE(SUBSTITUTE(SUBSTITUTE(SUBSTITUTE(SUBSTITUTE(SUBSTITUTE(SUBSTITUTE(
        B163,""√©"",""é""),""√°"",""á""),""√±"",""ñ""),""√≥"",""ó""),""√â"",""é"&amp;"""),""√Å"",""á""),""√ç"",""í""),""√Ç"",""Í""),""√Â"",""é""),""√≠"",""í""),""√º"",""ú""),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63" s="28" t="str">
        <f>IFERROR(__xludf.DUMMYFUNCTION("SPLIT(
  TRIM(
    SUBSTITUTE(
      SUBSTITUTE(
        SUBSTITUTE(
          SUBSTITUTE(
            C163,
            ""√©"", ""é""
          ),
          ""√±"", ""ñ""
        ),
        ""√°"", ""á""
      ),
      ""√≥"", ""ó""
    )
  ),
  ""-""
)
"),"Auriculares")</f>
        <v>Auriculares</v>
      </c>
      <c r="O163" s="28" t="str">
        <f>IFERROR(__xludf.DUMMYFUNCTION("""COMPUTED_VALUE"""),"Con cable")</f>
        <v>Con cable</v>
      </c>
      <c r="P163" s="28" t="str">
        <f>IFERROR(__xludf.DUMMYFUNCTION("""COMPUTED_VALUE"""),"32GB")</f>
        <v>32GB</v>
      </c>
      <c r="Q163" s="29">
        <f t="shared" si="1"/>
        <v>851.86</v>
      </c>
      <c r="R163" s="28">
        <f t="shared" si="2"/>
        <v>1</v>
      </c>
      <c r="S163" s="29">
        <f t="shared" si="3"/>
        <v>851.86</v>
      </c>
      <c r="T163" s="28" t="str">
        <f>IFERROR(__xludf.DUMMYFUNCTION("PROPER(TRIM(
  LET(
    texto1, REGEXREPLACE(G163,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"),"Alfredo Ozuna")</f>
        <v>Alfredo Ozuna</v>
      </c>
      <c r="U163" s="28" t="str">
        <f t="shared" si="4"/>
        <v>95af7f10-1768-4963-ab62-677ee934c6c0</v>
      </c>
      <c r="V163" s="30" t="str">
        <f t="shared" si="5"/>
        <v>Auriculares Con cable 32GB</v>
      </c>
    </row>
    <row r="164" ht="15.75" customHeight="1">
      <c r="A164" s="6">
        <v>45651.0</v>
      </c>
      <c r="B164" s="2" t="s">
        <v>101</v>
      </c>
      <c r="C164" s="2" t="s">
        <v>250</v>
      </c>
      <c r="D164" s="7">
        <v>1047.88</v>
      </c>
      <c r="E164" s="2">
        <v>3.0</v>
      </c>
      <c r="F164" s="7">
        <v>3143.64</v>
      </c>
      <c r="G164" s="2" t="s">
        <v>684</v>
      </c>
      <c r="H164" s="2" t="s">
        <v>685</v>
      </c>
      <c r="I164" s="2" t="s">
        <v>686</v>
      </c>
      <c r="K164" s="19" t="str">
        <f>IFERROR(__xludf.DUMMYFUNCTION("IF(ISBLANK(A164),
  """",
  IF(ISNUMBER(A164),
    TEXT(A164,""dd/mm/yyyy""),
    IF(
      REGEXMATCH(TRIM(A164),""^\d{1,2}/\d{1,2}/\d{4}$""),
      TRIM(A164),
      IFERROR(
        TEXT(DATEVALUE(SUBSTITUTE(SUBSTITUTE(TRIM(A164),""-"",""/""),""."",""/"&amp;""")),""dd/mm/yyyy""),
        TRIM(A164)
      )
    )
  )
)
"),"25/12/2024")</f>
        <v>25/12/2024</v>
      </c>
      <c r="L164" s="20">
        <v>45651.0</v>
      </c>
      <c r="M164" s="21" t="str">
        <f>IFERROR(__xludf.DUMMYFUNCTION("PROPER(TRIM(
  REGEXREPLACE(
    REGEXREPLACE(
      SUBSTITUTE(SUBSTITUTE(SUBSTITUTE(SUBSTITUTE(SUBSTITUTE(SUBSTITUTE(SUBSTITUTE(SUBSTITUTE(SUBSTITUTE(SUBSTITUTE(SUBSTITUTE(
        B164,""√©"",""é""),""√°"",""á""),""√±"",""ñ""),""√≥"",""ó""),""√â"",""é"&amp;"""),""√Å"",""á""),""√ç"",""í""),""√Ç"",""Í""),""√Â"",""é""),""√≠"",""í""),""√º"",""ú""),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64" s="22" t="str">
        <f>IFERROR(__xludf.DUMMYFUNCTION("SPLIT(
  TRIM(
    SUBSTITUTE(
      SUBSTITUTE(
        SUBSTITUTE(
          SUBSTITUTE(
            C164,
            ""√©"", ""é""
          ),
          ""√±"", ""ñ""
        ),
        ""√°"", ""á""
      ),
      ""√≥"", ""ó""
    )
  ),
  ""-""
)
"),"Laptop")</f>
        <v>Laptop</v>
      </c>
      <c r="O164" s="22" t="str">
        <f>IFERROR(__xludf.DUMMYFUNCTION("""COMPUTED_VALUE"""),"Oficina")</f>
        <v>Oficina</v>
      </c>
      <c r="P164" s="22" t="str">
        <f>IFERROR(__xludf.DUMMYFUNCTION("""COMPUTED_VALUE"""),"32GB")</f>
        <v>32GB</v>
      </c>
      <c r="Q164" s="23">
        <f t="shared" si="1"/>
        <v>1047.88</v>
      </c>
      <c r="R164" s="22">
        <f t="shared" si="2"/>
        <v>3</v>
      </c>
      <c r="S164" s="23">
        <f t="shared" si="3"/>
        <v>3143.64</v>
      </c>
      <c r="T164" s="22" t="str">
        <f>IFERROR(__xludf.DUMMYFUNCTION("PROPER(TRIM(
  LET(
    texto1, REGEXREPLACE(G164,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"),"Héctor Luevano")</f>
        <v>Héctor Luevano</v>
      </c>
      <c r="U164" s="22" t="str">
        <f t="shared" si="4"/>
        <v>517b090a-2e73-4c68-aad4-180d1350b369</v>
      </c>
      <c r="V164" s="24" t="str">
        <f t="shared" si="5"/>
        <v>Laptop Oficina 32GB</v>
      </c>
    </row>
    <row r="165" ht="15.75" customHeight="1">
      <c r="A165" s="6">
        <v>45603.0</v>
      </c>
      <c r="B165" s="2" t="s">
        <v>27</v>
      </c>
      <c r="C165" s="2" t="s">
        <v>186</v>
      </c>
      <c r="D165" s="7">
        <v>700.01</v>
      </c>
      <c r="E165" s="2">
        <v>3.0</v>
      </c>
      <c r="F165" s="7">
        <v>2100.03</v>
      </c>
      <c r="G165" s="2" t="s">
        <v>688</v>
      </c>
      <c r="H165" s="2" t="s">
        <v>689</v>
      </c>
      <c r="I165" s="2" t="s">
        <v>690</v>
      </c>
      <c r="K165" s="25" t="str">
        <f>IFERROR(__xludf.DUMMYFUNCTION("IF(ISBLANK(A165),
  """",
  IF(ISNUMBER(A165),
    TEXT(A165,""dd/mm/yyyy""),
    IF(
      REGEXMATCH(TRIM(A165),""^\d{1,2}/\d{1,2}/\d{4}$""),
      TRIM(A165),
      IFERROR(
        TEXT(DATEVALUE(SUBSTITUTE(SUBSTITUTE(TRIM(A165),""-"",""/""),""."",""/"&amp;""")),""dd/mm/yyyy""),
        TRIM(A165)
      )
    )
  )
)
"),"07/11/2024")</f>
        <v>07/11/2024</v>
      </c>
      <c r="L165" s="26">
        <v>45603.0</v>
      </c>
      <c r="M165" s="27" t="str">
        <f>IFERROR(__xludf.DUMMYFUNCTION("PROPER(TRIM(
  REGEXREPLACE(
    REGEXREPLACE(
      SUBSTITUTE(SUBSTITUTE(SUBSTITUTE(SUBSTITUTE(SUBSTITUTE(SUBSTITUTE(SUBSTITUTE(SUBSTITUTE(SUBSTITUTE(SUBSTITUTE(SUBSTITUTE(
        B165,""√©"",""é""),""√°"",""á""),""√±"",""ñ""),""√≥"",""ó""),""√â"",""é"&amp;"""),""√Å"",""á""),""√ç"",""í""),""√Ç"",""Í""),""√Â"",""é""),""√≠"",""í""),""√º"",""ú""),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65" s="28" t="str">
        <f>IFERROR(__xludf.DUMMYFUNCTION("SPLIT(
  TRIM(
    SUBSTITUTE(
      SUBSTITUTE(
        SUBSTITUTE(
          SUBSTITUTE(
            C165,
            ""√©"", ""é""
          ),
          ""√±"", ""ñ""
        ),
        ""√°"", ""á""
      ),
      ""√≥"", ""ó""
    )
  ),
  ""-""
)
"),"Tablet")</f>
        <v>Tablet</v>
      </c>
      <c r="O165" s="28" t="str">
        <f>IFERROR(__xludf.DUMMYFUNCTION("""COMPUTED_VALUE"""),"Mini")</f>
        <v>Mini</v>
      </c>
      <c r="P165" s="28" t="str">
        <f>IFERROR(__xludf.DUMMYFUNCTION("""COMPUTED_VALUE"""),"8GB")</f>
        <v>8GB</v>
      </c>
      <c r="Q165" s="29">
        <f t="shared" si="1"/>
        <v>700.01</v>
      </c>
      <c r="R165" s="28">
        <f t="shared" si="2"/>
        <v>3</v>
      </c>
      <c r="S165" s="29">
        <f t="shared" si="3"/>
        <v>2100.03</v>
      </c>
      <c r="T165" s="28" t="str">
        <f>IFERROR(__xludf.DUMMYFUNCTION("PROPER(TRIM(
  LET(
    texto1, REGEXREPLACE(G165,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"),"Jaime Gómez")</f>
        <v>Jaime Gómez</v>
      </c>
      <c r="U165" s="28" t="str">
        <f t="shared" si="4"/>
        <v>8204039a-5541-4976-bc5b-19da90d1ecf0</v>
      </c>
      <c r="V165" s="30" t="str">
        <f t="shared" si="5"/>
        <v>Tablet Mini 8GB</v>
      </c>
    </row>
    <row r="166" ht="15.75" customHeight="1">
      <c r="A166" s="6">
        <v>45580.0</v>
      </c>
      <c r="B166" s="2" t="s">
        <v>50</v>
      </c>
      <c r="C166" s="2" t="s">
        <v>75</v>
      </c>
      <c r="D166" s="7">
        <v>1909.2</v>
      </c>
      <c r="E166" s="2">
        <v>3.0</v>
      </c>
      <c r="F166" s="7">
        <v>5727.6</v>
      </c>
      <c r="G166" s="2" t="s">
        <v>691</v>
      </c>
      <c r="H166" s="2" t="s">
        <v>692</v>
      </c>
      <c r="I166" s="2" t="s">
        <v>693</v>
      </c>
      <c r="K166" s="19" t="str">
        <f>IFERROR(__xludf.DUMMYFUNCTION("IF(ISBLANK(A166),
  """",
  IF(ISNUMBER(A166),
    TEXT(A166,""dd/mm/yyyy""),
    IF(
      REGEXMATCH(TRIM(A166),""^\d{1,2}/\d{1,2}/\d{4}$""),
      TRIM(A166),
      IFERROR(
        TEXT(DATEVALUE(SUBSTITUTE(SUBSTITUTE(TRIM(A166),""-"",""/""),""."",""/"&amp;""")),""dd/mm/yyyy""),
        TRIM(A166)
      )
    )
  )
)
"),"15/10/2024")</f>
        <v>15/10/2024</v>
      </c>
      <c r="L166" s="20">
        <v>45580.0</v>
      </c>
      <c r="M166" s="21" t="str">
        <f>IFERROR(__xludf.DUMMYFUNCTION("PROPER(TRIM(
  REGEXREPLACE(
    REGEXREPLACE(
      SUBSTITUTE(SUBSTITUTE(SUBSTITUTE(SUBSTITUTE(SUBSTITUTE(SUBSTITUTE(SUBSTITUTE(SUBSTITUTE(SUBSTITUTE(SUBSTITUTE(SUBSTITUTE(
        B166,""√©"",""é""),""√°"",""á""),""√±"",""ñ""),""√≥"",""ó""),""√â"",""é"&amp;"""),""√Å"",""á""),""√ç"",""í""),""√Ç"",""Í""),""√Â"",""é""),""√≠"",""í""),""√º"",""ú""),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66" s="22" t="str">
        <f>IFERROR(__xludf.DUMMYFUNCTION("SPLIT(
  TRIM(
    SUBSTITUTE(
      SUBSTITUTE(
        SUBSTITUTE(
          SUBSTITUTE(
            C166,
            ""√©"", ""é""
          ),
          ""√±"", ""ñ""
        ),
        ""√°"", ""á""
      ),
      ""√≥"", ""ó""
    )
  ),
  ""-""
)
"),"Tablet")</f>
        <v>Tablet</v>
      </c>
      <c r="O166" s="22" t="str">
        <f>IFERROR(__xludf.DUMMYFUNCTION("""COMPUTED_VALUE"""),"Pro")</f>
        <v>Pro</v>
      </c>
      <c r="P166" s="22" t="str">
        <f>IFERROR(__xludf.DUMMYFUNCTION("""COMPUTED_VALUE"""),"4GB")</f>
        <v>4GB</v>
      </c>
      <c r="Q166" s="23">
        <f t="shared" si="1"/>
        <v>1909.2</v>
      </c>
      <c r="R166" s="22">
        <f t="shared" si="2"/>
        <v>3</v>
      </c>
      <c r="S166" s="23">
        <f t="shared" si="3"/>
        <v>5727.6</v>
      </c>
      <c r="T166" s="22" t="str">
        <f>IFERROR(__xludf.DUMMYFUNCTION("PROPER(TRIM(
  LET(
    texto1, REGEXREPLACE(G166,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"),"Sandra Marisol Vergara")</f>
        <v>Sandra Marisol Vergara</v>
      </c>
      <c r="U166" s="22" t="str">
        <f t="shared" si="4"/>
        <v>03d8d67d-53e4-43e8-bd00-72801ff4e987</v>
      </c>
      <c r="V166" s="24" t="str">
        <f t="shared" si="5"/>
        <v>Tablet Pro 4GB</v>
      </c>
    </row>
    <row r="167" ht="15.75" customHeight="1">
      <c r="A167" s="6">
        <v>45575.0</v>
      </c>
      <c r="B167" s="2" t="s">
        <v>161</v>
      </c>
      <c r="C167" s="2" t="s">
        <v>22</v>
      </c>
      <c r="D167" s="7">
        <v>981.62</v>
      </c>
      <c r="E167" s="2">
        <v>5.0</v>
      </c>
      <c r="F167" s="7">
        <v>4908.1</v>
      </c>
      <c r="G167" s="2" t="s">
        <v>695</v>
      </c>
      <c r="H167" s="2" t="s">
        <v>696</v>
      </c>
      <c r="I167" s="2" t="s">
        <v>697</v>
      </c>
      <c r="K167" s="25" t="str">
        <f>IFERROR(__xludf.DUMMYFUNCTION("IF(ISBLANK(A167),
  """",
  IF(ISNUMBER(A167),
    TEXT(A167,""dd/mm/yyyy""),
    IF(
      REGEXMATCH(TRIM(A167),""^\d{1,2}/\d{1,2}/\d{4}$""),
      TRIM(A167),
      IFERROR(
        TEXT(DATEVALUE(SUBSTITUTE(SUBSTITUTE(TRIM(A167),""-"",""/""),""."",""/"&amp;""")),""dd/mm/yyyy""),
        TRIM(A167)
      )
    )
  )
)
"),"10/10/2024")</f>
        <v>10/10/2024</v>
      </c>
      <c r="L167" s="26">
        <v>45575.0</v>
      </c>
      <c r="M167" s="27" t="str">
        <f>IFERROR(__xludf.DUMMYFUNCTION("PROPER(TRIM(
  REGEXREPLACE(
    REGEXREPLACE(
      SUBSTITUTE(SUBSTITUTE(SUBSTITUTE(SUBSTITUTE(SUBSTITUTE(SUBSTITUTE(SUBSTITUTE(SUBSTITUTE(SUBSTITUTE(SUBSTITUTE(SUBSTITUTE(
        B167,""√©"",""é""),""√°"",""á""),""√±"",""ñ""),""√≥"",""ó""),""√â"",""é"&amp;"""),""√Å"",""á""),""√ç"",""í""),""√Ç"",""Í""),""√Â"",""é""),""√≠"",""í""),""√º"",""ú""),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167" s="28" t="str">
        <f>IFERROR(__xludf.DUMMYFUNCTION("SPLIT(
  TRIM(
    SUBSTITUTE(
      SUBSTITUTE(
        SUBSTITUTE(
          SUBSTITUTE(
            C167,
            ""√©"", ""é""
          ),
          ""√±"", ""ñ""
        ),
        ""√°"", ""á""
      ),
      ""√≥"", ""ó""
    )
  ),
  ""-""
)
"),"Laptop")</f>
        <v>Laptop</v>
      </c>
      <c r="O167" s="28" t="str">
        <f>IFERROR(__xludf.DUMMYFUNCTION("""COMPUTED_VALUE"""),"Gaming")</f>
        <v>Gaming</v>
      </c>
      <c r="P167" s="28" t="str">
        <f>IFERROR(__xludf.DUMMYFUNCTION("""COMPUTED_VALUE"""),"32GB")</f>
        <v>32GB</v>
      </c>
      <c r="Q167" s="29">
        <f t="shared" si="1"/>
        <v>981.62</v>
      </c>
      <c r="R167" s="28">
        <f t="shared" si="2"/>
        <v>5</v>
      </c>
      <c r="S167" s="29">
        <f t="shared" si="3"/>
        <v>4908.1</v>
      </c>
      <c r="T167" s="28" t="str">
        <f>IFERROR(__xludf.DUMMYFUNCTION("PROPER(TRIM(
  LET(
    texto1, REGEXREPLACE(G167,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"),"Julio César Fernando Cordero")</f>
        <v>Julio César Fernando Cordero</v>
      </c>
      <c r="U167" s="28" t="str">
        <f t="shared" si="4"/>
        <v>fd56654c-43c9-4016-8183-cbdf6b382ba6</v>
      </c>
      <c r="V167" s="30" t="str">
        <f t="shared" si="5"/>
        <v>Laptop Gaming 32GB</v>
      </c>
    </row>
    <row r="168" ht="15.75" customHeight="1">
      <c r="A168" s="6">
        <v>45616.0</v>
      </c>
      <c r="B168" s="2" t="s">
        <v>85</v>
      </c>
      <c r="C168" s="2" t="s">
        <v>698</v>
      </c>
      <c r="D168" s="7">
        <v>210.76</v>
      </c>
      <c r="E168" s="2">
        <v>5.0</v>
      </c>
      <c r="F168" s="7">
        <v>1053.8</v>
      </c>
      <c r="G168" s="2" t="s">
        <v>699</v>
      </c>
      <c r="H168" s="2" t="s">
        <v>700</v>
      </c>
      <c r="I168" s="2" t="s">
        <v>701</v>
      </c>
      <c r="K168" s="19" t="str">
        <f>IFERROR(__xludf.DUMMYFUNCTION("IF(ISBLANK(A168),
  """",
  IF(ISNUMBER(A168),
    TEXT(A168,""dd/mm/yyyy""),
    IF(
      REGEXMATCH(TRIM(A168),""^\d{1,2}/\d{1,2}/\d{4}$""),
      TRIM(A168),
      IFERROR(
        TEXT(DATEVALUE(SUBSTITUTE(SUBSTITUTE(TRIM(A168),""-"",""/""),""."",""/"&amp;""")),""dd/mm/yyyy""),
        TRIM(A168)
      )
    )
  )
)
"),"20/11/2024")</f>
        <v>20/11/2024</v>
      </c>
      <c r="L168" s="20">
        <v>45616.0</v>
      </c>
      <c r="M168" s="21" t="str">
        <f>IFERROR(__xludf.DUMMYFUNCTION("PROPER(TRIM(
  REGEXREPLACE(
    REGEXREPLACE(
      SUBSTITUTE(SUBSTITUTE(SUBSTITUTE(SUBSTITUTE(SUBSTITUTE(SUBSTITUTE(SUBSTITUTE(SUBSTITUTE(SUBSTITUTE(SUBSTITUTE(SUBSTITUTE(
        B168,""√©"",""é""),""√°"",""á""),""√±"",""ñ""),""√≥"",""ó""),""√â"",""é"&amp;"""),""√Å"",""á""),""√ç"",""í""),""√Ç"",""Í""),""√Â"",""é""),""√≠"",""í""),""√º"",""ú""),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68" s="22" t="str">
        <f>IFERROR(__xludf.DUMMYFUNCTION("SPLIT(
  TRIM(
    SUBSTITUTE(
      SUBSTITUTE(
        SUBSTITUTE(
          SUBSTITUTE(
            C168,
            ""√©"", ""é""
          ),
          ""√±"", ""ñ""
        ),
        ""√°"", ""á""
      ),
      ""√≥"", ""ó""
    )
  ),
  ""-""
)
"),"Laptop")</f>
        <v>Laptop</v>
      </c>
      <c r="O168" s="22" t="str">
        <f>IFERROR(__xludf.DUMMYFUNCTION("""COMPUTED_VALUE"""),"Ultraliviana")</f>
        <v>Ultraliviana</v>
      </c>
      <c r="P168" s="22" t="str">
        <f>IFERROR(__xludf.DUMMYFUNCTION("""COMPUTED_VALUE"""),"8GB")</f>
        <v>8GB</v>
      </c>
      <c r="Q168" s="23">
        <f t="shared" si="1"/>
        <v>210.76</v>
      </c>
      <c r="R168" s="22">
        <f t="shared" si="2"/>
        <v>5</v>
      </c>
      <c r="S168" s="23">
        <f t="shared" si="3"/>
        <v>1053.8</v>
      </c>
      <c r="T168" s="22" t="str">
        <f>IFERROR(__xludf.DUMMYFUNCTION("PROPER(TRIM(
  LET(
    texto1, REGEXREPLACE(G168,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"),"Abril Ríos")</f>
        <v>Abril Ríos</v>
      </c>
      <c r="U168" s="22" t="str">
        <f t="shared" si="4"/>
        <v>8429854b-a406-4cf2-9cdd-ed466b843f6e</v>
      </c>
      <c r="V168" s="24" t="str">
        <f t="shared" si="5"/>
        <v>Laptop Ultraliviana 8GB</v>
      </c>
    </row>
    <row r="169" ht="15.75" customHeight="1">
      <c r="A169" s="6">
        <v>45584.0</v>
      </c>
      <c r="B169" s="2" t="s">
        <v>38</v>
      </c>
      <c r="C169" s="2" t="s">
        <v>11</v>
      </c>
      <c r="D169" s="7">
        <v>713.75</v>
      </c>
      <c r="E169" s="2">
        <v>3.0</v>
      </c>
      <c r="F169" s="7">
        <v>2141.25</v>
      </c>
      <c r="G169" s="2" t="s">
        <v>703</v>
      </c>
      <c r="H169" s="2" t="s">
        <v>704</v>
      </c>
      <c r="I169" s="2" t="s">
        <v>705</v>
      </c>
      <c r="K169" s="25" t="str">
        <f>IFERROR(__xludf.DUMMYFUNCTION("IF(ISBLANK(A169),
  """",
  IF(ISNUMBER(A169),
    TEXT(A169,""dd/mm/yyyy""),
    IF(
      REGEXMATCH(TRIM(A169),""^\d{1,2}/\d{1,2}/\d{4}$""),
      TRIM(A169),
      IFERROR(
        TEXT(DATEVALUE(SUBSTITUTE(SUBSTITUTE(TRIM(A169),""-"",""/""),""."",""/"&amp;""")),""dd/mm/yyyy""),
        TRIM(A169)
      )
    )
  )
)
"),"19/10/2024")</f>
        <v>19/10/2024</v>
      </c>
      <c r="L169" s="26">
        <v>45584.0</v>
      </c>
      <c r="M169" s="27" t="str">
        <f>IFERROR(__xludf.DUMMYFUNCTION("PROPER(TRIM(
  REGEXREPLACE(
    REGEXREPLACE(
      SUBSTITUTE(SUBSTITUTE(SUBSTITUTE(SUBSTITUTE(SUBSTITUTE(SUBSTITUTE(SUBSTITUTE(SUBSTITUTE(SUBSTITUTE(SUBSTITUTE(SUBSTITUTE(
        B169,""√©"",""é""),""√°"",""á""),""√±"",""ñ""),""√≥"",""ó""),""√â"",""é"&amp;"""),""√Å"",""á""),""√ç"",""í""),""√Ç"",""Í""),""√Â"",""é""),""√≠"",""í""),""√º"",""ú""),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69" s="28" t="str">
        <f>IFERROR(__xludf.DUMMYFUNCTION("SPLIT(
  TRIM(
    SUBSTITUTE(
      SUBSTITUTE(
        SUBSTITUTE(
          SUBSTITUTE(
            C169,
            ""√©"", ""é""
          ),
          ""√±"", ""ñ""
        ),
        ""√°"", ""á""
      ),
      ""√≥"", ""ó""
    )
  ),
  ""-""
)
"),"Auriculares")</f>
        <v>Auriculares</v>
      </c>
      <c r="O169" s="28" t="str">
        <f>IFERROR(__xludf.DUMMYFUNCTION("""COMPUTED_VALUE"""),"Con cable")</f>
        <v>Con cable</v>
      </c>
      <c r="P169" s="28" t="str">
        <f>IFERROR(__xludf.DUMMYFUNCTION("""COMPUTED_VALUE"""),"32GB")</f>
        <v>32GB</v>
      </c>
      <c r="Q169" s="29">
        <f t="shared" si="1"/>
        <v>713.75</v>
      </c>
      <c r="R169" s="28">
        <f t="shared" si="2"/>
        <v>3</v>
      </c>
      <c r="S169" s="29">
        <f t="shared" si="3"/>
        <v>2141.25</v>
      </c>
      <c r="T169" s="28" t="str">
        <f>IFERROR(__xludf.DUMMYFUNCTION("PROPER(TRIM(
  LET(
    texto1, REGEXREPLACE(G169,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"),"Alfredo Cintrón")</f>
        <v>Alfredo Cintrón</v>
      </c>
      <c r="U169" s="28" t="str">
        <f t="shared" si="4"/>
        <v>298b36d0-dae0-4465-94e0-f5a242f44bd5</v>
      </c>
      <c r="V169" s="30" t="str">
        <f t="shared" si="5"/>
        <v>Auriculares Con cable 32GB</v>
      </c>
    </row>
    <row r="170" ht="15.75" customHeight="1">
      <c r="A170" s="6">
        <v>45631.0</v>
      </c>
      <c r="B170" s="2" t="s">
        <v>101</v>
      </c>
      <c r="C170" s="2" t="s">
        <v>226</v>
      </c>
      <c r="D170" s="7">
        <v>1005.46</v>
      </c>
      <c r="E170" s="2">
        <v>5.0</v>
      </c>
      <c r="F170" s="7">
        <v>5027.3</v>
      </c>
      <c r="G170" s="2" t="s">
        <v>706</v>
      </c>
      <c r="H170" s="2" t="s">
        <v>707</v>
      </c>
      <c r="I170" s="2" t="s">
        <v>708</v>
      </c>
      <c r="K170" s="19" t="str">
        <f>IFERROR(__xludf.DUMMYFUNCTION("IF(ISBLANK(A170),
  """",
  IF(ISNUMBER(A170),
    TEXT(A170,""dd/mm/yyyy""),
    IF(
      REGEXMATCH(TRIM(A170),""^\d{1,2}/\d{1,2}/\d{4}$""),
      TRIM(A170),
      IFERROR(
        TEXT(DATEVALUE(SUBSTITUTE(SUBSTITUTE(TRIM(A170),""-"",""/""),""."",""/"&amp;""")),""dd/mm/yyyy""),
        TRIM(A170)
      )
    )
  )
)
"),"05/12/2024")</f>
        <v>05/12/2024</v>
      </c>
      <c r="L170" s="20">
        <v>45631.0</v>
      </c>
      <c r="M170" s="21" t="str">
        <f>IFERROR(__xludf.DUMMYFUNCTION("PROPER(TRIM(
  REGEXREPLACE(
    REGEXREPLACE(
      SUBSTITUTE(SUBSTITUTE(SUBSTITUTE(SUBSTITUTE(SUBSTITUTE(SUBSTITUTE(SUBSTITUTE(SUBSTITUTE(SUBSTITUTE(SUBSTITUTE(SUBSTITUTE(
        B170,""√©"",""é""),""√°"",""á""),""√±"",""ñ""),""√≥"",""ó""),""√â"",""é"&amp;"""),""√Å"",""á""),""√ç"",""í""),""√Ç"",""Í""),""√Â"",""é""),""√≠"",""í""),""√º"",""ú""),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70" s="22" t="str">
        <f>IFERROR(__xludf.DUMMYFUNCTION("SPLIT(
  TRIM(
    SUBSTITUTE(
      SUBSTITUTE(
        SUBSTITUTE(
          SUBSTITUTE(
            C170,
            ""√©"", ""é""
          ),
          ""√±"", ""ñ""
        ),
        ""√°"", ""á""
      ),
      ""√≥"", ""ó""
    )
  ),
  ""-""
)
"),"Tablet")</f>
        <v>Tablet</v>
      </c>
      <c r="O170" s="22" t="str">
        <f>IFERROR(__xludf.DUMMYFUNCTION("""COMPUTED_VALUE"""),"Mini")</f>
        <v>Mini</v>
      </c>
      <c r="P170" s="22" t="str">
        <f>IFERROR(__xludf.DUMMYFUNCTION("""COMPUTED_VALUE"""),"16GB")</f>
        <v>16GB</v>
      </c>
      <c r="Q170" s="23">
        <f t="shared" si="1"/>
        <v>1005.46</v>
      </c>
      <c r="R170" s="22">
        <f t="shared" si="2"/>
        <v>5</v>
      </c>
      <c r="S170" s="23">
        <f t="shared" si="3"/>
        <v>5027.3</v>
      </c>
      <c r="T170" s="22" t="str">
        <f>IFERROR(__xludf.DUMMYFUNCTION("PROPER(TRIM(
  LET(
    texto1, REGEXREPLACE(G170,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"),"Hernán Rael")</f>
        <v>Hernán Rael</v>
      </c>
      <c r="U170" s="22" t="str">
        <f t="shared" si="4"/>
        <v>ce0567fa-7e48-43a0-a5b7-07aa5cc439d0</v>
      </c>
      <c r="V170" s="24" t="str">
        <f t="shared" si="5"/>
        <v>Tablet Mini 16GB</v>
      </c>
    </row>
    <row r="171" ht="15.75" customHeight="1">
      <c r="A171" s="6" t="s">
        <v>709</v>
      </c>
      <c r="B171" s="2" t="s">
        <v>27</v>
      </c>
      <c r="C171" s="2" t="s">
        <v>698</v>
      </c>
      <c r="D171" s="7">
        <v>208.54</v>
      </c>
      <c r="E171" s="2">
        <v>2.0</v>
      </c>
      <c r="F171" s="7">
        <v>417.08</v>
      </c>
      <c r="G171" s="2" t="s">
        <v>710</v>
      </c>
      <c r="H171" s="2" t="s">
        <v>711</v>
      </c>
      <c r="I171" s="2" t="s">
        <v>712</v>
      </c>
      <c r="K171" s="25" t="str">
        <f>IFERROR(__xludf.DUMMYFUNCTION("IF(ISBLANK(A171),
  """",
  IF(ISNUMBER(A171),
    TEXT(A171,""dd/mm/yyyy""),
    IF(
      REGEXMATCH(TRIM(A171),""^\d{1,2}/\d{1,2}/\d{4}$""),
      TRIM(A171),
      IFERROR(
        TEXT(DATEVALUE(SUBSTITUTE(SUBSTITUTE(TRIM(A171),""-"",""/""),""."",""/"&amp;""")),""dd/mm/yyyy""),
        TRIM(A171)
      )
    )
  )
)
"),"26/12/2024")</f>
        <v>26/12/2024</v>
      </c>
      <c r="L171" s="26">
        <v>45652.0</v>
      </c>
      <c r="M171" s="27" t="str">
        <f>IFERROR(__xludf.DUMMYFUNCTION("PROPER(TRIM(
  REGEXREPLACE(
    REGEXREPLACE(
      SUBSTITUTE(SUBSTITUTE(SUBSTITUTE(SUBSTITUTE(SUBSTITUTE(SUBSTITUTE(SUBSTITUTE(SUBSTITUTE(SUBSTITUTE(SUBSTITUTE(SUBSTITUTE(
        B171,""√©"",""é""),""√°"",""á""),""√±"",""ñ""),""√≥"",""ó""),""√â"",""é"&amp;"""),""√Å"",""á""),""√ç"",""í""),""√Ç"",""Í""),""√Â"",""é""),""√≠"",""í""),""√º"",""ú""),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71" s="28" t="str">
        <f>IFERROR(__xludf.DUMMYFUNCTION("SPLIT(
  TRIM(
    SUBSTITUTE(
      SUBSTITUTE(
        SUBSTITUTE(
          SUBSTITUTE(
            C171,
            ""√©"", ""é""
          ),
          ""√±"", ""ñ""
        ),
        ""√°"", ""á""
      ),
      ""√≥"", ""ó""
    )
  ),
  ""-""
)
"),"Laptop")</f>
        <v>Laptop</v>
      </c>
      <c r="O171" s="28" t="str">
        <f>IFERROR(__xludf.DUMMYFUNCTION("""COMPUTED_VALUE"""),"Ultraliviana")</f>
        <v>Ultraliviana</v>
      </c>
      <c r="P171" s="28" t="str">
        <f>IFERROR(__xludf.DUMMYFUNCTION("""COMPUTED_VALUE"""),"8GB")</f>
        <v>8GB</v>
      </c>
      <c r="Q171" s="29">
        <f t="shared" si="1"/>
        <v>208.54</v>
      </c>
      <c r="R171" s="28">
        <f t="shared" si="2"/>
        <v>2</v>
      </c>
      <c r="S171" s="29">
        <f t="shared" si="3"/>
        <v>417.08</v>
      </c>
      <c r="T171" s="28" t="str">
        <f>IFERROR(__xludf.DUMMYFUNCTION("PROPER(TRIM(
  LET(
    texto1, REGEXREPLACE(G171,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"),"Cristobal Germán Razo Montenegro")</f>
        <v>Cristobal Germán Razo Montenegro</v>
      </c>
      <c r="U171" s="28" t="str">
        <f t="shared" si="4"/>
        <v>6152d019-c240-4dd1-adb5-1811f3729839</v>
      </c>
      <c r="V171" s="30" t="str">
        <f t="shared" si="5"/>
        <v>Laptop Ultraliviana 8GB</v>
      </c>
    </row>
    <row r="172" ht="15.75" customHeight="1">
      <c r="A172" s="6">
        <v>45630.0</v>
      </c>
      <c r="B172" s="2" t="s">
        <v>38</v>
      </c>
      <c r="C172" s="2" t="s">
        <v>369</v>
      </c>
      <c r="D172" s="7">
        <v>1902.94</v>
      </c>
      <c r="E172" s="2">
        <v>4.0</v>
      </c>
      <c r="F172" s="7">
        <v>7611.76</v>
      </c>
      <c r="G172" s="2" t="s">
        <v>714</v>
      </c>
      <c r="H172" s="2" t="s">
        <v>715</v>
      </c>
      <c r="I172" s="2" t="s">
        <v>716</v>
      </c>
      <c r="K172" s="19" t="str">
        <f>IFERROR(__xludf.DUMMYFUNCTION("IF(ISBLANK(A172),
  """",
  IF(ISNUMBER(A172),
    TEXT(A172,""dd/mm/yyyy""),
    IF(
      REGEXMATCH(TRIM(A172),""^\d{1,2}/\d{1,2}/\d{4}$""),
      TRIM(A172),
      IFERROR(
        TEXT(DATEVALUE(SUBSTITUTE(SUBSTITUTE(TRIM(A172),""-"",""/""),""."",""/"&amp;""")),""dd/mm/yyyy""),
        TRIM(A172)
      )
    )
  )
)
"),"04/12/2024")</f>
        <v>04/12/2024</v>
      </c>
      <c r="L172" s="20">
        <v>45630.0</v>
      </c>
      <c r="M172" s="21" t="str">
        <f>IFERROR(__xludf.DUMMYFUNCTION("PROPER(TRIM(
  REGEXREPLACE(
    REGEXREPLACE(
      SUBSTITUTE(SUBSTITUTE(SUBSTITUTE(SUBSTITUTE(SUBSTITUTE(SUBSTITUTE(SUBSTITUTE(SUBSTITUTE(SUBSTITUTE(SUBSTITUTE(SUBSTITUTE(
        B172,""√©"",""é""),""√°"",""á""),""√±"",""ñ""),""√≥"",""ó""),""√â"",""é"&amp;"""),""√Å"",""á""),""√ç"",""í""),""√Ç"",""Í""),""√Â"",""é""),""√≠"",""í""),""√º"",""ú""),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72" s="22" t="str">
        <f>IFERROR(__xludf.DUMMYFUNCTION("SPLIT(
  TRIM(
    SUBSTITUTE(
      SUBSTITUTE(
        SUBSTITUTE(
          SUBSTITUTE(
            C172,
            ""√©"", ""é""
          ),
          ""√±"", ""ñ""
        ),
        ""√°"", ""á""
      ),
      ""√≥"", ""ó""
    )
  ),
  ""-""
)
"),"Tablet")</f>
        <v>Tablet</v>
      </c>
      <c r="O172" s="22" t="str">
        <f>IFERROR(__xludf.DUMMYFUNCTION("""COMPUTED_VALUE"""),"Pro")</f>
        <v>Pro</v>
      </c>
      <c r="P172" s="22" t="str">
        <f>IFERROR(__xludf.DUMMYFUNCTION("""COMPUTED_VALUE"""),"16GB")</f>
        <v>16GB</v>
      </c>
      <c r="Q172" s="23">
        <f t="shared" si="1"/>
        <v>1902.94</v>
      </c>
      <c r="R172" s="22">
        <f t="shared" si="2"/>
        <v>4</v>
      </c>
      <c r="S172" s="23">
        <f t="shared" si="3"/>
        <v>7611.76</v>
      </c>
      <c r="T172" s="22" t="str">
        <f>IFERROR(__xludf.DUMMYFUNCTION("PROPER(TRIM(
  LET(
    texto1, REGEXREPLACE(G172,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"),"Laura Báez")</f>
        <v>Laura Báez</v>
      </c>
      <c r="U172" s="22" t="str">
        <f t="shared" si="4"/>
        <v>7a27100e-236d-45f0-952e-b7c838d737a2</v>
      </c>
      <c r="V172" s="24" t="str">
        <f t="shared" si="5"/>
        <v>Tablet Pro 16GB</v>
      </c>
    </row>
    <row r="173" ht="15.75" customHeight="1">
      <c r="A173" s="6">
        <v>45595.0</v>
      </c>
      <c r="B173" s="2" t="s">
        <v>38</v>
      </c>
      <c r="C173" s="2" t="s">
        <v>500</v>
      </c>
      <c r="D173" s="7">
        <v>2317.48</v>
      </c>
      <c r="E173" s="2">
        <v>1.0</v>
      </c>
      <c r="F173" s="7">
        <v>2317.48</v>
      </c>
      <c r="G173" s="2" t="s">
        <v>717</v>
      </c>
      <c r="H173" s="2" t="s">
        <v>718</v>
      </c>
      <c r="I173" s="2" t="s">
        <v>719</v>
      </c>
      <c r="K173" s="25" t="str">
        <f>IFERROR(__xludf.DUMMYFUNCTION("IF(ISBLANK(A173),
  """",
  IF(ISNUMBER(A173),
    TEXT(A173,""dd/mm/yyyy""),
    IF(
      REGEXMATCH(TRIM(A173),""^\d{1,2}/\d{1,2}/\d{4}$""),
      TRIM(A173),
      IFERROR(
        TEXT(DATEVALUE(SUBSTITUTE(SUBSTITUTE(TRIM(A173),""-"",""/""),""."",""/"&amp;""")),""dd/mm/yyyy""),
        TRIM(A173)
      )
    )
  )
)
"),"30/10/2024")</f>
        <v>30/10/2024</v>
      </c>
      <c r="L173" s="26">
        <v>45595.0</v>
      </c>
      <c r="M173" s="27" t="str">
        <f>IFERROR(__xludf.DUMMYFUNCTION("PROPER(TRIM(
  REGEXREPLACE(
    REGEXREPLACE(
      SUBSTITUTE(SUBSTITUTE(SUBSTITUTE(SUBSTITUTE(SUBSTITUTE(SUBSTITUTE(SUBSTITUTE(SUBSTITUTE(SUBSTITUTE(SUBSTITUTE(SUBSTITUTE(
        B173,""√©"",""é""),""√°"",""á""),""√±"",""ñ""),""√≥"",""ó""),""√â"",""é"&amp;"""),""√Å"",""á""),""√ç"",""í""),""√Ç"",""Í""),""√Â"",""é""),""√≠"",""í""),""√º"",""ú""),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73" s="28" t="str">
        <f>IFERROR(__xludf.DUMMYFUNCTION("SPLIT(
  TRIM(
    SUBSTITUTE(
      SUBSTITUTE(
        SUBSTITUTE(
          SUBSTITUTE(
            C173,
            ""√©"", ""é""
          ),
          ""√±"", ""ñ""
        ),
        ""√°"", ""á""
      ),
      ""√≥"", ""ó""
    )
  ),
  ""-""
)
"),"Teléfono")</f>
        <v>Teléfono</v>
      </c>
      <c r="O173" s="28" t="str">
        <f>IFERROR(__xludf.DUMMYFUNCTION("""COMPUTED_VALUE"""),"Gama alta")</f>
        <v>Gama alta</v>
      </c>
      <c r="P173" s="28" t="str">
        <f>IFERROR(__xludf.DUMMYFUNCTION("""COMPUTED_VALUE"""),"32GB")</f>
        <v>32GB</v>
      </c>
      <c r="Q173" s="29">
        <f t="shared" si="1"/>
        <v>2317.48</v>
      </c>
      <c r="R173" s="28">
        <f t="shared" si="2"/>
        <v>1</v>
      </c>
      <c r="S173" s="29">
        <f t="shared" si="3"/>
        <v>2317.48</v>
      </c>
      <c r="T173" s="28" t="str">
        <f>IFERROR(__xludf.DUMMYFUNCTION("PROPER(TRIM(
  LET(
    texto1, REGEXREPLACE(G173,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"),"Elsa Alonso Rivera")</f>
        <v>Elsa Alonso Rivera</v>
      </c>
      <c r="U173" s="28" t="str">
        <f t="shared" si="4"/>
        <v>656f3966-abb8-497a-981c-4e2bec529c24</v>
      </c>
      <c r="V173" s="30" t="str">
        <f t="shared" si="5"/>
        <v>Teléfono Gama alta 32GB</v>
      </c>
    </row>
    <row r="174" ht="15.75" customHeight="1">
      <c r="A174" s="6">
        <v>45598.0</v>
      </c>
      <c r="B174" s="2" t="s">
        <v>16</v>
      </c>
      <c r="C174" s="2" t="s">
        <v>75</v>
      </c>
      <c r="D174" s="7">
        <v>1522.98</v>
      </c>
      <c r="E174" s="2">
        <v>1.0</v>
      </c>
      <c r="F174" s="7">
        <v>1522.98</v>
      </c>
      <c r="G174" s="2" t="s">
        <v>721</v>
      </c>
      <c r="H174" s="2" t="s">
        <v>722</v>
      </c>
      <c r="I174" s="2" t="s">
        <v>723</v>
      </c>
      <c r="K174" s="19" t="str">
        <f>IFERROR(__xludf.DUMMYFUNCTION("IF(ISBLANK(A174),
  """",
  IF(ISNUMBER(A174),
    TEXT(A174,""dd/mm/yyyy""),
    IF(
      REGEXMATCH(TRIM(A174),""^\d{1,2}/\d{1,2}/\d{4}$""),
      TRIM(A174),
      IFERROR(
        TEXT(DATEVALUE(SUBSTITUTE(SUBSTITUTE(TRIM(A174),""-"",""/""),""."",""/"&amp;""")),""dd/mm/yyyy""),
        TRIM(A174)
      )
    )
  )
)
"),"02/11/2024")</f>
        <v>02/11/2024</v>
      </c>
      <c r="L174" s="20">
        <v>45598.0</v>
      </c>
      <c r="M174" s="21" t="str">
        <f>IFERROR(__xludf.DUMMYFUNCTION("PROPER(TRIM(
  REGEXREPLACE(
    REGEXREPLACE(
      SUBSTITUTE(SUBSTITUTE(SUBSTITUTE(SUBSTITUTE(SUBSTITUTE(SUBSTITUTE(SUBSTITUTE(SUBSTITUTE(SUBSTITUTE(SUBSTITUTE(SUBSTITUTE(
        B174,""√©"",""é""),""√°"",""á""),""√±"",""ñ""),""√≥"",""ó""),""√â"",""é"&amp;"""),""√Å"",""á""),""√ç"",""í""),""√Ç"",""Í""),""√Â"",""é""),""√≠"",""í""),""√º"",""ú""),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74" s="22" t="str">
        <f>IFERROR(__xludf.DUMMYFUNCTION("SPLIT(
  TRIM(
    SUBSTITUTE(
      SUBSTITUTE(
        SUBSTITUTE(
          SUBSTITUTE(
            C174,
            ""√©"", ""é""
          ),
          ""√±"", ""ñ""
        ),
        ""√°"", ""á""
      ),
      ""√≥"", ""ó""
    )
  ),
  ""-""
)
"),"Tablet")</f>
        <v>Tablet</v>
      </c>
      <c r="O174" s="22" t="str">
        <f>IFERROR(__xludf.DUMMYFUNCTION("""COMPUTED_VALUE"""),"Pro")</f>
        <v>Pro</v>
      </c>
      <c r="P174" s="22" t="str">
        <f>IFERROR(__xludf.DUMMYFUNCTION("""COMPUTED_VALUE"""),"4GB")</f>
        <v>4GB</v>
      </c>
      <c r="Q174" s="23">
        <f t="shared" si="1"/>
        <v>1522.98</v>
      </c>
      <c r="R174" s="22">
        <f t="shared" si="2"/>
        <v>1</v>
      </c>
      <c r="S174" s="23">
        <f t="shared" si="3"/>
        <v>1522.98</v>
      </c>
      <c r="T174" s="22" t="str">
        <f>IFERROR(__xludf.DUMMYFUNCTION("PROPER(TRIM(
  LET(
    texto1, REGEXREPLACE(G174,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"),"Jerónimo Julia Peralta")</f>
        <v>Jerónimo Julia Peralta</v>
      </c>
      <c r="U174" s="22" t="str">
        <f t="shared" si="4"/>
        <v>c499769d-908e-43f6-bd30-c1817bd0deff</v>
      </c>
      <c r="V174" s="24" t="str">
        <f t="shared" si="5"/>
        <v>Tablet Pro 4GB</v>
      </c>
    </row>
    <row r="175" ht="15.75" customHeight="1">
      <c r="A175" s="6">
        <v>45657.0</v>
      </c>
      <c r="B175" s="2" t="s">
        <v>85</v>
      </c>
      <c r="C175" s="2" t="s">
        <v>500</v>
      </c>
      <c r="D175" s="7">
        <v>807.96</v>
      </c>
      <c r="E175" s="2">
        <v>2.0</v>
      </c>
      <c r="F175" s="7">
        <v>1615.92</v>
      </c>
      <c r="G175" s="2" t="s">
        <v>724</v>
      </c>
      <c r="H175" s="2" t="s">
        <v>725</v>
      </c>
      <c r="I175" s="2" t="s">
        <v>726</v>
      </c>
      <c r="K175" s="25" t="str">
        <f>IFERROR(__xludf.DUMMYFUNCTION("IF(ISBLANK(A175),
  """",
  IF(ISNUMBER(A175),
    TEXT(A175,""dd/mm/yyyy""),
    IF(
      REGEXMATCH(TRIM(A175),""^\d{1,2}/\d{1,2}/\d{4}$""),
      TRIM(A175),
      IFERROR(
        TEXT(DATEVALUE(SUBSTITUTE(SUBSTITUTE(TRIM(A175),""-"",""/""),""."",""/"&amp;""")),""dd/mm/yyyy""),
        TRIM(A175)
      )
    )
  )
)
"),"31/12/2024")</f>
        <v>31/12/2024</v>
      </c>
      <c r="L175" s="26">
        <v>45657.0</v>
      </c>
      <c r="M175" s="27" t="str">
        <f>IFERROR(__xludf.DUMMYFUNCTION("PROPER(TRIM(
  REGEXREPLACE(
    REGEXREPLACE(
      SUBSTITUTE(SUBSTITUTE(SUBSTITUTE(SUBSTITUTE(SUBSTITUTE(SUBSTITUTE(SUBSTITUTE(SUBSTITUTE(SUBSTITUTE(SUBSTITUTE(SUBSTITUTE(
        B175,""√©"",""é""),""√°"",""á""),""√±"",""ñ""),""√≥"",""ó""),""√â"",""é"&amp;"""),""√Å"",""á""),""√ç"",""í""),""√Ç"",""Í""),""√Â"",""é""),""√≠"",""í""),""√º"",""ú""),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75" s="28" t="str">
        <f>IFERROR(__xludf.DUMMYFUNCTION("SPLIT(
  TRIM(
    SUBSTITUTE(
      SUBSTITUTE(
        SUBSTITUTE(
          SUBSTITUTE(
            C175,
            ""√©"", ""é""
          ),
          ""√±"", ""ñ""
        ),
        ""√°"", ""á""
      ),
      ""√≥"", ""ó""
    )
  ),
  ""-""
)
"),"Teléfono")</f>
        <v>Teléfono</v>
      </c>
      <c r="O175" s="28" t="str">
        <f>IFERROR(__xludf.DUMMYFUNCTION("""COMPUTED_VALUE"""),"Gama alta")</f>
        <v>Gama alta</v>
      </c>
      <c r="P175" s="28" t="str">
        <f>IFERROR(__xludf.DUMMYFUNCTION("""COMPUTED_VALUE"""),"32GB")</f>
        <v>32GB</v>
      </c>
      <c r="Q175" s="29">
        <f t="shared" si="1"/>
        <v>807.96</v>
      </c>
      <c r="R175" s="28">
        <f t="shared" si="2"/>
        <v>2</v>
      </c>
      <c r="S175" s="29">
        <f t="shared" si="3"/>
        <v>1615.92</v>
      </c>
      <c r="T175" s="28" t="str">
        <f>IFERROR(__xludf.DUMMYFUNCTION("PROPER(TRIM(
  LET(
    texto1, REGEXREPLACE(G175,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"),"Olivia Cristobal Oquendo Nieves")</f>
        <v>Olivia Cristobal Oquendo Nieves</v>
      </c>
      <c r="U175" s="28" t="str">
        <f t="shared" si="4"/>
        <v>99a8722a-ede3-4080-9d85-450687f17be6</v>
      </c>
      <c r="V175" s="30" t="str">
        <f t="shared" si="5"/>
        <v>Teléfono Gama alta 32GB</v>
      </c>
    </row>
    <row r="176" ht="15.75" customHeight="1">
      <c r="A176" s="6" t="s">
        <v>727</v>
      </c>
      <c r="B176" s="2" t="s">
        <v>38</v>
      </c>
      <c r="C176" s="2" t="s">
        <v>385</v>
      </c>
      <c r="D176" s="7">
        <v>761.94</v>
      </c>
      <c r="E176" s="2">
        <v>4.0</v>
      </c>
      <c r="F176" s="7">
        <v>3047.76</v>
      </c>
      <c r="G176" s="2" t="s">
        <v>728</v>
      </c>
      <c r="H176" s="2" t="s">
        <v>729</v>
      </c>
      <c r="I176" s="2" t="s">
        <v>730</v>
      </c>
      <c r="K176" s="19" t="str">
        <f>IFERROR(__xludf.DUMMYFUNCTION("IF(ISBLANK(A176),
  """",
  IF(ISNUMBER(A176),
    TEXT(A176,""dd/mm/yyyy""),
    IF(
      REGEXMATCH(TRIM(A176),""^\d{1,2}/\d{1,2}/\d{4}$""),
      TRIM(A176),
      IFERROR(
        TEXT(DATEVALUE(SUBSTITUTE(SUBSTITUTE(TRIM(A176),""-"",""/""),""."",""/"&amp;""")),""dd/mm/yyyy""),
        TRIM(A176)
      )
    )
  )
)
"),"24/11/2024")</f>
        <v>24/11/2024</v>
      </c>
      <c r="L176" s="20">
        <v>45620.0</v>
      </c>
      <c r="M176" s="21" t="str">
        <f>IFERROR(__xludf.DUMMYFUNCTION("PROPER(TRIM(
  REGEXREPLACE(
    REGEXREPLACE(
      SUBSTITUTE(SUBSTITUTE(SUBSTITUTE(SUBSTITUTE(SUBSTITUTE(SUBSTITUTE(SUBSTITUTE(SUBSTITUTE(SUBSTITUTE(SUBSTITUTE(SUBSTITUTE(
        B176,""√©"",""é""),""√°"",""á""),""√±"",""ñ""),""√≥"",""ó""),""√â"",""é"&amp;"""),""√Å"",""á""),""√ç"",""í""),""√Ç"",""Í""),""√Â"",""é""),""√≠"",""í""),""√º"",""ú""),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76" s="22" t="str">
        <f>IFERROR(__xludf.DUMMYFUNCTION("SPLIT(
  TRIM(
    SUBSTITUTE(
      SUBSTITUTE(
        SUBSTITUTE(
          SUBSTITUTE(
            C176,
            ""√©"", ""é""
          ),
          ""√±"", ""ñ""
        ),
        ""√°"", ""á""
      ),
      ""√≥"", ""ó""
    )
  ),
  ""-""
)
"),"Tablet")</f>
        <v>Tablet</v>
      </c>
      <c r="O176" s="22" t="str">
        <f>IFERROR(__xludf.DUMMYFUNCTION("""COMPUTED_VALUE"""),"Estándar")</f>
        <v>Estándar</v>
      </c>
      <c r="P176" s="22" t="str">
        <f>IFERROR(__xludf.DUMMYFUNCTION("""COMPUTED_VALUE"""),"32GB")</f>
        <v>32GB</v>
      </c>
      <c r="Q176" s="23">
        <f t="shared" si="1"/>
        <v>761.94</v>
      </c>
      <c r="R176" s="22">
        <f t="shared" si="2"/>
        <v>4</v>
      </c>
      <c r="S176" s="23">
        <f t="shared" si="3"/>
        <v>3047.76</v>
      </c>
      <c r="T176" s="22" t="str">
        <f>IFERROR(__xludf.DUMMYFUNCTION("PROPER(TRIM(
  LET(
    texto1, REGEXREPLACE(G176,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"),"Wilfrido Evelio Marrero Sotelo")</f>
        <v>Wilfrido Evelio Marrero Sotelo</v>
      </c>
      <c r="U176" s="22" t="str">
        <f t="shared" si="4"/>
        <v>8c7eb2e6-d1ab-4158-93c5-a214d07681c6</v>
      </c>
      <c r="V176" s="24" t="str">
        <f t="shared" si="5"/>
        <v>Tablet Estándar 32GB</v>
      </c>
    </row>
    <row r="177" ht="15.75" customHeight="1">
      <c r="A177" s="6">
        <v>45570.0</v>
      </c>
      <c r="B177" s="2" t="s">
        <v>101</v>
      </c>
      <c r="C177" s="2" t="s">
        <v>176</v>
      </c>
      <c r="D177" s="7">
        <v>1898.32</v>
      </c>
      <c r="E177" s="2">
        <v>4.0</v>
      </c>
      <c r="F177" s="7">
        <v>7593.28</v>
      </c>
      <c r="G177" s="2" t="s">
        <v>732</v>
      </c>
      <c r="H177" s="2" t="s">
        <v>733</v>
      </c>
      <c r="I177" s="2" t="s">
        <v>734</v>
      </c>
      <c r="K177" s="25" t="str">
        <f>IFERROR(__xludf.DUMMYFUNCTION("IF(ISBLANK(A177),
  """",
  IF(ISNUMBER(A177),
    TEXT(A177,""dd/mm/yyyy""),
    IF(
      REGEXMATCH(TRIM(A177),""^\d{1,2}/\d{1,2}/\d{4}$""),
      TRIM(A177),
      IFERROR(
        TEXT(DATEVALUE(SUBSTITUTE(SUBSTITUTE(TRIM(A177),""-"",""/""),""."",""/"&amp;""")),""dd/mm/yyyy""),
        TRIM(A177)
      )
    )
  )
)
"),"05/10/2024")</f>
        <v>05/10/2024</v>
      </c>
      <c r="L177" s="26">
        <v>45570.0</v>
      </c>
      <c r="M177" s="27" t="str">
        <f>IFERROR(__xludf.DUMMYFUNCTION("PROPER(TRIM(
  REGEXREPLACE(
    REGEXREPLACE(
      SUBSTITUTE(SUBSTITUTE(SUBSTITUTE(SUBSTITUTE(SUBSTITUTE(SUBSTITUTE(SUBSTITUTE(SUBSTITUTE(SUBSTITUTE(SUBSTITUTE(SUBSTITUTE(
        B177,""√©"",""é""),""√°"",""á""),""√±"",""ñ""),""√≥"",""ó""),""√â"",""é"&amp;"""),""√Å"",""á""),""√ç"",""í""),""√Ç"",""Í""),""√Â"",""é""),""√≠"",""í""),""√º"",""ú""),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77" s="28" t="str">
        <f>IFERROR(__xludf.DUMMYFUNCTION("SPLIT(
  TRIM(
    SUBSTITUTE(
      SUBSTITUTE(
        SUBSTITUTE(
          SUBSTITUTE(
            C177,
            ""√©"", ""é""
          ),
          ""√±"", ""ñ""
        ),
        ""√°"", ""á""
      ),
      ""√≥"", ""ó""
    )
  ),
  ""-""
)
"),"Auriculares")</f>
        <v>Auriculares</v>
      </c>
      <c r="O177" s="28" t="str">
        <f>IFERROR(__xludf.DUMMYFUNCTION("""COMPUTED_VALUE"""),"Con cable")</f>
        <v>Con cable</v>
      </c>
      <c r="P177" s="28" t="str">
        <f>IFERROR(__xludf.DUMMYFUNCTION("""COMPUTED_VALUE"""),"8GB")</f>
        <v>8GB</v>
      </c>
      <c r="Q177" s="29">
        <f t="shared" si="1"/>
        <v>1898.32</v>
      </c>
      <c r="R177" s="28">
        <f t="shared" si="2"/>
        <v>4</v>
      </c>
      <c r="S177" s="29">
        <f t="shared" si="3"/>
        <v>7593.28</v>
      </c>
      <c r="T177" s="28" t="str">
        <f>IFERROR(__xludf.DUMMYFUNCTION("PROPER(TRIM(
  LET(
    texto1, REGEXREPLACE(G177,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"),"Daniela Padrón")</f>
        <v>Daniela Padrón</v>
      </c>
      <c r="U177" s="28" t="str">
        <f t="shared" si="4"/>
        <v>14722e2a-7971-43ee-ac45-587157e6f198</v>
      </c>
      <c r="V177" s="30" t="str">
        <f t="shared" si="5"/>
        <v>Auriculares Con cable 8GB</v>
      </c>
    </row>
    <row r="178" ht="15.75" customHeight="1">
      <c r="A178" s="6">
        <v>45616.0</v>
      </c>
      <c r="B178" s="2" t="s">
        <v>27</v>
      </c>
      <c r="C178" s="2" t="s">
        <v>385</v>
      </c>
      <c r="D178" s="7">
        <v>1145.32</v>
      </c>
      <c r="E178" s="2">
        <v>1.0</v>
      </c>
      <c r="F178" s="7">
        <v>1145.32</v>
      </c>
      <c r="G178" s="2" t="s">
        <v>735</v>
      </c>
      <c r="H178" s="2" t="s">
        <v>736</v>
      </c>
      <c r="I178" s="2" t="s">
        <v>737</v>
      </c>
      <c r="K178" s="19" t="str">
        <f>IFERROR(__xludf.DUMMYFUNCTION("IF(ISBLANK(A178),
  """",
  IF(ISNUMBER(A178),
    TEXT(A178,""dd/mm/yyyy""),
    IF(
      REGEXMATCH(TRIM(A178),""^\d{1,2}/\d{1,2}/\d{4}$""),
      TRIM(A178),
      IFERROR(
        TEXT(DATEVALUE(SUBSTITUTE(SUBSTITUTE(TRIM(A178),""-"",""/""),""."",""/"&amp;""")),""dd/mm/yyyy""),
        TRIM(A178)
      )
    )
  )
)
"),"20/11/2024")</f>
        <v>20/11/2024</v>
      </c>
      <c r="L178" s="20">
        <v>45616.0</v>
      </c>
      <c r="M178" s="21" t="str">
        <f>IFERROR(__xludf.DUMMYFUNCTION("PROPER(TRIM(
  REGEXREPLACE(
    REGEXREPLACE(
      SUBSTITUTE(SUBSTITUTE(SUBSTITUTE(SUBSTITUTE(SUBSTITUTE(SUBSTITUTE(SUBSTITUTE(SUBSTITUTE(SUBSTITUTE(SUBSTITUTE(SUBSTITUTE(
        B178,""√©"",""é""),""√°"",""á""),""√±"",""ñ""),""√≥"",""ó""),""√â"",""é"&amp;"""),""√Å"",""á""),""√ç"",""í""),""√Ç"",""Í""),""√Â"",""é""),""√≠"",""í""),""√º"",""ú""),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78" s="22" t="str">
        <f>IFERROR(__xludf.DUMMYFUNCTION("SPLIT(
  TRIM(
    SUBSTITUTE(
      SUBSTITUTE(
        SUBSTITUTE(
          SUBSTITUTE(
            C178,
            ""√©"", ""é""
          ),
          ""√±"", ""ñ""
        ),
        ""√°"", ""á""
      ),
      ""√≥"", ""ó""
    )
  ),
  ""-""
)
"),"Tablet")</f>
        <v>Tablet</v>
      </c>
      <c r="O178" s="22" t="str">
        <f>IFERROR(__xludf.DUMMYFUNCTION("""COMPUTED_VALUE"""),"Estándar")</f>
        <v>Estándar</v>
      </c>
      <c r="P178" s="22" t="str">
        <f>IFERROR(__xludf.DUMMYFUNCTION("""COMPUTED_VALUE"""),"32GB")</f>
        <v>32GB</v>
      </c>
      <c r="Q178" s="23">
        <f t="shared" si="1"/>
        <v>1145.32</v>
      </c>
      <c r="R178" s="22">
        <f t="shared" si="2"/>
        <v>1</v>
      </c>
      <c r="S178" s="23">
        <f t="shared" si="3"/>
        <v>1145.32</v>
      </c>
      <c r="T178" s="22" t="str">
        <f>IFERROR(__xludf.DUMMYFUNCTION("PROPER(TRIM(
  LET(
    texto1, REGEXREPLACE(G178,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"),"Andrea Altamirano")</f>
        <v>Andrea Altamirano</v>
      </c>
      <c r="U178" s="22" t="str">
        <f t="shared" si="4"/>
        <v>df7faa34-7de9-48f0-8ba1-2897a5b1e8fd</v>
      </c>
      <c r="V178" s="24" t="str">
        <f t="shared" si="5"/>
        <v>Tablet Estándar 32GB</v>
      </c>
    </row>
    <row r="179" ht="15.75" customHeight="1">
      <c r="A179" s="6">
        <v>45635.0</v>
      </c>
      <c r="B179" s="2" t="s">
        <v>85</v>
      </c>
      <c r="C179" s="2" t="s">
        <v>181</v>
      </c>
      <c r="D179" s="7">
        <v>1865.55</v>
      </c>
      <c r="E179" s="2">
        <v>2.0</v>
      </c>
      <c r="F179" s="7">
        <v>3731.1</v>
      </c>
      <c r="G179" s="2" t="s">
        <v>738</v>
      </c>
      <c r="H179" s="2" t="s">
        <v>739</v>
      </c>
      <c r="I179" s="2" t="s">
        <v>740</v>
      </c>
      <c r="K179" s="25" t="str">
        <f>IFERROR(__xludf.DUMMYFUNCTION("IF(ISBLANK(A179),
  """",
  IF(ISNUMBER(A179),
    TEXT(A179,""dd/mm/yyyy""),
    IF(
      REGEXMATCH(TRIM(A179),""^\d{1,2}/\d{1,2}/\d{4}$""),
      TRIM(A179),
      IFERROR(
        TEXT(DATEVALUE(SUBSTITUTE(SUBSTITUTE(TRIM(A179),""-"",""/""),""."",""/"&amp;""")),""dd/mm/yyyy""),
        TRIM(A179)
      )
    )
  )
)
"),"09/12/2024")</f>
        <v>09/12/2024</v>
      </c>
      <c r="L179" s="26">
        <v>45635.0</v>
      </c>
      <c r="M179" s="27" t="str">
        <f>IFERROR(__xludf.DUMMYFUNCTION("PROPER(TRIM(
  REGEXREPLACE(
    REGEXREPLACE(
      SUBSTITUTE(SUBSTITUTE(SUBSTITUTE(SUBSTITUTE(SUBSTITUTE(SUBSTITUTE(SUBSTITUTE(SUBSTITUTE(SUBSTITUTE(SUBSTITUTE(SUBSTITUTE(
        B179,""√©"",""é""),""√°"",""á""),""√±"",""ñ""),""√≥"",""ó""),""√â"",""é"&amp;"""),""√Å"",""á""),""√ç"",""í""),""√Ç"",""Í""),""√Â"",""é""),""√≠"",""í""),""√º"",""ú""),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79" s="28" t="str">
        <f>IFERROR(__xludf.DUMMYFUNCTION("SPLIT(
  TRIM(
    SUBSTITUTE(
      SUBSTITUTE(
        SUBSTITUTE(
          SUBSTITUTE(
            C179,
            ""√©"", ""é""
          ),
          ""√±"", ""ñ""
        ),
        ""√°"", ""á""
      ),
      ""√≥"", ""ó""
    )
  ),
  ""-""
)
"),"Laptop")</f>
        <v>Laptop</v>
      </c>
      <c r="O179" s="28" t="str">
        <f>IFERROR(__xludf.DUMMYFUNCTION("""COMPUTED_VALUE"""),"Ultraliviana")</f>
        <v>Ultraliviana</v>
      </c>
      <c r="P179" s="28" t="str">
        <f>IFERROR(__xludf.DUMMYFUNCTION("""COMPUTED_VALUE"""),"4GB")</f>
        <v>4GB</v>
      </c>
      <c r="Q179" s="29">
        <f t="shared" si="1"/>
        <v>1865.55</v>
      </c>
      <c r="R179" s="28">
        <f t="shared" si="2"/>
        <v>2</v>
      </c>
      <c r="S179" s="29">
        <f t="shared" si="3"/>
        <v>3731.1</v>
      </c>
      <c r="T179" s="28" t="str">
        <f>IFERROR(__xludf.DUMMYFUNCTION("PROPER(TRIM(
  LET(
    texto1, REGEXREPLACE(G179,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"),"Norma Celia Leiva Bañuelos")</f>
        <v>Norma Celia Leiva Bañuelos</v>
      </c>
      <c r="U179" s="28" t="str">
        <f t="shared" si="4"/>
        <v>a487c1e9-95f4-4b1d-b9e1-8ce364aaa62c</v>
      </c>
      <c r="V179" s="30" t="str">
        <f t="shared" si="5"/>
        <v>Laptop Ultraliviana 4GB</v>
      </c>
    </row>
    <row r="180" ht="15.75" customHeight="1">
      <c r="A180" s="6">
        <v>45602.0</v>
      </c>
      <c r="B180" s="2" t="s">
        <v>27</v>
      </c>
      <c r="C180" s="2" t="s">
        <v>33</v>
      </c>
      <c r="D180" s="7">
        <v>949.27</v>
      </c>
      <c r="E180" s="2">
        <v>2.0</v>
      </c>
      <c r="F180" s="7">
        <v>1898.54</v>
      </c>
      <c r="G180" s="2" t="s">
        <v>742</v>
      </c>
      <c r="H180" s="2" t="s">
        <v>743</v>
      </c>
      <c r="I180" s="2" t="s">
        <v>744</v>
      </c>
      <c r="K180" s="19" t="str">
        <f>IFERROR(__xludf.DUMMYFUNCTION("IF(ISBLANK(A180),
  """",
  IF(ISNUMBER(A180),
    TEXT(A180,""dd/mm/yyyy""),
    IF(
      REGEXMATCH(TRIM(A180),""^\d{1,2}/\d{1,2}/\d{4}$""),
      TRIM(A180),
      IFERROR(
        TEXT(DATEVALUE(SUBSTITUTE(SUBSTITUTE(TRIM(A180),""-"",""/""),""."",""/"&amp;""")),""dd/mm/yyyy""),
        TRIM(A180)
      )
    )
  )
)
"),"06/11/2024")</f>
        <v>06/11/2024</v>
      </c>
      <c r="L180" s="20">
        <v>45602.0</v>
      </c>
      <c r="M180" s="21" t="str">
        <f>IFERROR(__xludf.DUMMYFUNCTION("PROPER(TRIM(
  REGEXREPLACE(
    REGEXREPLACE(
      SUBSTITUTE(SUBSTITUTE(SUBSTITUTE(SUBSTITUTE(SUBSTITUTE(SUBSTITUTE(SUBSTITUTE(SUBSTITUTE(SUBSTITUTE(SUBSTITUTE(SUBSTITUTE(
        B180,""√©"",""é""),""√°"",""á""),""√±"",""ñ""),""√≥"",""ó""),""√â"",""é"&amp;"""),""√Å"",""á""),""√ç"",""í""),""√Ç"",""Í""),""√Â"",""é""),""√≠"",""í""),""√º"",""ú""),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80" s="22" t="str">
        <f>IFERROR(__xludf.DUMMYFUNCTION("SPLIT(
  TRIM(
    SUBSTITUTE(
      SUBSTITUTE(
        SUBSTITUTE(
          SUBSTITUTE(
            C180,
            ""√©"", ""é""
          ),
          ""√±"", ""ñ""
        ),
        ""√°"", ""á""
      ),
      ""√≥"", ""ó""
    )
  ),
  ""-""
)
"),"Teléfono")</f>
        <v>Teléfono</v>
      </c>
      <c r="O180" s="22" t="str">
        <f>IFERROR(__xludf.DUMMYFUNCTION("""COMPUTED_VALUE"""),"Gama alta")</f>
        <v>Gama alta</v>
      </c>
      <c r="P180" s="22" t="str">
        <f>IFERROR(__xludf.DUMMYFUNCTION("""COMPUTED_VALUE"""),"4GB")</f>
        <v>4GB</v>
      </c>
      <c r="Q180" s="23">
        <f t="shared" si="1"/>
        <v>949.27</v>
      </c>
      <c r="R180" s="22">
        <f t="shared" si="2"/>
        <v>2</v>
      </c>
      <c r="S180" s="23">
        <f t="shared" si="3"/>
        <v>1898.54</v>
      </c>
      <c r="T180" s="22" t="str">
        <f>IFERROR(__xludf.DUMMYFUNCTION("PROPER(TRIM(
  LET(
    texto1, REGEXREPLACE(G180,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"),"Esparta Gracia")</f>
        <v>Esparta Gracia</v>
      </c>
      <c r="U180" s="22" t="str">
        <f t="shared" si="4"/>
        <v>7d131cdc-d20b-4dba-ba8c-67f9adbbcf3b</v>
      </c>
      <c r="V180" s="24" t="str">
        <f t="shared" si="5"/>
        <v>Teléfono Gama alta 4GB</v>
      </c>
    </row>
    <row r="181" ht="15.75" customHeight="1">
      <c r="A181" s="6">
        <v>45647.0</v>
      </c>
      <c r="B181" s="2" t="s">
        <v>101</v>
      </c>
      <c r="C181" s="2" t="s">
        <v>250</v>
      </c>
      <c r="D181" s="7">
        <v>1944.73</v>
      </c>
      <c r="E181" s="2">
        <v>4.0</v>
      </c>
      <c r="F181" s="7">
        <v>7778.92</v>
      </c>
      <c r="G181" s="2" t="s">
        <v>746</v>
      </c>
      <c r="H181" s="2" t="s">
        <v>747</v>
      </c>
      <c r="I181" s="2" t="s">
        <v>748</v>
      </c>
      <c r="K181" s="25" t="str">
        <f>IFERROR(__xludf.DUMMYFUNCTION("IF(ISBLANK(A181),
  """",
  IF(ISNUMBER(A181),
    TEXT(A181,""dd/mm/yyyy""),
    IF(
      REGEXMATCH(TRIM(A181),""^\d{1,2}/\d{1,2}/\d{4}$""),
      TRIM(A181),
      IFERROR(
        TEXT(DATEVALUE(SUBSTITUTE(SUBSTITUTE(TRIM(A181),""-"",""/""),""."",""/"&amp;""")),""dd/mm/yyyy""),
        TRIM(A181)
      )
    )
  )
)
"),"21/12/2024")</f>
        <v>21/12/2024</v>
      </c>
      <c r="L181" s="26">
        <v>45647.0</v>
      </c>
      <c r="M181" s="27" t="str">
        <f>IFERROR(__xludf.DUMMYFUNCTION("PROPER(TRIM(
  REGEXREPLACE(
    REGEXREPLACE(
      SUBSTITUTE(SUBSTITUTE(SUBSTITUTE(SUBSTITUTE(SUBSTITUTE(SUBSTITUTE(SUBSTITUTE(SUBSTITUTE(SUBSTITUTE(SUBSTITUTE(SUBSTITUTE(
        B181,""√©"",""é""),""√°"",""á""),""√±"",""ñ""),""√≥"",""ó""),""√â"",""é"&amp;"""),""√Å"",""á""),""√ç"",""í""),""√Ç"",""Í""),""√Â"",""é""),""√≠"",""í""),""√º"",""ú""),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181" s="28" t="str">
        <f>IFERROR(__xludf.DUMMYFUNCTION("SPLIT(
  TRIM(
    SUBSTITUTE(
      SUBSTITUTE(
        SUBSTITUTE(
          SUBSTITUTE(
            C181,
            ""√©"", ""é""
          ),
          ""√±"", ""ñ""
        ),
        ""√°"", ""á""
      ),
      ""√≥"", ""ó""
    )
  ),
  ""-""
)
"),"Laptop")</f>
        <v>Laptop</v>
      </c>
      <c r="O181" s="28" t="str">
        <f>IFERROR(__xludf.DUMMYFUNCTION("""COMPUTED_VALUE"""),"Oficina")</f>
        <v>Oficina</v>
      </c>
      <c r="P181" s="28" t="str">
        <f>IFERROR(__xludf.DUMMYFUNCTION("""COMPUTED_VALUE"""),"32GB")</f>
        <v>32GB</v>
      </c>
      <c r="Q181" s="29">
        <f t="shared" si="1"/>
        <v>1944.73</v>
      </c>
      <c r="R181" s="28">
        <f t="shared" si="2"/>
        <v>4</v>
      </c>
      <c r="S181" s="29">
        <f t="shared" si="3"/>
        <v>7778.92</v>
      </c>
      <c r="T181" s="28" t="str">
        <f>IFERROR(__xludf.DUMMYFUNCTION("PROPER(TRIM(
  LET(
    texto1, REGEXREPLACE(G181,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 Mariana Cano")</f>
        <v>Jos Mariana Cano</v>
      </c>
      <c r="U181" s="28" t="str">
        <f t="shared" si="4"/>
        <v>f2788526-390a-447d-aadf-5ad11ba53e76</v>
      </c>
      <c r="V181" s="30" t="str">
        <f t="shared" si="5"/>
        <v>Laptop Oficina 32GB</v>
      </c>
    </row>
    <row r="182" ht="15.75" customHeight="1">
      <c r="A182" s="6">
        <v>45585.0</v>
      </c>
      <c r="B182" s="2" t="s">
        <v>50</v>
      </c>
      <c r="C182" s="2" t="s">
        <v>360</v>
      </c>
      <c r="D182" s="7">
        <v>1956.0</v>
      </c>
      <c r="E182" s="2">
        <v>5.0</v>
      </c>
      <c r="F182" s="7">
        <v>9780.0</v>
      </c>
      <c r="G182" s="2" t="s">
        <v>749</v>
      </c>
      <c r="H182" s="2" t="s">
        <v>750</v>
      </c>
      <c r="I182" s="2" t="s">
        <v>751</v>
      </c>
      <c r="K182" s="19" t="str">
        <f>IFERROR(__xludf.DUMMYFUNCTION("IF(ISBLANK(A182),
  """",
  IF(ISNUMBER(A182),
    TEXT(A182,""dd/mm/yyyy""),
    IF(
      REGEXMATCH(TRIM(A182),""^\d{1,2}/\d{1,2}/\d{4}$""),
      TRIM(A182),
      IFERROR(
        TEXT(DATEVALUE(SUBSTITUTE(SUBSTITUTE(TRIM(A182),""-"",""/""),""."",""/"&amp;""")),""dd/mm/yyyy""),
        TRIM(A182)
      )
    )
  )
)
"),"20/10/2024")</f>
        <v>20/10/2024</v>
      </c>
      <c r="L182" s="20">
        <v>45585.0</v>
      </c>
      <c r="M182" s="21" t="str">
        <f>IFERROR(__xludf.DUMMYFUNCTION("PROPER(TRIM(
  REGEXREPLACE(
    REGEXREPLACE(
      SUBSTITUTE(SUBSTITUTE(SUBSTITUTE(SUBSTITUTE(SUBSTITUTE(SUBSTITUTE(SUBSTITUTE(SUBSTITUTE(SUBSTITUTE(SUBSTITUTE(SUBSTITUTE(
        B182,""√©"",""é""),""√°"",""á""),""√±"",""ñ""),""√≥"",""ó""),""√â"",""é"&amp;"""),""√Å"",""á""),""√ç"",""í""),""√Ç"",""Í""),""√Â"",""é""),""√≠"",""í""),""√º"",""ú""),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82" s="22" t="str">
        <f>IFERROR(__xludf.DUMMYFUNCTION("SPLIT(
  TRIM(
    SUBSTITUTE(
      SUBSTITUTE(
        SUBSTITUTE(
          SUBSTITUTE(
            C182,
            ""√©"", ""é""
          ),
          ""√±"", ""ñ""
        ),
        ""√°"", ""á""
      ),
      ""√≥"", ""ó""
    )
  ),
  ""-""
)
"),"Tablet")</f>
        <v>Tablet</v>
      </c>
      <c r="O182" s="22" t="str">
        <f>IFERROR(__xludf.DUMMYFUNCTION("""COMPUTED_VALUE"""),"Estándar")</f>
        <v>Estándar</v>
      </c>
      <c r="P182" s="22" t="str">
        <f>IFERROR(__xludf.DUMMYFUNCTION("""COMPUTED_VALUE"""),"8GB")</f>
        <v>8GB</v>
      </c>
      <c r="Q182" s="23">
        <f t="shared" si="1"/>
        <v>1956</v>
      </c>
      <c r="R182" s="22">
        <f t="shared" si="2"/>
        <v>5</v>
      </c>
      <c r="S182" s="23">
        <f t="shared" si="3"/>
        <v>9780</v>
      </c>
      <c r="T182" s="22" t="str">
        <f>IFERROR(__xludf.DUMMYFUNCTION("PROPER(TRIM(
  LET(
    texto1, REGEXREPLACE(G182,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"),"Nadia Fernando Guerra Arroyo")</f>
        <v>Nadia Fernando Guerra Arroyo</v>
      </c>
      <c r="U182" s="22" t="str">
        <f t="shared" si="4"/>
        <v>78bdd5ec-2c8a-49c9-918e-bfe3147b65c3</v>
      </c>
      <c r="V182" s="24" t="str">
        <f t="shared" si="5"/>
        <v>Tablet Estándar 8GB</v>
      </c>
    </row>
    <row r="183" ht="15.75" customHeight="1">
      <c r="A183" s="6">
        <v>45619.0</v>
      </c>
      <c r="B183" s="2" t="s">
        <v>50</v>
      </c>
      <c r="C183" s="2" t="s">
        <v>186</v>
      </c>
      <c r="D183" s="7">
        <v>1848.95</v>
      </c>
      <c r="E183" s="2">
        <v>3.0</v>
      </c>
      <c r="F183" s="7">
        <v>5546.85</v>
      </c>
      <c r="G183" s="2" t="s">
        <v>752</v>
      </c>
      <c r="H183" s="2" t="s">
        <v>753</v>
      </c>
      <c r="I183" s="2" t="s">
        <v>754</v>
      </c>
      <c r="K183" s="25" t="str">
        <f>IFERROR(__xludf.DUMMYFUNCTION("IF(ISBLANK(A183),
  """",
  IF(ISNUMBER(A183),
    TEXT(A183,""dd/mm/yyyy""),
    IF(
      REGEXMATCH(TRIM(A183),""^\d{1,2}/\d{1,2}/\d{4}$""),
      TRIM(A183),
      IFERROR(
        TEXT(DATEVALUE(SUBSTITUTE(SUBSTITUTE(TRIM(A183),""-"",""/""),""."",""/"&amp;""")),""dd/mm/yyyy""),
        TRIM(A183)
      )
    )
  )
)
"),"23/11/2024")</f>
        <v>23/11/2024</v>
      </c>
      <c r="L183" s="26">
        <v>45619.0</v>
      </c>
      <c r="M183" s="27" t="str">
        <f>IFERROR(__xludf.DUMMYFUNCTION("PROPER(TRIM(
  REGEXREPLACE(
    REGEXREPLACE(
      SUBSTITUTE(SUBSTITUTE(SUBSTITUTE(SUBSTITUTE(SUBSTITUTE(SUBSTITUTE(SUBSTITUTE(SUBSTITUTE(SUBSTITUTE(SUBSTITUTE(SUBSTITUTE(
        B183,""√©"",""é""),""√°"",""á""),""√±"",""ñ""),""√≥"",""ó""),""√â"",""é"&amp;"""),""√Å"",""á""),""√ç"",""í""),""√Ç"",""Í""),""√Â"",""é""),""√≠"",""í""),""√º"",""ú""),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83" s="28" t="str">
        <f>IFERROR(__xludf.DUMMYFUNCTION("SPLIT(
  TRIM(
    SUBSTITUTE(
      SUBSTITUTE(
        SUBSTITUTE(
          SUBSTITUTE(
            C183,
            ""√©"", ""é""
          ),
          ""√±"", ""ñ""
        ),
        ""√°"", ""á""
      ),
      ""√≥"", ""ó""
    )
  ),
  ""-""
)
"),"Tablet")</f>
        <v>Tablet</v>
      </c>
      <c r="O183" s="28" t="str">
        <f>IFERROR(__xludf.DUMMYFUNCTION("""COMPUTED_VALUE"""),"Mini")</f>
        <v>Mini</v>
      </c>
      <c r="P183" s="28" t="str">
        <f>IFERROR(__xludf.DUMMYFUNCTION("""COMPUTED_VALUE"""),"8GB")</f>
        <v>8GB</v>
      </c>
      <c r="Q183" s="29">
        <f t="shared" si="1"/>
        <v>1848.95</v>
      </c>
      <c r="R183" s="28">
        <f t="shared" si="2"/>
        <v>3</v>
      </c>
      <c r="S183" s="29">
        <f t="shared" si="3"/>
        <v>5546.85</v>
      </c>
      <c r="T183" s="28" t="str">
        <f>IFERROR(__xludf.DUMMYFUNCTION("PROPER(TRIM(
  LET(
    texto1, REGEXREPLACE(G183,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"),"Berta Tania Méndez Lebrón")</f>
        <v>Berta Tania Méndez Lebrón</v>
      </c>
      <c r="U183" s="28" t="str">
        <f t="shared" si="4"/>
        <v>569d9a75-753b-41b8-9540-1368ec0acbe5</v>
      </c>
      <c r="V183" s="30" t="str">
        <f t="shared" si="5"/>
        <v>Tablet Mini 8GB</v>
      </c>
    </row>
    <row r="184" ht="15.75" customHeight="1">
      <c r="A184" s="6">
        <v>45642.0</v>
      </c>
      <c r="B184" s="2" t="s">
        <v>38</v>
      </c>
      <c r="C184" s="2" t="s">
        <v>162</v>
      </c>
      <c r="D184" s="7">
        <v>814.63</v>
      </c>
      <c r="E184" s="2">
        <v>1.0</v>
      </c>
      <c r="F184" s="7">
        <v>814.63</v>
      </c>
      <c r="G184" s="2" t="s">
        <v>755</v>
      </c>
      <c r="H184" s="2" t="s">
        <v>756</v>
      </c>
      <c r="I184" s="2" t="s">
        <v>757</v>
      </c>
      <c r="K184" s="19" t="str">
        <f>IFERROR(__xludf.DUMMYFUNCTION("IF(ISBLANK(A184),
  """",
  IF(ISNUMBER(A184),
    TEXT(A184,""dd/mm/yyyy""),
    IF(
      REGEXMATCH(TRIM(A184),""^\d{1,2}/\d{1,2}/\d{4}$""),
      TRIM(A184),
      IFERROR(
        TEXT(DATEVALUE(SUBSTITUTE(SUBSTITUTE(TRIM(A184),""-"",""/""),""."",""/"&amp;""")),""dd/mm/yyyy""),
        TRIM(A184)
      )
    )
  )
)
"),"16/12/2024")</f>
        <v>16/12/2024</v>
      </c>
      <c r="L184" s="20">
        <v>45642.0</v>
      </c>
      <c r="M184" s="21" t="str">
        <f>IFERROR(__xludf.DUMMYFUNCTION("PROPER(TRIM(
  REGEXREPLACE(
    REGEXREPLACE(
      SUBSTITUTE(SUBSTITUTE(SUBSTITUTE(SUBSTITUTE(SUBSTITUTE(SUBSTITUTE(SUBSTITUTE(SUBSTITUTE(SUBSTITUTE(SUBSTITUTE(SUBSTITUTE(
        B184,""√©"",""é""),""√°"",""á""),""√±"",""ñ""),""√≥"",""ó""),""√â"",""é"&amp;"""),""√Å"",""á""),""√ç"",""í""),""√Ç"",""Í""),""√Â"",""é""),""√≠"",""í""),""√º"",""ú""),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84" s="22" t="str">
        <f>IFERROR(__xludf.DUMMYFUNCTION("SPLIT(
  TRIM(
    SUBSTITUTE(
      SUBSTITUTE(
        SUBSTITUTE(
          SUBSTITUTE(
            C184,
            ""√©"", ""é""
          ),
          ""√±"", ""ñ""
        ),
        ""√°"", ""á""
      ),
      ""√≥"", ""ó""
    )
  ),
  ""-""
)
"),"Teléfono")</f>
        <v>Teléfono</v>
      </c>
      <c r="O184" s="22" t="str">
        <f>IFERROR(__xludf.DUMMYFUNCTION("""COMPUTED_VALUE"""),"Gama alta")</f>
        <v>Gama alta</v>
      </c>
      <c r="P184" s="22" t="str">
        <f>IFERROR(__xludf.DUMMYFUNCTION("""COMPUTED_VALUE"""),"16GB")</f>
        <v>16GB</v>
      </c>
      <c r="Q184" s="23">
        <f t="shared" si="1"/>
        <v>814.63</v>
      </c>
      <c r="R184" s="22">
        <f t="shared" si="2"/>
        <v>1</v>
      </c>
      <c r="S184" s="23">
        <f t="shared" si="3"/>
        <v>814.63</v>
      </c>
      <c r="T184" s="22" t="str">
        <f>IFERROR(__xludf.DUMMYFUNCTION("PROPER(TRIM(
  LET(
    texto1, REGEXREPLACE(G184,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"),"Germán Crespo Leyva")</f>
        <v>Germán Crespo Leyva</v>
      </c>
      <c r="U184" s="22" t="str">
        <f t="shared" si="4"/>
        <v>0514f6bb-c61e-409d-8985-bc35bb86f4af</v>
      </c>
      <c r="V184" s="24" t="str">
        <f t="shared" si="5"/>
        <v>Teléfono Gama alta 16GB</v>
      </c>
    </row>
    <row r="185" ht="15.75" customHeight="1">
      <c r="A185" s="6">
        <v>45579.0</v>
      </c>
      <c r="B185" s="2" t="s">
        <v>16</v>
      </c>
      <c r="C185" s="2" t="s">
        <v>55</v>
      </c>
      <c r="D185" s="7">
        <v>120.94</v>
      </c>
      <c r="E185" s="2">
        <v>3.0</v>
      </c>
      <c r="F185" s="32"/>
      <c r="G185" s="2" t="s">
        <v>759</v>
      </c>
      <c r="H185" s="2" t="s">
        <v>760</v>
      </c>
      <c r="I185" s="2" t="s">
        <v>761</v>
      </c>
      <c r="K185" s="25" t="str">
        <f>IFERROR(__xludf.DUMMYFUNCTION("IF(ISBLANK(A185),
  """",
  IF(ISNUMBER(A185),
    TEXT(A185,""dd/mm/yyyy""),
    IF(
      REGEXMATCH(TRIM(A185),""^\d{1,2}/\d{1,2}/\d{4}$""),
      TRIM(A185),
      IFERROR(
        TEXT(DATEVALUE(SUBSTITUTE(SUBSTITUTE(TRIM(A185),""-"",""/""),""."",""/"&amp;""")),""dd/mm/yyyy""),
        TRIM(A185)
      )
    )
  )
)
"),"14/10/2024")</f>
        <v>14/10/2024</v>
      </c>
      <c r="L185" s="26">
        <v>45579.0</v>
      </c>
      <c r="M185" s="27" t="str">
        <f>IFERROR(__xludf.DUMMYFUNCTION("PROPER(TRIM(
  REGEXREPLACE(
    REGEXREPLACE(
      SUBSTITUTE(SUBSTITUTE(SUBSTITUTE(SUBSTITUTE(SUBSTITUTE(SUBSTITUTE(SUBSTITUTE(SUBSTITUTE(SUBSTITUTE(SUBSTITUTE(SUBSTITUTE(
        B185,""√©"",""é""),""√°"",""á""),""√±"",""ñ""),""√≥"",""ó""),""√â"",""é"&amp;"""),""√Å"",""á""),""√ç"",""í""),""√Ç"",""Í""),""√Â"",""é""),""√≠"",""í""),""√º"",""ú""),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185" s="28" t="str">
        <f>IFERROR(__xludf.DUMMYFUNCTION("SPLIT(
  TRIM(
    SUBSTITUTE(
      SUBSTITUTE(
        SUBSTITUTE(
          SUBSTITUTE(
            C185,
            ""√©"", ""é""
          ),
          ""√±"", ""ñ""
        ),
        ""√°"", ""á""
      ),
      ""√≥"", ""ó""
    )
  ),
  ""-""
)
"),"Laptop")</f>
        <v>Laptop</v>
      </c>
      <c r="O185" s="28" t="str">
        <f>IFERROR(__xludf.DUMMYFUNCTION("""COMPUTED_VALUE"""),"Ultraliviana")</f>
        <v>Ultraliviana</v>
      </c>
      <c r="P185" s="28" t="str">
        <f>IFERROR(__xludf.DUMMYFUNCTION("""COMPUTED_VALUE"""),"16GB")</f>
        <v>16GB</v>
      </c>
      <c r="Q185" s="29">
        <f t="shared" si="1"/>
        <v>120.94</v>
      </c>
      <c r="R185" s="28">
        <f t="shared" si="2"/>
        <v>3</v>
      </c>
      <c r="S185" s="29" t="str">
        <f t="shared" si="3"/>
        <v>0</v>
      </c>
      <c r="T185" s="28" t="str">
        <f>IFERROR(__xludf.DUMMYFUNCTION("PROPER(TRIM(
  LET(
    texto1, REGEXREPLACE(G185,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"),"Esmeralda Bañuelos")</f>
        <v>Esmeralda Bañuelos</v>
      </c>
      <c r="U185" s="28" t="str">
        <f t="shared" si="4"/>
        <v>4a70ae74-59ef-4f8f-98ee-d8fff858e22d</v>
      </c>
      <c r="V185" s="30" t="str">
        <f t="shared" si="5"/>
        <v>Laptop Ultraliviana 16GB</v>
      </c>
    </row>
    <row r="186" ht="15.75" customHeight="1">
      <c r="A186" s="6">
        <v>45595.0</v>
      </c>
      <c r="B186" s="2" t="s">
        <v>85</v>
      </c>
      <c r="C186" s="2" t="s">
        <v>186</v>
      </c>
      <c r="D186" s="7">
        <v>797.71</v>
      </c>
      <c r="E186" s="2">
        <v>1.0</v>
      </c>
      <c r="F186" s="7">
        <v>797.71</v>
      </c>
      <c r="G186" s="2" t="s">
        <v>763</v>
      </c>
      <c r="H186" s="2" t="s">
        <v>764</v>
      </c>
      <c r="I186" s="2" t="s">
        <v>765</v>
      </c>
      <c r="K186" s="19" t="str">
        <f>IFERROR(__xludf.DUMMYFUNCTION("IF(ISBLANK(A186),
  """",
  IF(ISNUMBER(A186),
    TEXT(A186,""dd/mm/yyyy""),
    IF(
      REGEXMATCH(TRIM(A186),""^\d{1,2}/\d{1,2}/\d{4}$""),
      TRIM(A186),
      IFERROR(
        TEXT(DATEVALUE(SUBSTITUTE(SUBSTITUTE(TRIM(A186),""-"",""/""),""."",""/"&amp;""")),""dd/mm/yyyy""),
        TRIM(A186)
      )
    )
  )
)
"),"30/10/2024")</f>
        <v>30/10/2024</v>
      </c>
      <c r="L186" s="20">
        <v>45595.0</v>
      </c>
      <c r="M186" s="21" t="str">
        <f>IFERROR(__xludf.DUMMYFUNCTION("PROPER(TRIM(
  REGEXREPLACE(
    REGEXREPLACE(
      SUBSTITUTE(SUBSTITUTE(SUBSTITUTE(SUBSTITUTE(SUBSTITUTE(SUBSTITUTE(SUBSTITUTE(SUBSTITUTE(SUBSTITUTE(SUBSTITUTE(SUBSTITUTE(
        B186,""√©"",""é""),""√°"",""á""),""√±"",""ñ""),""√≥"",""ó""),""√â"",""é"&amp;"""),""√Å"",""á""),""√ç"",""í""),""√Ç"",""Í""),""√Â"",""é""),""√≠"",""í""),""√º"",""ú""),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86" s="22" t="str">
        <f>IFERROR(__xludf.DUMMYFUNCTION("SPLIT(
  TRIM(
    SUBSTITUTE(
      SUBSTITUTE(
        SUBSTITUTE(
          SUBSTITUTE(
            C186,
            ""√©"", ""é""
          ),
          ""√±"", ""ñ""
        ),
        ""√°"", ""á""
      ),
      ""√≥"", ""ó""
    )
  ),
  ""-""
)
"),"Tablet")</f>
        <v>Tablet</v>
      </c>
      <c r="O186" s="22" t="str">
        <f>IFERROR(__xludf.DUMMYFUNCTION("""COMPUTED_VALUE"""),"Mini")</f>
        <v>Mini</v>
      </c>
      <c r="P186" s="22" t="str">
        <f>IFERROR(__xludf.DUMMYFUNCTION("""COMPUTED_VALUE"""),"8GB")</f>
        <v>8GB</v>
      </c>
      <c r="Q186" s="23">
        <f t="shared" si="1"/>
        <v>797.71</v>
      </c>
      <c r="R186" s="22">
        <f t="shared" si="2"/>
        <v>1</v>
      </c>
      <c r="S186" s="23">
        <f t="shared" si="3"/>
        <v>797.71</v>
      </c>
      <c r="T186" s="22" t="str">
        <f>IFERROR(__xludf.DUMMYFUNCTION("PROPER(TRIM(
  LET(
    texto1, REGEXREPLACE(G186,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"),"Concepción Isabel Becerra Del Valle")</f>
        <v>Concepción Isabel Becerra Del Valle</v>
      </c>
      <c r="U186" s="22" t="str">
        <f t="shared" si="4"/>
        <v>a98bfa4e-dd81-401d-b806-a98b5c514056</v>
      </c>
      <c r="V186" s="24" t="str">
        <f t="shared" si="5"/>
        <v>Tablet Mini 8GB</v>
      </c>
    </row>
    <row r="187" ht="15.75" customHeight="1">
      <c r="A187" s="6">
        <v>45604.0</v>
      </c>
      <c r="B187" s="2" t="s">
        <v>38</v>
      </c>
      <c r="C187" s="2" t="s">
        <v>116</v>
      </c>
      <c r="D187" s="7">
        <v>762.46</v>
      </c>
      <c r="E187" s="2">
        <v>1.0</v>
      </c>
      <c r="F187" s="7">
        <v>762.46</v>
      </c>
      <c r="G187" s="2" t="s">
        <v>766</v>
      </c>
      <c r="H187" s="2" t="s">
        <v>767</v>
      </c>
      <c r="I187" s="2" t="s">
        <v>768</v>
      </c>
      <c r="K187" s="25" t="str">
        <f>IFERROR(__xludf.DUMMYFUNCTION("IF(ISBLANK(A187),
  """",
  IF(ISNUMBER(A187),
    TEXT(A187,""dd/mm/yyyy""),
    IF(
      REGEXMATCH(TRIM(A187),""^\d{1,2}/\d{1,2}/\d{4}$""),
      TRIM(A187),
      IFERROR(
        TEXT(DATEVALUE(SUBSTITUTE(SUBSTITUTE(TRIM(A187),""-"",""/""),""."",""/"&amp;""")),""dd/mm/yyyy""),
        TRIM(A187)
      )
    )
  )
)
"),"08/11/2024")</f>
        <v>08/11/2024</v>
      </c>
      <c r="L187" s="26">
        <v>45604.0</v>
      </c>
      <c r="M187" s="27" t="str">
        <f>IFERROR(__xludf.DUMMYFUNCTION("PROPER(TRIM(
  REGEXREPLACE(
    REGEXREPLACE(
      SUBSTITUTE(SUBSTITUTE(SUBSTITUTE(SUBSTITUTE(SUBSTITUTE(SUBSTITUTE(SUBSTITUTE(SUBSTITUTE(SUBSTITUTE(SUBSTITUTE(SUBSTITUTE(
        B187,""√©"",""é""),""√°"",""á""),""√±"",""ñ""),""√≥"",""ó""),""√â"",""é"&amp;"""),""√Å"",""á""),""√ç"",""í""),""√Ç"",""Í""),""√Â"",""é""),""√≠"",""í""),""√º"",""ú""),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87" s="28" t="str">
        <f>IFERROR(__xludf.DUMMYFUNCTION("SPLIT(
  TRIM(
    SUBSTITUTE(
      SUBSTITUTE(
        SUBSTITUTE(
          SUBSTITUTE(
            C187,
            ""√©"", ""é""
          ),
          ""√±"", ""ñ""
        ),
        ""√°"", ""á""
      ),
      ""√≥"", ""ó""
    )
  ),
  ""-""
)
"),"Teléfono")</f>
        <v>Teléfono</v>
      </c>
      <c r="O187" s="28" t="str">
        <f>IFERROR(__xludf.DUMMYFUNCTION("""COMPUTED_VALUE"""),"Gama media")</f>
        <v>Gama media</v>
      </c>
      <c r="P187" s="28" t="str">
        <f>IFERROR(__xludf.DUMMYFUNCTION("""COMPUTED_VALUE"""),"4GB")</f>
        <v>4GB</v>
      </c>
      <c r="Q187" s="29">
        <f t="shared" si="1"/>
        <v>762.46</v>
      </c>
      <c r="R187" s="28">
        <f t="shared" si="2"/>
        <v>1</v>
      </c>
      <c r="S187" s="29">
        <f t="shared" si="3"/>
        <v>762.46</v>
      </c>
      <c r="T187" s="28" t="str">
        <f>IFERROR(__xludf.DUMMYFUNCTION("PROPER(TRIM(
  LET(
    texto1, REGEXREPLACE(G187,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"),"Miguel Luis Girón Montañez")</f>
        <v>Miguel Luis Girón Montañez</v>
      </c>
      <c r="U187" s="28" t="str">
        <f t="shared" si="4"/>
        <v>d59afe7f-49e3-483a-97f5-ce81f54d250f</v>
      </c>
      <c r="V187" s="30" t="str">
        <f t="shared" si="5"/>
        <v>Teléfono Gama media 4GB</v>
      </c>
    </row>
    <row r="188" ht="15.75" customHeight="1">
      <c r="A188" s="6">
        <v>45652.0</v>
      </c>
      <c r="B188" s="2" t="s">
        <v>38</v>
      </c>
      <c r="C188" s="2" t="s">
        <v>508</v>
      </c>
      <c r="D188" s="7">
        <v>1794.09</v>
      </c>
      <c r="E188" s="2">
        <v>5.0</v>
      </c>
      <c r="F188" s="7">
        <v>8970.45</v>
      </c>
      <c r="G188" s="2" t="s">
        <v>770</v>
      </c>
      <c r="H188" s="2" t="s">
        <v>771</v>
      </c>
      <c r="I188" s="2" t="s">
        <v>772</v>
      </c>
      <c r="K188" s="19" t="str">
        <f>IFERROR(__xludf.DUMMYFUNCTION("IF(ISBLANK(A188),
  """",
  IF(ISNUMBER(A188),
    TEXT(A188,""dd/mm/yyyy""),
    IF(
      REGEXMATCH(TRIM(A188),""^\d{1,2}/\d{1,2}/\d{4}$""),
      TRIM(A188),
      IFERROR(
        TEXT(DATEVALUE(SUBSTITUTE(SUBSTITUTE(TRIM(A188),""-"",""/""),""."",""/"&amp;""")),""dd/mm/yyyy""),
        TRIM(A188)
      )
    )
  )
)
"),"26/12/2024")</f>
        <v>26/12/2024</v>
      </c>
      <c r="L188" s="20">
        <v>45652.0</v>
      </c>
      <c r="M188" s="21" t="str">
        <f>IFERROR(__xludf.DUMMYFUNCTION("PROPER(TRIM(
  REGEXREPLACE(
    REGEXREPLACE(
      SUBSTITUTE(SUBSTITUTE(SUBSTITUTE(SUBSTITUTE(SUBSTITUTE(SUBSTITUTE(SUBSTITUTE(SUBSTITUTE(SUBSTITUTE(SUBSTITUTE(SUBSTITUTE(
        B188,""√©"",""é""),""√°"",""á""),""√±"",""ñ""),""√≥"",""ó""),""√â"",""é"&amp;"""),""√Å"",""á""),""√ç"",""í""),""√Ç"",""Í""),""√Â"",""é""),""√≠"",""í""),""√º"",""ú""),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88" s="22" t="str">
        <f>IFERROR(__xludf.DUMMYFUNCTION("SPLIT(
  TRIM(
    SUBSTITUTE(
      SUBSTITUTE(
        SUBSTITUTE(
          SUBSTITUTE(
            C188,
            ""√©"", ""é""
          ),
          ""√±"", ""ñ""
        ),
        ""√°"", ""á""
      ),
      ""√≥"", ""ó""
    )
  ),
  ""-""
)
"),"Auriculares")</f>
        <v>Auriculares</v>
      </c>
      <c r="O188" s="22" t="str">
        <f>IFERROR(__xludf.DUMMYFUNCTION("""COMPUTED_VALUE"""),"Cancelación de ruido")</f>
        <v>Cancelación de ruido</v>
      </c>
      <c r="P188" s="22" t="str">
        <f>IFERROR(__xludf.DUMMYFUNCTION("""COMPUTED_VALUE"""),"16GB")</f>
        <v>16GB</v>
      </c>
      <c r="Q188" s="23">
        <f t="shared" si="1"/>
        <v>1794.09</v>
      </c>
      <c r="R188" s="22">
        <f t="shared" si="2"/>
        <v>5</v>
      </c>
      <c r="S188" s="23">
        <f t="shared" si="3"/>
        <v>8970.45</v>
      </c>
      <c r="T188" s="22" t="str">
        <f>IFERROR(__xludf.DUMMYFUNCTION("PROPER(TRIM(
  LET(
    texto1, REGEXREPLACE(G188,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"),"David Prado")</f>
        <v>David Prado</v>
      </c>
      <c r="U188" s="22" t="str">
        <f t="shared" si="4"/>
        <v>86dddca7-94b8-407d-9b43-bb0906ba81e6</v>
      </c>
      <c r="V188" s="24" t="str">
        <f t="shared" si="5"/>
        <v>Auriculares Cancelación de ruido 16GB</v>
      </c>
    </row>
    <row r="189" ht="15.75" customHeight="1">
      <c r="A189" s="6">
        <v>45627.0</v>
      </c>
      <c r="B189" s="2" t="s">
        <v>50</v>
      </c>
      <c r="C189" s="2" t="s">
        <v>311</v>
      </c>
      <c r="D189" s="7">
        <v>157.89</v>
      </c>
      <c r="E189" s="2">
        <v>1.0</v>
      </c>
      <c r="F189" s="7">
        <v>157.89</v>
      </c>
      <c r="G189" s="2" t="s">
        <v>774</v>
      </c>
      <c r="H189" s="2" t="s">
        <v>775</v>
      </c>
      <c r="I189" s="2" t="s">
        <v>776</v>
      </c>
      <c r="K189" s="25" t="str">
        <f>IFERROR(__xludf.DUMMYFUNCTION("IF(ISBLANK(A189),
  """",
  IF(ISNUMBER(A189),
    TEXT(A189,""dd/mm/yyyy""),
    IF(
      REGEXMATCH(TRIM(A189),""^\d{1,2}/\d{1,2}/\d{4}$""),
      TRIM(A189),
      IFERROR(
        TEXT(DATEVALUE(SUBSTITUTE(SUBSTITUTE(TRIM(A189),""-"",""/""),""."",""/"&amp;""")),""dd/mm/yyyy""),
        TRIM(A189)
      )
    )
  )
)
"),"01/12/2024")</f>
        <v>01/12/2024</v>
      </c>
      <c r="L189" s="26">
        <v>45627.0</v>
      </c>
      <c r="M189" s="27" t="str">
        <f>IFERROR(__xludf.DUMMYFUNCTION("PROPER(TRIM(
  REGEXREPLACE(
    REGEXREPLACE(
      SUBSTITUTE(SUBSTITUTE(SUBSTITUTE(SUBSTITUTE(SUBSTITUTE(SUBSTITUTE(SUBSTITUTE(SUBSTITUTE(SUBSTITUTE(SUBSTITUTE(SUBSTITUTE(
        B189,""√©"",""é""),""√°"",""á""),""√±"",""ñ""),""√≥"",""ó""),""√â"",""é"&amp;"""),""√Å"",""á""),""√ç"",""í""),""√Ç"",""Í""),""√Â"",""é""),""√≠"",""í""),""√º"",""ú""),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89" s="28" t="str">
        <f>IFERROR(__xludf.DUMMYFUNCTION("SPLIT(
  TRIM(
    SUBSTITUTE(
      SUBSTITUTE(
        SUBSTITUTE(
          SUBSTITUTE(
            C189,
            ""√©"", ""é""
          ),
          ""√±"", ""ñ""
        ),
        ""√°"", ""á""
      ),
      ""√≥"", ""ó""
    )
  ),
  ""-""
)
"),"Laptop")</f>
        <v>Laptop</v>
      </c>
      <c r="O189" s="28" t="str">
        <f>IFERROR(__xludf.DUMMYFUNCTION("""COMPUTED_VALUE"""),"Oficina")</f>
        <v>Oficina</v>
      </c>
      <c r="P189" s="28" t="str">
        <f>IFERROR(__xludf.DUMMYFUNCTION("""COMPUTED_VALUE"""),"4GB")</f>
        <v>4GB</v>
      </c>
      <c r="Q189" s="29">
        <f t="shared" si="1"/>
        <v>157.89</v>
      </c>
      <c r="R189" s="28">
        <f t="shared" si="2"/>
        <v>1</v>
      </c>
      <c r="S189" s="29">
        <f t="shared" si="3"/>
        <v>157.89</v>
      </c>
      <c r="T189" s="28" t="str">
        <f>IFERROR(__xludf.DUMMYFUNCTION("PROPER(TRIM(
  LET(
    texto1, REGEXREPLACE(G189,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 Venegas")</f>
        <v>Jos Venegas</v>
      </c>
      <c r="U189" s="28" t="str">
        <f t="shared" si="4"/>
        <v>f6a5ccaa-f8db-4293-9b11-932f3470afdf</v>
      </c>
      <c r="V189" s="30" t="str">
        <f t="shared" si="5"/>
        <v>Laptop Oficina 4GB</v>
      </c>
    </row>
    <row r="190" ht="15.75" customHeight="1">
      <c r="A190" s="6">
        <v>45599.0</v>
      </c>
      <c r="B190" s="2" t="s">
        <v>85</v>
      </c>
      <c r="C190" s="2" t="s">
        <v>245</v>
      </c>
      <c r="D190" s="7">
        <v>642.49</v>
      </c>
      <c r="E190" s="2">
        <v>4.0</v>
      </c>
      <c r="F190" s="7">
        <v>2569.96</v>
      </c>
      <c r="G190" s="2" t="s">
        <v>778</v>
      </c>
      <c r="H190" s="2" t="s">
        <v>779</v>
      </c>
      <c r="I190" s="2" t="s">
        <v>780</v>
      </c>
      <c r="K190" s="19" t="str">
        <f>IFERROR(__xludf.DUMMYFUNCTION("IF(ISBLANK(A190),
  """",
  IF(ISNUMBER(A190),
    TEXT(A190,""dd/mm/yyyy""),
    IF(
      REGEXMATCH(TRIM(A190),""^\d{1,2}/\d{1,2}/\d{4}$""),
      TRIM(A190),
      IFERROR(
        TEXT(DATEVALUE(SUBSTITUTE(SUBSTITUTE(TRIM(A190),""-"",""/""),""."",""/"&amp;""")),""dd/mm/yyyy""),
        TRIM(A190)
      )
    )
  )
)
"),"03/11/2024")</f>
        <v>03/11/2024</v>
      </c>
      <c r="L190" s="20">
        <v>45599.0</v>
      </c>
      <c r="M190" s="21" t="str">
        <f>IFERROR(__xludf.DUMMYFUNCTION("PROPER(TRIM(
  REGEXREPLACE(
    REGEXREPLACE(
      SUBSTITUTE(SUBSTITUTE(SUBSTITUTE(SUBSTITUTE(SUBSTITUTE(SUBSTITUTE(SUBSTITUTE(SUBSTITUTE(SUBSTITUTE(SUBSTITUTE(SUBSTITUTE(
        B190,""√©"",""é""),""√°"",""á""),""√±"",""ñ""),""√≥"",""ó""),""√â"",""é"&amp;"""),""√Å"",""á""),""√ç"",""í""),""√Ç"",""Í""),""√Â"",""é""),""√≠"",""í""),""√º"",""ú""),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90" s="22" t="str">
        <f>IFERROR(__xludf.DUMMYFUNCTION("SPLIT(
  TRIM(
    SUBSTITUTE(
      SUBSTITUTE(
        SUBSTITUTE(
          SUBSTITUTE(
            C190,
            ""√©"", ""é""
          ),
          ""√±"", ""ñ""
        ),
        ""√°"", ""á""
      ),
      ""√≥"", ""ó""
    )
  ),
  ""-""
)
"),"Teléfono")</f>
        <v>Teléfono</v>
      </c>
      <c r="O190" s="22" t="str">
        <f>IFERROR(__xludf.DUMMYFUNCTION("""COMPUTED_VALUE"""),"Gama baja")</f>
        <v>Gama baja</v>
      </c>
      <c r="P190" s="22" t="str">
        <f>IFERROR(__xludf.DUMMYFUNCTION("""COMPUTED_VALUE"""),"32GB")</f>
        <v>32GB</v>
      </c>
      <c r="Q190" s="23">
        <f t="shared" si="1"/>
        <v>642.49</v>
      </c>
      <c r="R190" s="22">
        <f t="shared" si="2"/>
        <v>4</v>
      </c>
      <c r="S190" s="23">
        <f t="shared" si="3"/>
        <v>2569.96</v>
      </c>
      <c r="T190" s="22" t="str">
        <f>IFERROR(__xludf.DUMMYFUNCTION("PROPER(TRIM(
  LET(
    texto1, REGEXREPLACE(G190,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"),"Antonio Juana Soria")</f>
        <v>Antonio Juana Soria</v>
      </c>
      <c r="U190" s="22" t="str">
        <f t="shared" si="4"/>
        <v>8dbce9a8-4e8c-41c7-a836-12fe71b7ad0a</v>
      </c>
      <c r="V190" s="24" t="str">
        <f t="shared" si="5"/>
        <v>Teléfono Gama baja 32GB</v>
      </c>
    </row>
    <row r="191" ht="15.75" customHeight="1">
      <c r="A191" s="6">
        <v>45582.0</v>
      </c>
      <c r="B191" s="2" t="s">
        <v>50</v>
      </c>
      <c r="C191" s="2" t="s">
        <v>17</v>
      </c>
      <c r="D191" s="7">
        <v>798.65</v>
      </c>
      <c r="E191" s="2">
        <v>1.0</v>
      </c>
      <c r="F191" s="7">
        <v>798.65</v>
      </c>
      <c r="G191" s="2" t="s">
        <v>782</v>
      </c>
      <c r="H191" s="2" t="s">
        <v>783</v>
      </c>
      <c r="I191" s="2" t="s">
        <v>784</v>
      </c>
      <c r="K191" s="25" t="str">
        <f>IFERROR(__xludf.DUMMYFUNCTION("IF(ISBLANK(A191),
  """",
  IF(ISNUMBER(A191),
    TEXT(A191,""dd/mm/yyyy""),
    IF(
      REGEXMATCH(TRIM(A191),""^\d{1,2}/\d{1,2}/\d{4}$""),
      TRIM(A191),
      IFERROR(
        TEXT(DATEVALUE(SUBSTITUTE(SUBSTITUTE(TRIM(A191),""-"",""/""),""."",""/"&amp;""")),""dd/mm/yyyy""),
        TRIM(A191)
      )
    )
  )
)
"),"17/10/2024")</f>
        <v>17/10/2024</v>
      </c>
      <c r="L191" s="26">
        <v>45582.0</v>
      </c>
      <c r="M191" s="27" t="str">
        <f>IFERROR(__xludf.DUMMYFUNCTION("PROPER(TRIM(
  REGEXREPLACE(
    REGEXREPLACE(
      SUBSTITUTE(SUBSTITUTE(SUBSTITUTE(SUBSTITUTE(SUBSTITUTE(SUBSTITUTE(SUBSTITUTE(SUBSTITUTE(SUBSTITUTE(SUBSTITUTE(SUBSTITUTE(
        B191,""√©"",""é""),""√°"",""á""),""√±"",""ñ""),""√≥"",""ó""),""√â"",""é"&amp;"""),""√Å"",""á""),""√ç"",""í""),""√Ç"",""Í""),""√Â"",""é""),""√≠"",""í""),""√º"",""ú""),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91" s="28" t="str">
        <f>IFERROR(__xludf.DUMMYFUNCTION("SPLIT(
  TRIM(
    SUBSTITUTE(
      SUBSTITUTE(
        SUBSTITUTE(
          SUBSTITUTE(
            C191,
            ""√©"", ""é""
          ),
          ""√±"", ""ñ""
        ),
        ""√°"", ""á""
      ),
      ""√≥"", ""ó""
    )
  ),
  ""-""
)
"),"Auriculares")</f>
        <v>Auriculares</v>
      </c>
      <c r="O191" s="28" t="str">
        <f>IFERROR(__xludf.DUMMYFUNCTION("""COMPUTED_VALUE"""),"Bluetooth")</f>
        <v>Bluetooth</v>
      </c>
      <c r="P191" s="28" t="str">
        <f>IFERROR(__xludf.DUMMYFUNCTION("""COMPUTED_VALUE"""),"8GB")</f>
        <v>8GB</v>
      </c>
      <c r="Q191" s="29">
        <f t="shared" si="1"/>
        <v>798.65</v>
      </c>
      <c r="R191" s="28">
        <f t="shared" si="2"/>
        <v>1</v>
      </c>
      <c r="S191" s="29">
        <f t="shared" si="3"/>
        <v>798.65</v>
      </c>
      <c r="T191" s="28" t="str">
        <f>IFERROR(__xludf.DUMMYFUNCTION("PROPER(TRIM(
  LET(
    texto1, REGEXREPLACE(G191,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"),"Rufino Lucero Urrutia")</f>
        <v>Rufino Lucero Urrutia</v>
      </c>
      <c r="U191" s="28" t="str">
        <f t="shared" si="4"/>
        <v>f34bc8a2-d539-45c5-a4cb-e23ab3ad1bf9</v>
      </c>
      <c r="V191" s="30" t="str">
        <f t="shared" si="5"/>
        <v>Auriculares Bluetooth 8GB</v>
      </c>
    </row>
    <row r="192" ht="15.75" customHeight="1">
      <c r="A192" s="6">
        <v>45614.0</v>
      </c>
      <c r="B192" s="2" t="s">
        <v>85</v>
      </c>
      <c r="C192" s="2" t="s">
        <v>508</v>
      </c>
      <c r="D192" s="7">
        <v>1533.19</v>
      </c>
      <c r="E192" s="2">
        <v>4.0</v>
      </c>
      <c r="F192" s="7">
        <v>6132.76</v>
      </c>
      <c r="G192" s="2" t="s">
        <v>786</v>
      </c>
      <c r="H192" s="2" t="s">
        <v>787</v>
      </c>
      <c r="I192" s="2" t="s">
        <v>788</v>
      </c>
      <c r="K192" s="19" t="str">
        <f>IFERROR(__xludf.DUMMYFUNCTION("IF(ISBLANK(A192),
  """",
  IF(ISNUMBER(A192),
    TEXT(A192,""dd/mm/yyyy""),
    IF(
      REGEXMATCH(TRIM(A192),""^\d{1,2}/\d{1,2}/\d{4}$""),
      TRIM(A192),
      IFERROR(
        TEXT(DATEVALUE(SUBSTITUTE(SUBSTITUTE(TRIM(A192),""-"",""/""),""."",""/"&amp;""")),""dd/mm/yyyy""),
        TRIM(A192)
      )
    )
  )
)
"),"18/11/2024")</f>
        <v>18/11/2024</v>
      </c>
      <c r="L192" s="20">
        <v>45614.0</v>
      </c>
      <c r="M192" s="21" t="str">
        <f>IFERROR(__xludf.DUMMYFUNCTION("PROPER(TRIM(
  REGEXREPLACE(
    REGEXREPLACE(
      SUBSTITUTE(SUBSTITUTE(SUBSTITUTE(SUBSTITUTE(SUBSTITUTE(SUBSTITUTE(SUBSTITUTE(SUBSTITUTE(SUBSTITUTE(SUBSTITUTE(SUBSTITUTE(
        B192,""√©"",""é""),""√°"",""á""),""√±"",""ñ""),""√≥"",""ó""),""√â"",""é"&amp;"""),""√Å"",""á""),""√ç"",""í""),""√Ç"",""Í""),""√Â"",""é""),""√≠"",""í""),""√º"",""ú""),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92" s="22" t="str">
        <f>IFERROR(__xludf.DUMMYFUNCTION("SPLIT(
  TRIM(
    SUBSTITUTE(
      SUBSTITUTE(
        SUBSTITUTE(
          SUBSTITUTE(
            C192,
            ""√©"", ""é""
          ),
          ""√±"", ""ñ""
        ),
        ""√°"", ""á""
      ),
      ""√≥"", ""ó""
    )
  ),
  ""-""
)
"),"Auriculares")</f>
        <v>Auriculares</v>
      </c>
      <c r="O192" s="22" t="str">
        <f>IFERROR(__xludf.DUMMYFUNCTION("""COMPUTED_VALUE"""),"Cancelación de ruido")</f>
        <v>Cancelación de ruido</v>
      </c>
      <c r="P192" s="22" t="str">
        <f>IFERROR(__xludf.DUMMYFUNCTION("""COMPUTED_VALUE"""),"16GB")</f>
        <v>16GB</v>
      </c>
      <c r="Q192" s="23">
        <f t="shared" si="1"/>
        <v>1533.19</v>
      </c>
      <c r="R192" s="22">
        <f t="shared" si="2"/>
        <v>4</v>
      </c>
      <c r="S192" s="23">
        <f t="shared" si="3"/>
        <v>6132.76</v>
      </c>
      <c r="T192" s="22" t="str">
        <f>IFERROR(__xludf.DUMMYFUNCTION("PROPER(TRIM(
  LET(
    texto1, REGEXREPLACE(G192,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"),"Jaqueline Velásquez Hidalgo")</f>
        <v>Jaqueline Velásquez Hidalgo</v>
      </c>
      <c r="U192" s="22" t="str">
        <f t="shared" si="4"/>
        <v>0bbe7dc7-b837-4dff-83eb-a691bf3d9337</v>
      </c>
      <c r="V192" s="24" t="str">
        <f t="shared" si="5"/>
        <v>Auriculares Cancelación de ruido 16GB</v>
      </c>
    </row>
    <row r="193" ht="15.75" customHeight="1">
      <c r="A193" s="6">
        <v>45638.0</v>
      </c>
      <c r="B193" s="2" t="s">
        <v>50</v>
      </c>
      <c r="C193" s="2" t="s">
        <v>250</v>
      </c>
      <c r="D193" s="7">
        <v>1247.13</v>
      </c>
      <c r="E193" s="2">
        <v>5.0</v>
      </c>
      <c r="F193" s="7">
        <v>6235.65</v>
      </c>
      <c r="G193" s="2" t="s">
        <v>790</v>
      </c>
      <c r="H193" s="2" t="s">
        <v>791</v>
      </c>
      <c r="I193" s="2" t="s">
        <v>792</v>
      </c>
      <c r="K193" s="25" t="str">
        <f>IFERROR(__xludf.DUMMYFUNCTION("IF(ISBLANK(A193),
  """",
  IF(ISNUMBER(A193),
    TEXT(A193,""dd/mm/yyyy""),
    IF(
      REGEXMATCH(TRIM(A193),""^\d{1,2}/\d{1,2}/\d{4}$""),
      TRIM(A193),
      IFERROR(
        TEXT(DATEVALUE(SUBSTITUTE(SUBSTITUTE(TRIM(A193),""-"",""/""),""."",""/"&amp;""")),""dd/mm/yyyy""),
        TRIM(A193)
      )
    )
  )
)
"),"12/12/2024")</f>
        <v>12/12/2024</v>
      </c>
      <c r="L193" s="26">
        <v>45638.0</v>
      </c>
      <c r="M193" s="27" t="str">
        <f>IFERROR(__xludf.DUMMYFUNCTION("PROPER(TRIM(
  REGEXREPLACE(
    REGEXREPLACE(
      SUBSTITUTE(SUBSTITUTE(SUBSTITUTE(SUBSTITUTE(SUBSTITUTE(SUBSTITUTE(SUBSTITUTE(SUBSTITUTE(SUBSTITUTE(SUBSTITUTE(SUBSTITUTE(
        B193,""√©"",""é""),""√°"",""á""),""√±"",""ñ""),""√≥"",""ó""),""√â"",""é"&amp;"""),""√Å"",""á""),""√ç"",""í""),""√Ç"",""Í""),""√Â"",""é""),""√≠"",""í""),""√º"",""ú""),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93" s="28" t="str">
        <f>IFERROR(__xludf.DUMMYFUNCTION("SPLIT(
  TRIM(
    SUBSTITUTE(
      SUBSTITUTE(
        SUBSTITUTE(
          SUBSTITUTE(
            C193,
            ""√©"", ""é""
          ),
          ""√±"", ""ñ""
        ),
        ""√°"", ""á""
      ),
      ""√≥"", ""ó""
    )
  ),
  ""-""
)
"),"Laptop")</f>
        <v>Laptop</v>
      </c>
      <c r="O193" s="28" t="str">
        <f>IFERROR(__xludf.DUMMYFUNCTION("""COMPUTED_VALUE"""),"Oficina")</f>
        <v>Oficina</v>
      </c>
      <c r="P193" s="28" t="str">
        <f>IFERROR(__xludf.DUMMYFUNCTION("""COMPUTED_VALUE"""),"32GB")</f>
        <v>32GB</v>
      </c>
      <c r="Q193" s="29">
        <f t="shared" si="1"/>
        <v>1247.13</v>
      </c>
      <c r="R193" s="28">
        <f t="shared" si="2"/>
        <v>5</v>
      </c>
      <c r="S193" s="29">
        <f t="shared" si="3"/>
        <v>6235.65</v>
      </c>
      <c r="T193" s="28" t="str">
        <f>IFERROR(__xludf.DUMMYFUNCTION("PROPER(TRIM(
  LET(
    texto1, REGEXREPLACE(G193,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"),"Abigail Mayorga")</f>
        <v>Abigail Mayorga</v>
      </c>
      <c r="U193" s="28" t="str">
        <f t="shared" si="4"/>
        <v>48f1f9b2-e5c3-45db-9c35-dba3af2b3e37</v>
      </c>
      <c r="V193" s="30" t="str">
        <f t="shared" si="5"/>
        <v>Laptop Oficina 32GB</v>
      </c>
    </row>
    <row r="194" ht="15.75" customHeight="1">
      <c r="A194" s="6">
        <v>45587.0</v>
      </c>
      <c r="B194" s="2" t="s">
        <v>793</v>
      </c>
      <c r="C194" s="2" t="s">
        <v>245</v>
      </c>
      <c r="D194" s="7">
        <v>1988.0</v>
      </c>
      <c r="E194" s="2">
        <v>2.0</v>
      </c>
      <c r="F194" s="7">
        <v>3976.0</v>
      </c>
      <c r="G194" s="2" t="s">
        <v>794</v>
      </c>
      <c r="H194" s="2" t="s">
        <v>795</v>
      </c>
      <c r="I194" s="2" t="s">
        <v>796</v>
      </c>
      <c r="K194" s="19" t="str">
        <f>IFERROR(__xludf.DUMMYFUNCTION("IF(ISBLANK(A194),
  """",
  IF(ISNUMBER(A194),
    TEXT(A194,""dd/mm/yyyy""),
    IF(
      REGEXMATCH(TRIM(A194),""^\d{1,2}/\d{1,2}/\d{4}$""),
      TRIM(A194),
      IFERROR(
        TEXT(DATEVALUE(SUBSTITUTE(SUBSTITUTE(TRIM(A194),""-"",""/""),""."",""/"&amp;""")),""dd/mm/yyyy""),
        TRIM(A194)
      )
    )
  )
)
"),"22/10/2024")</f>
        <v>22/10/2024</v>
      </c>
      <c r="L194" s="20">
        <v>45587.0</v>
      </c>
      <c r="M194" s="21" t="str">
        <f>IFERROR(__xludf.DUMMYFUNCTION("PROPER(TRIM(
  REGEXREPLACE(
    REGEXREPLACE(
      SUBSTITUTE(SUBSTITUTE(SUBSTITUTE(SUBSTITUTE(SUBSTITUTE(SUBSTITUTE(SUBSTITUTE(SUBSTITUTE(SUBSTITUTE(SUBSTITUTE(SUBSTITUTE(
        B194,""√©"",""é""),""√°"",""á""),""√±"",""ñ""),""√≥"",""ó""),""√â"",""é"&amp;"""),""√Å"",""á""),""√ç"",""í""),""√Ç"",""Í""),""√Â"",""é""),""√≠"",""í""),""√º"",""ú""),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94" s="22" t="str">
        <f>IFERROR(__xludf.DUMMYFUNCTION("SPLIT(
  TRIM(
    SUBSTITUTE(
      SUBSTITUTE(
        SUBSTITUTE(
          SUBSTITUTE(
            C194,
            ""√©"", ""é""
          ),
          ""√±"", ""ñ""
        ),
        ""√°"", ""á""
      ),
      ""√≥"", ""ó""
    )
  ),
  ""-""
)
"),"Teléfono")</f>
        <v>Teléfono</v>
      </c>
      <c r="O194" s="22" t="str">
        <f>IFERROR(__xludf.DUMMYFUNCTION("""COMPUTED_VALUE"""),"Gama baja")</f>
        <v>Gama baja</v>
      </c>
      <c r="P194" s="22" t="str">
        <f>IFERROR(__xludf.DUMMYFUNCTION("""COMPUTED_VALUE"""),"32GB")</f>
        <v>32GB</v>
      </c>
      <c r="Q194" s="23">
        <f t="shared" si="1"/>
        <v>1988</v>
      </c>
      <c r="R194" s="22">
        <f t="shared" si="2"/>
        <v>2</v>
      </c>
      <c r="S194" s="23">
        <f t="shared" si="3"/>
        <v>3976</v>
      </c>
      <c r="T194" s="22" t="str">
        <f>IFERROR(__xludf.DUMMYFUNCTION("PROPER(TRIM(
  LET(
    texto1, REGEXREPLACE(G194,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"),"Indira Eric Rentería Velázquez")</f>
        <v>Indira Eric Rentería Velázquez</v>
      </c>
      <c r="U194" s="22" t="str">
        <f t="shared" si="4"/>
        <v>56137b69-5c0a-49a2-bc0e-cd99b52af4b9</v>
      </c>
      <c r="V194" s="24" t="str">
        <f t="shared" si="5"/>
        <v>Teléfono Gama baja 32GB</v>
      </c>
    </row>
    <row r="195" ht="15.75" customHeight="1">
      <c r="A195" s="6">
        <v>45653.0</v>
      </c>
      <c r="B195" s="2" t="s">
        <v>38</v>
      </c>
      <c r="C195" s="2" t="s">
        <v>33</v>
      </c>
      <c r="D195" s="7">
        <v>1923.56</v>
      </c>
      <c r="E195" s="2">
        <v>4.0</v>
      </c>
      <c r="F195" s="7">
        <v>7694.24</v>
      </c>
      <c r="G195" s="2" t="s">
        <v>798</v>
      </c>
      <c r="H195" s="2" t="s">
        <v>799</v>
      </c>
      <c r="I195" s="2" t="s">
        <v>800</v>
      </c>
      <c r="K195" s="25" t="str">
        <f>IFERROR(__xludf.DUMMYFUNCTION("IF(ISBLANK(A195),
  """",
  IF(ISNUMBER(A195),
    TEXT(A195,""dd/mm/yyyy""),
    IF(
      REGEXMATCH(TRIM(A195),""^\d{1,2}/\d{1,2}/\d{4}$""),
      TRIM(A195),
      IFERROR(
        TEXT(DATEVALUE(SUBSTITUTE(SUBSTITUTE(TRIM(A195),""-"",""/""),""."",""/"&amp;""")),""dd/mm/yyyy""),
        TRIM(A195)
      )
    )
  )
)
"),"27/12/2024")</f>
        <v>27/12/2024</v>
      </c>
      <c r="L195" s="26">
        <v>45653.0</v>
      </c>
      <c r="M195" s="27" t="str">
        <f>IFERROR(__xludf.DUMMYFUNCTION("PROPER(TRIM(
  REGEXREPLACE(
    REGEXREPLACE(
      SUBSTITUTE(SUBSTITUTE(SUBSTITUTE(SUBSTITUTE(SUBSTITUTE(SUBSTITUTE(SUBSTITUTE(SUBSTITUTE(SUBSTITUTE(SUBSTITUTE(SUBSTITUTE(
        B195,""√©"",""é""),""√°"",""á""),""√±"",""ñ""),""√≥"",""ó""),""√â"",""é"&amp;"""),""√Å"",""á""),""√ç"",""í""),""√Ç"",""Í""),""√Â"",""é""),""√≠"",""í""),""√º"",""ú""),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95" s="28" t="str">
        <f>IFERROR(__xludf.DUMMYFUNCTION("SPLIT(
  TRIM(
    SUBSTITUTE(
      SUBSTITUTE(
        SUBSTITUTE(
          SUBSTITUTE(
            C195,
            ""√©"", ""é""
          ),
          ""√±"", ""ñ""
        ),
        ""√°"", ""á""
      ),
      ""√≥"", ""ó""
    )
  ),
  ""-""
)
"),"Teléfono")</f>
        <v>Teléfono</v>
      </c>
      <c r="O195" s="28" t="str">
        <f>IFERROR(__xludf.DUMMYFUNCTION("""COMPUTED_VALUE"""),"Gama alta")</f>
        <v>Gama alta</v>
      </c>
      <c r="P195" s="28" t="str">
        <f>IFERROR(__xludf.DUMMYFUNCTION("""COMPUTED_VALUE"""),"4GB")</f>
        <v>4GB</v>
      </c>
      <c r="Q195" s="29">
        <f t="shared" si="1"/>
        <v>1923.56</v>
      </c>
      <c r="R195" s="28">
        <f t="shared" si="2"/>
        <v>4</v>
      </c>
      <c r="S195" s="29">
        <f t="shared" si="3"/>
        <v>7694.24</v>
      </c>
      <c r="T195" s="28" t="str">
        <f>IFERROR(__xludf.DUMMYFUNCTION("PROPER(TRIM(
  LET(
    texto1, REGEXREPLACE(G195,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"),"Leonor Cristina Concepción")</f>
        <v>Leonor Cristina Concepción</v>
      </c>
      <c r="U195" s="28" t="str">
        <f t="shared" si="4"/>
        <v>c6ebe95f-880f-4175-b857-173d436e2753</v>
      </c>
      <c r="V195" s="30" t="str">
        <f t="shared" si="5"/>
        <v>Teléfono Gama alta 4GB</v>
      </c>
    </row>
    <row r="196" ht="15.75" customHeight="1">
      <c r="A196" s="6">
        <v>45605.0</v>
      </c>
      <c r="B196" s="2" t="s">
        <v>802</v>
      </c>
      <c r="C196" s="2" t="s">
        <v>96</v>
      </c>
      <c r="D196" s="7">
        <v>1112.81</v>
      </c>
      <c r="E196" s="2">
        <v>1.0</v>
      </c>
      <c r="F196" s="7">
        <v>1112.81</v>
      </c>
      <c r="G196" s="2" t="s">
        <v>803</v>
      </c>
      <c r="H196" s="2" t="s">
        <v>804</v>
      </c>
      <c r="I196" s="2" t="s">
        <v>805</v>
      </c>
      <c r="K196" s="19" t="str">
        <f>IFERROR(__xludf.DUMMYFUNCTION("IF(ISBLANK(A196),
  """",
  IF(ISNUMBER(A196),
    TEXT(A196,""dd/mm/yyyy""),
    IF(
      REGEXMATCH(TRIM(A196),""^\d{1,2}/\d{1,2}/\d{4}$""),
      TRIM(A196),
      IFERROR(
        TEXT(DATEVALUE(SUBSTITUTE(SUBSTITUTE(TRIM(A196),""-"",""/""),""."",""/"&amp;""")),""dd/mm/yyyy""),
        TRIM(A196)
      )
    )
  )
)
"),"09/11/2024")</f>
        <v>09/11/2024</v>
      </c>
      <c r="L196" s="20">
        <v>45605.0</v>
      </c>
      <c r="M196" s="21" t="str">
        <f>IFERROR(__xludf.DUMMYFUNCTION("PROPER(TRIM(
  REGEXREPLACE(
    REGEXREPLACE(
      SUBSTITUTE(SUBSTITUTE(SUBSTITUTE(SUBSTITUTE(SUBSTITUTE(SUBSTITUTE(SUBSTITUTE(SUBSTITUTE(SUBSTITUTE(SUBSTITUTE(SUBSTITUTE(
        B196,""√©"",""é""),""√°"",""á""),""√±"",""ñ""),""√≥"",""ó""),""√â"",""é"&amp;"""),""√Å"",""á""),""√ç"",""í""),""√Ç"",""Í""),""√Â"",""é""),""√≠"",""í""),""√º"",""ú""),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196" s="22" t="str">
        <f>IFERROR(__xludf.DUMMYFUNCTION("SPLIT(
  TRIM(
    SUBSTITUTE(
      SUBSTITUTE(
        SUBSTITUTE(
          SUBSTITUTE(
            C196,
            ""√©"", ""é""
          ),
          ""√±"", ""ñ""
        ),
        ""√°"", ""á""
      ),
      ""√≥"", ""ó""
    )
  ),
  ""-""
)
"),"Auriculares")</f>
        <v>Auriculares</v>
      </c>
      <c r="O196" s="22" t="str">
        <f>IFERROR(__xludf.DUMMYFUNCTION("""COMPUTED_VALUE"""),"Cancelación de ruido")</f>
        <v>Cancelación de ruido</v>
      </c>
      <c r="P196" s="22" t="str">
        <f>IFERROR(__xludf.DUMMYFUNCTION("""COMPUTED_VALUE"""),"4GB")</f>
        <v>4GB</v>
      </c>
      <c r="Q196" s="23">
        <f t="shared" si="1"/>
        <v>1112.81</v>
      </c>
      <c r="R196" s="22">
        <f t="shared" si="2"/>
        <v>1</v>
      </c>
      <c r="S196" s="23">
        <f t="shared" si="3"/>
        <v>1112.81</v>
      </c>
      <c r="T196" s="22" t="str">
        <f>IFERROR(__xludf.DUMMYFUNCTION("PROPER(TRIM(
  LET(
    texto1, REGEXREPLACE(G196,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"),"Ángela Navarro")</f>
        <v>Ángela Navarro</v>
      </c>
      <c r="U196" s="22" t="str">
        <f t="shared" si="4"/>
        <v>bfb5f658-102d-4d01-bec2-1f4cced1bbef</v>
      </c>
      <c r="V196" s="24" t="str">
        <f t="shared" si="5"/>
        <v>Auriculares Cancelación de ruido 4GB</v>
      </c>
    </row>
    <row r="197" ht="15.75" customHeight="1">
      <c r="A197" s="6">
        <v>45630.0</v>
      </c>
      <c r="B197" s="2" t="s">
        <v>85</v>
      </c>
      <c r="C197" s="2" t="s">
        <v>807</v>
      </c>
      <c r="D197" s="7">
        <v>2281.58</v>
      </c>
      <c r="E197" s="2">
        <v>1.0</v>
      </c>
      <c r="F197" s="7">
        <v>2281.58</v>
      </c>
      <c r="G197" s="2" t="s">
        <v>808</v>
      </c>
      <c r="H197" s="2" t="s">
        <v>809</v>
      </c>
      <c r="I197" s="2" t="s">
        <v>810</v>
      </c>
      <c r="K197" s="25" t="str">
        <f>IFERROR(__xludf.DUMMYFUNCTION("IF(ISBLANK(A197),
  """",
  IF(ISNUMBER(A197),
    TEXT(A197,""dd/mm/yyyy""),
    IF(
      REGEXMATCH(TRIM(A197),""^\d{1,2}/\d{1,2}/\d{4}$""),
      TRIM(A197),
      IFERROR(
        TEXT(DATEVALUE(SUBSTITUTE(SUBSTITUTE(TRIM(A197),""-"",""/""),""."",""/"&amp;""")),""dd/mm/yyyy""),
        TRIM(A197)
      )
    )
  )
)
"),"04/12/2024")</f>
        <v>04/12/2024</v>
      </c>
      <c r="L197" s="26">
        <v>45630.0</v>
      </c>
      <c r="M197" s="27" t="str">
        <f>IFERROR(__xludf.DUMMYFUNCTION("PROPER(TRIM(
  REGEXREPLACE(
    REGEXREPLACE(
      SUBSTITUTE(SUBSTITUTE(SUBSTITUTE(SUBSTITUTE(SUBSTITUTE(SUBSTITUTE(SUBSTITUTE(SUBSTITUTE(SUBSTITUTE(SUBSTITUTE(SUBSTITUTE(
        B197,""√©"",""é""),""√°"",""á""),""√±"",""ñ""),""√≥"",""ó""),""√â"",""é"&amp;"""),""√Å"",""á""),""√ç"",""í""),""√Ç"",""Í""),""√Â"",""é""),""√≠"",""í""),""√º"",""ú""),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97" s="28" t="str">
        <f>IFERROR(__xludf.DUMMYFUNCTION("SPLIT(
  TRIM(
    SUBSTITUTE(
      SUBSTITUTE(
        SUBSTITUTE(
          SUBSTITUTE(
            C197,
            ""√©"", ""é""
          ),
          ""√±"", ""ñ""
        ),
        ""√°"", ""á""
      ),
      ""√≥"", ""ó""
    )
  ),
  ""-""
)
"),"Auriculares")</f>
        <v>Auriculares</v>
      </c>
      <c r="O197" s="28" t="str">
        <f>IFERROR(__xludf.DUMMYFUNCTION("""COMPUTED_VALUE"""),"Con cable")</f>
        <v>Con cable</v>
      </c>
      <c r="P197" s="28" t="str">
        <f>IFERROR(__xludf.DUMMYFUNCTION("""COMPUTED_VALUE"""),"4GB")</f>
        <v>4GB</v>
      </c>
      <c r="Q197" s="29">
        <f t="shared" si="1"/>
        <v>2281.58</v>
      </c>
      <c r="R197" s="28">
        <f t="shared" si="2"/>
        <v>1</v>
      </c>
      <c r="S197" s="29">
        <f t="shared" si="3"/>
        <v>2281.58</v>
      </c>
      <c r="T197" s="28" t="str">
        <f>IFERROR(__xludf.DUMMYFUNCTION("PROPER(TRIM(
  LET(
    texto1, REGEXREPLACE(G197,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"),"Mateo Ral Sosa Arreola")</f>
        <v>Mateo Ral Sosa Arreola</v>
      </c>
      <c r="U197" s="28" t="str">
        <f t="shared" si="4"/>
        <v>25b223d6-04b8-478f-9246-79edbe8738eb</v>
      </c>
      <c r="V197" s="30" t="str">
        <f t="shared" si="5"/>
        <v>Auriculares Con cable 4GB</v>
      </c>
    </row>
    <row r="198" ht="15.75" customHeight="1">
      <c r="A198" s="6">
        <v>45577.0</v>
      </c>
      <c r="B198" s="2" t="s">
        <v>50</v>
      </c>
      <c r="C198" s="2" t="s">
        <v>167</v>
      </c>
      <c r="D198" s="7">
        <v>2095.66</v>
      </c>
      <c r="E198" s="2">
        <v>5.0</v>
      </c>
      <c r="F198" s="7">
        <v>10478.3</v>
      </c>
      <c r="G198" s="2" t="s">
        <v>811</v>
      </c>
      <c r="H198" s="2" t="s">
        <v>812</v>
      </c>
      <c r="I198" s="2" t="s">
        <v>813</v>
      </c>
      <c r="K198" s="19" t="str">
        <f>IFERROR(__xludf.DUMMYFUNCTION("IF(ISBLANK(A198),
  """",
  IF(ISNUMBER(A198),
    TEXT(A198,""dd/mm/yyyy""),
    IF(
      REGEXMATCH(TRIM(A198),""^\d{1,2}/\d{1,2}/\d{4}$""),
      TRIM(A198),
      IFERROR(
        TEXT(DATEVALUE(SUBSTITUTE(SUBSTITUTE(TRIM(A198),""-"",""/""),""."",""/"&amp;""")),""dd/mm/yyyy""),
        TRIM(A198)
      )
    )
  )
)
"),"12/10/2024")</f>
        <v>12/10/2024</v>
      </c>
      <c r="L198" s="20">
        <v>45577.0</v>
      </c>
      <c r="M198" s="21" t="str">
        <f>IFERROR(__xludf.DUMMYFUNCTION("PROPER(TRIM(
  REGEXREPLACE(
    REGEXREPLACE(
      SUBSTITUTE(SUBSTITUTE(SUBSTITUTE(SUBSTITUTE(SUBSTITUTE(SUBSTITUTE(SUBSTITUTE(SUBSTITUTE(SUBSTITUTE(SUBSTITUTE(SUBSTITUTE(
        B198,""√©"",""é""),""√°"",""á""),""√±"",""ñ""),""√≥"",""ó""),""√â"",""é"&amp;"""),""√Å"",""á""),""√ç"",""í""),""√Ç"",""Í""),""√Â"",""é""),""√≠"",""í""),""√º"",""ú""),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98" s="22" t="str">
        <f>IFERROR(__xludf.DUMMYFUNCTION("SPLIT(
  TRIM(
    SUBSTITUTE(
      SUBSTITUTE(
        SUBSTITUTE(
          SUBSTITUTE(
            C198,
            ""√©"", ""é""
          ),
          ""√±"", ""ñ""
        ),
        ""√°"", ""á""
      ),
      ""√≥"", ""ó""
    )
  ),
  ""-""
)
"),"Laptop")</f>
        <v>Laptop</v>
      </c>
      <c r="O198" s="22" t="str">
        <f>IFERROR(__xludf.DUMMYFUNCTION("""COMPUTED_VALUE"""),"Gaming")</f>
        <v>Gaming</v>
      </c>
      <c r="P198" s="22" t="str">
        <f>IFERROR(__xludf.DUMMYFUNCTION("""COMPUTED_VALUE"""),"8GB")</f>
        <v>8GB</v>
      </c>
      <c r="Q198" s="23">
        <f t="shared" si="1"/>
        <v>2095.66</v>
      </c>
      <c r="R198" s="22">
        <f t="shared" si="2"/>
        <v>5</v>
      </c>
      <c r="S198" s="23">
        <f t="shared" si="3"/>
        <v>10478.3</v>
      </c>
      <c r="T198" s="22" t="str">
        <f>IFERROR(__xludf.DUMMYFUNCTION("PROPER(TRIM(
  LET(
    texto1, REGEXREPLACE(G198,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"),"Irene Domínguez")</f>
        <v>Irene Domínguez</v>
      </c>
      <c r="U198" s="22" t="str">
        <f t="shared" si="4"/>
        <v>2ad918fa-d68e-42ea-926c-414454fd8220</v>
      </c>
      <c r="V198" s="24" t="str">
        <f t="shared" si="5"/>
        <v>Laptop Gaming 8GB</v>
      </c>
    </row>
    <row r="199" ht="15.75" customHeight="1">
      <c r="A199" s="6">
        <v>45610.0</v>
      </c>
      <c r="B199" s="2" t="s">
        <v>85</v>
      </c>
      <c r="C199" s="2" t="s">
        <v>86</v>
      </c>
      <c r="D199" s="7">
        <v>2064.2</v>
      </c>
      <c r="E199" s="2">
        <v>1.0</v>
      </c>
      <c r="F199" s="7">
        <v>2064.2</v>
      </c>
      <c r="G199" s="2" t="s">
        <v>814</v>
      </c>
      <c r="H199" s="2" t="s">
        <v>815</v>
      </c>
      <c r="I199" s="2" t="s">
        <v>816</v>
      </c>
      <c r="K199" s="25" t="str">
        <f>IFERROR(__xludf.DUMMYFUNCTION("IF(ISBLANK(A199),
  """",
  IF(ISNUMBER(A199),
    TEXT(A199,""dd/mm/yyyy""),
    IF(
      REGEXMATCH(TRIM(A199),""^\d{1,2}/\d{1,2}/\d{4}$""),
      TRIM(A199),
      IFERROR(
        TEXT(DATEVALUE(SUBSTITUTE(SUBSTITUTE(TRIM(A199),""-"",""/""),""."",""/"&amp;""")),""dd/mm/yyyy""),
        TRIM(A199)
      )
    )
  )
)
"),"14/11/2024")</f>
        <v>14/11/2024</v>
      </c>
      <c r="L199" s="26">
        <v>45610.0</v>
      </c>
      <c r="M199" s="27" t="str">
        <f>IFERROR(__xludf.DUMMYFUNCTION("PROPER(TRIM(
  REGEXREPLACE(
    REGEXREPLACE(
      SUBSTITUTE(SUBSTITUTE(SUBSTITUTE(SUBSTITUTE(SUBSTITUTE(SUBSTITUTE(SUBSTITUTE(SUBSTITUTE(SUBSTITUTE(SUBSTITUTE(SUBSTITUTE(
        B199,""√©"",""é""),""√°"",""á""),""√±"",""ñ""),""√≥"",""ó""),""√â"",""é"&amp;"""),""√Å"",""á""),""√ç"",""í""),""√Ç"",""Í""),""√Â"",""é""),""√≠"",""í""),""√º"",""ú""),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199" s="28" t="str">
        <f>IFERROR(__xludf.DUMMYFUNCTION("SPLIT(
  TRIM(
    SUBSTITUTE(
      SUBSTITUTE(
        SUBSTITUTE(
          SUBSTITUTE(
            C199,
            ""√©"", ""é""
          ),
          ""√±"", ""ñ""
        ),
        ""√°"", ""á""
      ),
      ""√≥"", ""ó""
    )
  ),
  ""-""
)
"),"Tablet")</f>
        <v>Tablet</v>
      </c>
      <c r="O199" s="28" t="str">
        <f>IFERROR(__xludf.DUMMYFUNCTION("""COMPUTED_VALUE"""),"Pro")</f>
        <v>Pro</v>
      </c>
      <c r="P199" s="28" t="str">
        <f>IFERROR(__xludf.DUMMYFUNCTION("""COMPUTED_VALUE"""),"32GB")</f>
        <v>32GB</v>
      </c>
      <c r="Q199" s="29">
        <f t="shared" si="1"/>
        <v>2064.2</v>
      </c>
      <c r="R199" s="28">
        <f t="shared" si="2"/>
        <v>1</v>
      </c>
      <c r="S199" s="29">
        <f t="shared" si="3"/>
        <v>2064.2</v>
      </c>
      <c r="T199" s="28" t="str">
        <f>IFERROR(__xludf.DUMMYFUNCTION("PROPER(TRIM(
  LET(
    texto1, REGEXREPLACE(G199,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"),"Jess Jimínez")</f>
        <v>Jess Jimínez</v>
      </c>
      <c r="U199" s="28" t="str">
        <f t="shared" si="4"/>
        <v>437715f5-b663-4ceb-8e4d-01760b5c39e8</v>
      </c>
      <c r="V199" s="30" t="str">
        <f t="shared" si="5"/>
        <v>Tablet Pro 32GB</v>
      </c>
    </row>
    <row r="200" ht="15.75" customHeight="1">
      <c r="A200" s="6">
        <v>45632.0</v>
      </c>
      <c r="B200" s="2" t="s">
        <v>27</v>
      </c>
      <c r="C200" s="2" t="s">
        <v>121</v>
      </c>
      <c r="D200" s="7">
        <v>1143.24</v>
      </c>
      <c r="E200" s="2">
        <v>2.0</v>
      </c>
      <c r="F200" s="7">
        <v>2286.48</v>
      </c>
      <c r="G200" s="2" t="s">
        <v>818</v>
      </c>
      <c r="H200" s="2" t="s">
        <v>819</v>
      </c>
      <c r="I200" s="2" t="s">
        <v>820</v>
      </c>
      <c r="K200" s="19" t="str">
        <f>IFERROR(__xludf.DUMMYFUNCTION("IF(ISBLANK(A200),
  """",
  IF(ISNUMBER(A200),
    TEXT(A200,""dd/mm/yyyy""),
    IF(
      REGEXMATCH(TRIM(A200),""^\d{1,2}/\d{1,2}/\d{4}$""),
      TRIM(A200),
      IFERROR(
        TEXT(DATEVALUE(SUBSTITUTE(SUBSTITUTE(TRIM(A200),""-"",""/""),""."",""/"&amp;""")),""dd/mm/yyyy""),
        TRIM(A200)
      )
    )
  )
)
"),"06/12/2024")</f>
        <v>06/12/2024</v>
      </c>
      <c r="L200" s="20">
        <v>45632.0</v>
      </c>
      <c r="M200" s="21" t="str">
        <f>IFERROR(__xludf.DUMMYFUNCTION("PROPER(TRIM(
  REGEXREPLACE(
    REGEXREPLACE(
      SUBSTITUTE(SUBSTITUTE(SUBSTITUTE(SUBSTITUTE(SUBSTITUTE(SUBSTITUTE(SUBSTITUTE(SUBSTITUTE(SUBSTITUTE(SUBSTITUTE(SUBSTITUTE(
        B200,""√©"",""é""),""√°"",""á""),""√±"",""ñ""),""√≥"",""ó""),""√â"",""é"&amp;"""),""√Å"",""á""),""√ç"",""í""),""√Ç"",""Í""),""√Â"",""é""),""√≠"",""í""),""√º"",""ú""),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00" s="22" t="str">
        <f>IFERROR(__xludf.DUMMYFUNCTION("SPLIT(
  TRIM(
    SUBSTITUTE(
      SUBSTITUTE(
        SUBSTITUTE(
          SUBSTITUTE(
            C200,
            ""√©"", ""é""
          ),
          ""√±"", ""ñ""
        ),
        ""√°"", ""á""
      ),
      ""√≥"", ""ó""
    )
  ),
  ""-""
)
"),"Teléfono")</f>
        <v>Teléfono</v>
      </c>
      <c r="O200" s="22" t="str">
        <f>IFERROR(__xludf.DUMMYFUNCTION("""COMPUTED_VALUE"""),"Gama baja")</f>
        <v>Gama baja</v>
      </c>
      <c r="P200" s="22" t="str">
        <f>IFERROR(__xludf.DUMMYFUNCTION("""COMPUTED_VALUE"""),"8GB")</f>
        <v>8GB</v>
      </c>
      <c r="Q200" s="23">
        <f t="shared" si="1"/>
        <v>1143.24</v>
      </c>
      <c r="R200" s="22">
        <f t="shared" si="2"/>
        <v>2</v>
      </c>
      <c r="S200" s="23">
        <f t="shared" si="3"/>
        <v>2286.48</v>
      </c>
      <c r="T200" s="22" t="str">
        <f>IFERROR(__xludf.DUMMYFUNCTION("PROPER(TRIM(
  LET(
    texto1, REGEXREPLACE(G200,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"),"Elias Dulce Figueroa")</f>
        <v>Elias Dulce Figueroa</v>
      </c>
      <c r="U200" s="22" t="str">
        <f t="shared" si="4"/>
        <v>261f24e0-0c30-40fa-92d3-3c013d335e1f</v>
      </c>
      <c r="V200" s="24" t="str">
        <f t="shared" si="5"/>
        <v>Teléfono Gama baja 8GB</v>
      </c>
    </row>
    <row r="201" ht="15.75" customHeight="1">
      <c r="A201" s="6">
        <v>45608.0</v>
      </c>
      <c r="B201" s="2" t="s">
        <v>822</v>
      </c>
      <c r="C201" s="2" t="s">
        <v>250</v>
      </c>
      <c r="D201" s="7">
        <v>2333.72</v>
      </c>
      <c r="E201" s="2">
        <v>2.0</v>
      </c>
      <c r="F201" s="7">
        <v>4667.44</v>
      </c>
      <c r="G201" s="2" t="s">
        <v>823</v>
      </c>
      <c r="H201" s="2" t="s">
        <v>824</v>
      </c>
      <c r="I201" s="2" t="s">
        <v>825</v>
      </c>
      <c r="K201" s="25" t="str">
        <f>IFERROR(__xludf.DUMMYFUNCTION("IF(ISBLANK(A201),
  """",
  IF(ISNUMBER(A201),
    TEXT(A201,""dd/mm/yyyy""),
    IF(
      REGEXMATCH(TRIM(A201),""^\d{1,2}/\d{1,2}/\d{4}$""),
      TRIM(A201),
      IFERROR(
        TEXT(DATEVALUE(SUBSTITUTE(SUBSTITUTE(TRIM(A201),""-"",""/""),""."",""/"&amp;""")),""dd/mm/yyyy""),
        TRIM(A201)
      )
    )
  )
)
"),"12/11/2024")</f>
        <v>12/11/2024</v>
      </c>
      <c r="L201" s="26">
        <v>45608.0</v>
      </c>
      <c r="M201" s="27" t="str">
        <f>IFERROR(__xludf.DUMMYFUNCTION("PROPER(TRIM(
  REGEXREPLACE(
    REGEXREPLACE(
      SUBSTITUTE(SUBSTITUTE(SUBSTITUTE(SUBSTITUTE(SUBSTITUTE(SUBSTITUTE(SUBSTITUTE(SUBSTITUTE(SUBSTITUTE(SUBSTITUTE(SUBSTITUTE(
        B201,""√©"",""é""),""√°"",""á""),""√±"",""ñ""),""√≥"",""ó""),""√â"",""é"&amp;"""),""√Å"",""á""),""√ç"",""í""),""√Ç"",""Í""),""√Â"",""é""),""√≠"",""í""),""√º"",""ú""),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01" s="28" t="str">
        <f>IFERROR(__xludf.DUMMYFUNCTION("SPLIT(
  TRIM(
    SUBSTITUTE(
      SUBSTITUTE(
        SUBSTITUTE(
          SUBSTITUTE(
            C201,
            ""√©"", ""é""
          ),
          ""√±"", ""ñ""
        ),
        ""√°"", ""á""
      ),
      ""√≥"", ""ó""
    )
  ),
  ""-""
)
"),"Laptop")</f>
        <v>Laptop</v>
      </c>
      <c r="O201" s="28" t="str">
        <f>IFERROR(__xludf.DUMMYFUNCTION("""COMPUTED_VALUE"""),"Oficina")</f>
        <v>Oficina</v>
      </c>
      <c r="P201" s="28" t="str">
        <f>IFERROR(__xludf.DUMMYFUNCTION("""COMPUTED_VALUE"""),"32GB")</f>
        <v>32GB</v>
      </c>
      <c r="Q201" s="29">
        <f t="shared" si="1"/>
        <v>2333.72</v>
      </c>
      <c r="R201" s="28">
        <f t="shared" si="2"/>
        <v>2</v>
      </c>
      <c r="S201" s="29">
        <f t="shared" si="3"/>
        <v>4667.44</v>
      </c>
      <c r="T201" s="28" t="str">
        <f>IFERROR(__xludf.DUMMYFUNCTION("PROPER(TRIM(
  LET(
    texto1, REGEXREPLACE(G201,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"),"Adán Perla Orosco")</f>
        <v>Adán Perla Orosco</v>
      </c>
      <c r="U201" s="28" t="str">
        <f t="shared" si="4"/>
        <v>61cc0a01-493f-48a6-8973-8cc3bf69bd4b</v>
      </c>
      <c r="V201" s="30" t="str">
        <f t="shared" si="5"/>
        <v>Laptop Oficina 32GB</v>
      </c>
    </row>
    <row r="202" ht="15.75" customHeight="1">
      <c r="A202" s="6">
        <v>45593.0</v>
      </c>
      <c r="B202" s="2" t="s">
        <v>85</v>
      </c>
      <c r="C202" s="2" t="s">
        <v>33</v>
      </c>
      <c r="D202" s="7">
        <v>1537.12</v>
      </c>
      <c r="E202" s="2">
        <v>2.0</v>
      </c>
      <c r="F202" s="7">
        <v>3074.24</v>
      </c>
      <c r="G202" s="2" t="s">
        <v>827</v>
      </c>
      <c r="H202" s="2" t="s">
        <v>828</v>
      </c>
      <c r="I202" s="2" t="s">
        <v>829</v>
      </c>
      <c r="K202" s="19" t="str">
        <f>IFERROR(__xludf.DUMMYFUNCTION("IF(ISBLANK(A202),
  """",
  IF(ISNUMBER(A202),
    TEXT(A202,""dd/mm/yyyy""),
    IF(
      REGEXMATCH(TRIM(A202),""^\d{1,2}/\d{1,2}/\d{4}$""),
      TRIM(A202),
      IFERROR(
        TEXT(DATEVALUE(SUBSTITUTE(SUBSTITUTE(TRIM(A202),""-"",""/""),""."",""/"&amp;""")),""dd/mm/yyyy""),
        TRIM(A202)
      )
    )
  )
)
"),"28/10/2024")</f>
        <v>28/10/2024</v>
      </c>
      <c r="L202" s="20">
        <v>45593.0</v>
      </c>
      <c r="M202" s="21" t="str">
        <f>IFERROR(__xludf.DUMMYFUNCTION("PROPER(TRIM(
  REGEXREPLACE(
    REGEXREPLACE(
      SUBSTITUTE(SUBSTITUTE(SUBSTITUTE(SUBSTITUTE(SUBSTITUTE(SUBSTITUTE(SUBSTITUTE(SUBSTITUTE(SUBSTITUTE(SUBSTITUTE(SUBSTITUTE(
        B202,""√©"",""é""),""√°"",""á""),""√±"",""ñ""),""√≥"",""ó""),""√â"",""é"&amp;"""),""√Å"",""á""),""√ç"",""í""),""√Ç"",""Í""),""√Â"",""é""),""√≠"",""í""),""√º"",""ú""),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02" s="22" t="str">
        <f>IFERROR(__xludf.DUMMYFUNCTION("SPLIT(
  TRIM(
    SUBSTITUTE(
      SUBSTITUTE(
        SUBSTITUTE(
          SUBSTITUTE(
            C202,
            ""√©"", ""é""
          ),
          ""√±"", ""ñ""
        ),
        ""√°"", ""á""
      ),
      ""√≥"", ""ó""
    )
  ),
  ""-""
)
"),"Teléfono")</f>
        <v>Teléfono</v>
      </c>
      <c r="O202" s="22" t="str">
        <f>IFERROR(__xludf.DUMMYFUNCTION("""COMPUTED_VALUE"""),"Gama alta")</f>
        <v>Gama alta</v>
      </c>
      <c r="P202" s="22" t="str">
        <f>IFERROR(__xludf.DUMMYFUNCTION("""COMPUTED_VALUE"""),"4GB")</f>
        <v>4GB</v>
      </c>
      <c r="Q202" s="23">
        <f t="shared" si="1"/>
        <v>1537.12</v>
      </c>
      <c r="R202" s="22">
        <f t="shared" si="2"/>
        <v>2</v>
      </c>
      <c r="S202" s="23">
        <f t="shared" si="3"/>
        <v>3074.24</v>
      </c>
      <c r="T202" s="22" t="str">
        <f>IFERROR(__xludf.DUMMYFUNCTION("PROPER(TRIM(
  LET(
    texto1, REGEXREPLACE(G202,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"),"Eric Lorenzo Raya")</f>
        <v>Eric Lorenzo Raya</v>
      </c>
      <c r="U202" s="22" t="str">
        <f t="shared" si="4"/>
        <v>699048e6-5415-4dd4-ada9-8e6e4a549eb2</v>
      </c>
      <c r="V202" s="24" t="str">
        <f t="shared" si="5"/>
        <v>Teléfono Gama alta 4GB</v>
      </c>
    </row>
    <row r="203" ht="15.75" customHeight="1">
      <c r="A203" s="6">
        <v>45585.0</v>
      </c>
      <c r="B203" s="2" t="s">
        <v>38</v>
      </c>
      <c r="C203" s="2" t="s">
        <v>28</v>
      </c>
      <c r="D203" s="7">
        <v>2224.57</v>
      </c>
      <c r="E203" s="2">
        <v>5.0</v>
      </c>
      <c r="F203" s="7">
        <v>11122.85</v>
      </c>
      <c r="G203" s="2" t="s">
        <v>830</v>
      </c>
      <c r="H203" s="2" t="s">
        <v>831</v>
      </c>
      <c r="I203" s="2" t="s">
        <v>832</v>
      </c>
      <c r="K203" s="25" t="str">
        <f>IFERROR(__xludf.DUMMYFUNCTION("IF(ISBLANK(A203),
  """",
  IF(ISNUMBER(A203),
    TEXT(A203,""dd/mm/yyyy""),
    IF(
      REGEXMATCH(TRIM(A203),""^\d{1,2}/\d{1,2}/\d{4}$""),
      TRIM(A203),
      IFERROR(
        TEXT(DATEVALUE(SUBSTITUTE(SUBSTITUTE(TRIM(A203),""-"",""/""),""."",""/"&amp;""")),""dd/mm/yyyy""),
        TRIM(A203)
      )
    )
  )
)
"),"20/10/2024")</f>
        <v>20/10/2024</v>
      </c>
      <c r="L203" s="26">
        <v>45585.0</v>
      </c>
      <c r="M203" s="27" t="str">
        <f>IFERROR(__xludf.DUMMYFUNCTION("PROPER(TRIM(
  REGEXREPLACE(
    REGEXREPLACE(
      SUBSTITUTE(SUBSTITUTE(SUBSTITUTE(SUBSTITUTE(SUBSTITUTE(SUBSTITUTE(SUBSTITUTE(SUBSTITUTE(SUBSTITUTE(SUBSTITUTE(SUBSTITUTE(
        B203,""√©"",""é""),""√°"",""á""),""√±"",""ñ""),""√≥"",""ó""),""√â"",""é"&amp;"""),""√Å"",""á""),""√ç"",""í""),""√Ç"",""Í""),""√Â"",""é""),""√≠"",""í""),""√º"",""ú""),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03" s="28" t="str">
        <f>IFERROR(__xludf.DUMMYFUNCTION("SPLIT(
  TRIM(
    SUBSTITUTE(
      SUBSTITUTE(
        SUBSTITUTE(
          SUBSTITUTE(
            C203,
            ""√©"", ""é""
          ),
          ""√±"", ""ñ""
        ),
        ""√°"", ""á""
      ),
      ""√≥"", ""ó""
    )
  ),
  ""-""
)
"),"Tablet")</f>
        <v>Tablet</v>
      </c>
      <c r="O203" s="28" t="str">
        <f>IFERROR(__xludf.DUMMYFUNCTION("""COMPUTED_VALUE"""),"Pro")</f>
        <v>Pro</v>
      </c>
      <c r="P203" s="28" t="str">
        <f>IFERROR(__xludf.DUMMYFUNCTION("""COMPUTED_VALUE"""),"8GB")</f>
        <v>8GB</v>
      </c>
      <c r="Q203" s="29">
        <f t="shared" si="1"/>
        <v>2224.57</v>
      </c>
      <c r="R203" s="28">
        <f t="shared" si="2"/>
        <v>5</v>
      </c>
      <c r="S203" s="29">
        <f t="shared" si="3"/>
        <v>11122.85</v>
      </c>
      <c r="T203" s="28" t="str">
        <f>IFERROR(__xludf.DUMMYFUNCTION("PROPER(TRIM(
  LET(
    texto1, REGEXREPLACE(G203,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"),"Abraham Loera Mondragón")</f>
        <v>Abraham Loera Mondragón</v>
      </c>
      <c r="U203" s="28" t="str">
        <f t="shared" si="4"/>
        <v>05462222-2134-4569-8058-16e2b626c19b</v>
      </c>
      <c r="V203" s="30" t="str">
        <f t="shared" si="5"/>
        <v>Tablet Pro 8GB</v>
      </c>
    </row>
    <row r="204" ht="15.75" customHeight="1">
      <c r="A204" s="6">
        <v>45598.0</v>
      </c>
      <c r="B204" s="2" t="s">
        <v>85</v>
      </c>
      <c r="C204" s="2" t="s">
        <v>206</v>
      </c>
      <c r="D204" s="7">
        <v>1688.92</v>
      </c>
      <c r="E204" s="2">
        <v>5.0</v>
      </c>
      <c r="F204" s="7">
        <v>8444.6</v>
      </c>
      <c r="G204" s="2" t="s">
        <v>833</v>
      </c>
      <c r="H204" s="2" t="s">
        <v>834</v>
      </c>
      <c r="I204" s="2" t="s">
        <v>835</v>
      </c>
      <c r="K204" s="19" t="str">
        <f>IFERROR(__xludf.DUMMYFUNCTION("IF(ISBLANK(A204),
  """",
  IF(ISNUMBER(A204),
    TEXT(A204,""dd/mm/yyyy""),
    IF(
      REGEXMATCH(TRIM(A204),""^\d{1,2}/\d{1,2}/\d{4}$""),
      TRIM(A204),
      IFERROR(
        TEXT(DATEVALUE(SUBSTITUTE(SUBSTITUTE(TRIM(A204),""-"",""/""),""."",""/"&amp;""")),""dd/mm/yyyy""),
        TRIM(A204)
      )
    )
  )
)
"),"02/11/2024")</f>
        <v>02/11/2024</v>
      </c>
      <c r="L204" s="20">
        <v>45598.0</v>
      </c>
      <c r="M204" s="21" t="str">
        <f>IFERROR(__xludf.DUMMYFUNCTION("PROPER(TRIM(
  REGEXREPLACE(
    REGEXREPLACE(
      SUBSTITUTE(SUBSTITUTE(SUBSTITUTE(SUBSTITUTE(SUBSTITUTE(SUBSTITUTE(SUBSTITUTE(SUBSTITUTE(SUBSTITUTE(SUBSTITUTE(SUBSTITUTE(
        B204,""√©"",""é""),""√°"",""á""),""√±"",""ñ""),""√≥"",""ó""),""√â"",""é"&amp;"""),""√Å"",""á""),""√ç"",""í""),""√Ç"",""Í""),""√Â"",""é""),""√≠"",""í""),""√º"",""ú""),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04" s="22" t="str">
        <f>IFERROR(__xludf.DUMMYFUNCTION("SPLIT(
  TRIM(
    SUBSTITUTE(
      SUBSTITUTE(
        SUBSTITUTE(
          SUBSTITUTE(
            C204,
            ""√©"", ""é""
          ),
          ""√±"", ""ñ""
        ),
        ""√°"", ""á""
      ),
      ""√≥"", ""ó""
    )
  ),
  ""-""
)
"),"Auriculares")</f>
        <v>Auriculares</v>
      </c>
      <c r="O204" s="22" t="str">
        <f>IFERROR(__xludf.DUMMYFUNCTION("""COMPUTED_VALUE"""),"Bluetooth")</f>
        <v>Bluetooth</v>
      </c>
      <c r="P204" s="22" t="str">
        <f>IFERROR(__xludf.DUMMYFUNCTION("""COMPUTED_VALUE"""),"4GB")</f>
        <v>4GB</v>
      </c>
      <c r="Q204" s="23">
        <f t="shared" si="1"/>
        <v>1688.92</v>
      </c>
      <c r="R204" s="22">
        <f t="shared" si="2"/>
        <v>5</v>
      </c>
      <c r="S204" s="23">
        <f t="shared" si="3"/>
        <v>8444.6</v>
      </c>
      <c r="T204" s="22" t="str">
        <f>IFERROR(__xludf.DUMMYFUNCTION("PROPER(TRIM(
  LET(
    texto1, REGEXREPLACE(G204,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"),"Vicente Ureña")</f>
        <v>Vicente Ureña</v>
      </c>
      <c r="U204" s="22" t="str">
        <f t="shared" si="4"/>
        <v>1c44a1fd-cb0c-401e-8e21-c1a8d9242148</v>
      </c>
      <c r="V204" s="24" t="str">
        <f t="shared" si="5"/>
        <v>Auriculares Bluetooth 4GB</v>
      </c>
    </row>
    <row r="205" ht="15.75" customHeight="1">
      <c r="A205" s="6">
        <v>45645.0</v>
      </c>
      <c r="B205" s="2" t="s">
        <v>16</v>
      </c>
      <c r="C205" s="2" t="s">
        <v>55</v>
      </c>
      <c r="D205" s="7">
        <v>1575.85</v>
      </c>
      <c r="E205" s="2">
        <v>2.0</v>
      </c>
      <c r="F205" s="7">
        <v>3151.7</v>
      </c>
      <c r="G205" s="2" t="s">
        <v>837</v>
      </c>
      <c r="H205" s="2" t="s">
        <v>838</v>
      </c>
      <c r="I205" s="2" t="s">
        <v>839</v>
      </c>
      <c r="K205" s="25" t="str">
        <f>IFERROR(__xludf.DUMMYFUNCTION("IF(ISBLANK(A205),
  """",
  IF(ISNUMBER(A205),
    TEXT(A205,""dd/mm/yyyy""),
    IF(
      REGEXMATCH(TRIM(A205),""^\d{1,2}/\d{1,2}/\d{4}$""),
      TRIM(A205),
      IFERROR(
        TEXT(DATEVALUE(SUBSTITUTE(SUBSTITUTE(TRIM(A205),""-"",""/""),""."",""/"&amp;""")),""dd/mm/yyyy""),
        TRIM(A205)
      )
    )
  )
)
"),"19/12/2024")</f>
        <v>19/12/2024</v>
      </c>
      <c r="L205" s="26">
        <v>45645.0</v>
      </c>
      <c r="M205" s="27" t="str">
        <f>IFERROR(__xludf.DUMMYFUNCTION("PROPER(TRIM(
  REGEXREPLACE(
    REGEXREPLACE(
      SUBSTITUTE(SUBSTITUTE(SUBSTITUTE(SUBSTITUTE(SUBSTITUTE(SUBSTITUTE(SUBSTITUTE(SUBSTITUTE(SUBSTITUTE(SUBSTITUTE(SUBSTITUTE(
        B205,""√©"",""é""),""√°"",""á""),""√±"",""ñ""),""√≥"",""ó""),""√â"",""é"&amp;"""),""√Å"",""á""),""√ç"",""í""),""√Ç"",""Í""),""√Â"",""é""),""√≠"",""í""),""√º"",""ú""),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05" s="28" t="str">
        <f>IFERROR(__xludf.DUMMYFUNCTION("SPLIT(
  TRIM(
    SUBSTITUTE(
      SUBSTITUTE(
        SUBSTITUTE(
          SUBSTITUTE(
            C205,
            ""√©"", ""é""
          ),
          ""√±"", ""ñ""
        ),
        ""√°"", ""á""
      ),
      ""√≥"", ""ó""
    )
  ),
  ""-""
)
"),"Laptop")</f>
        <v>Laptop</v>
      </c>
      <c r="O205" s="28" t="str">
        <f>IFERROR(__xludf.DUMMYFUNCTION("""COMPUTED_VALUE"""),"Ultraliviana")</f>
        <v>Ultraliviana</v>
      </c>
      <c r="P205" s="28" t="str">
        <f>IFERROR(__xludf.DUMMYFUNCTION("""COMPUTED_VALUE"""),"16GB")</f>
        <v>16GB</v>
      </c>
      <c r="Q205" s="29">
        <f t="shared" si="1"/>
        <v>1575.85</v>
      </c>
      <c r="R205" s="28">
        <f t="shared" si="2"/>
        <v>2</v>
      </c>
      <c r="S205" s="29">
        <f t="shared" si="3"/>
        <v>3151.7</v>
      </c>
      <c r="T205" s="28" t="str">
        <f>IFERROR(__xludf.DUMMYFUNCTION("PROPER(TRIM(
  LET(
    texto1, REGEXREPLACE(G205,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"),"Caridad Ojeda")</f>
        <v>Caridad Ojeda</v>
      </c>
      <c r="U205" s="28" t="str">
        <f t="shared" si="4"/>
        <v>636e2a36-d8c0-4ac8-b15e-52b5f9b2507b</v>
      </c>
      <c r="V205" s="30" t="str">
        <f t="shared" si="5"/>
        <v>Laptop Ultraliviana 16GB</v>
      </c>
    </row>
    <row r="206" ht="15.75" customHeight="1">
      <c r="A206" s="6">
        <v>45595.0</v>
      </c>
      <c r="B206" s="2" t="s">
        <v>27</v>
      </c>
      <c r="C206" s="2" t="s">
        <v>17</v>
      </c>
      <c r="D206" s="7">
        <v>1861.0</v>
      </c>
      <c r="E206" s="2">
        <v>5.0</v>
      </c>
      <c r="F206" s="7">
        <v>9305.0</v>
      </c>
      <c r="G206" s="2" t="s">
        <v>840</v>
      </c>
      <c r="H206" s="2" t="s">
        <v>841</v>
      </c>
      <c r="I206" s="2" t="s">
        <v>842</v>
      </c>
      <c r="K206" s="19" t="str">
        <f>IFERROR(__xludf.DUMMYFUNCTION("IF(ISBLANK(A206),
  """",
  IF(ISNUMBER(A206),
    TEXT(A206,""dd/mm/yyyy""),
    IF(
      REGEXMATCH(TRIM(A206),""^\d{1,2}/\d{1,2}/\d{4}$""),
      TRIM(A206),
      IFERROR(
        TEXT(DATEVALUE(SUBSTITUTE(SUBSTITUTE(TRIM(A206),""-"",""/""),""."",""/"&amp;""")),""dd/mm/yyyy""),
        TRIM(A206)
      )
    )
  )
)
"),"30/10/2024")</f>
        <v>30/10/2024</v>
      </c>
      <c r="L206" s="20">
        <v>45595.0</v>
      </c>
      <c r="M206" s="21" t="str">
        <f>IFERROR(__xludf.DUMMYFUNCTION("PROPER(TRIM(
  REGEXREPLACE(
    REGEXREPLACE(
      SUBSTITUTE(SUBSTITUTE(SUBSTITUTE(SUBSTITUTE(SUBSTITUTE(SUBSTITUTE(SUBSTITUTE(SUBSTITUTE(SUBSTITUTE(SUBSTITUTE(SUBSTITUTE(
        B206,""√©"",""é""),""√°"",""á""),""√±"",""ñ""),""√≥"",""ó""),""√â"",""é"&amp;"""),""√Å"",""á""),""√ç"",""í""),""√Ç"",""Í""),""√Â"",""é""),""√≠"",""í""),""√º"",""ú""),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06" s="22" t="str">
        <f>IFERROR(__xludf.DUMMYFUNCTION("SPLIT(
  TRIM(
    SUBSTITUTE(
      SUBSTITUTE(
        SUBSTITUTE(
          SUBSTITUTE(
            C206,
            ""√©"", ""é""
          ),
          ""√±"", ""ñ""
        ),
        ""√°"", ""á""
      ),
      ""√≥"", ""ó""
    )
  ),
  ""-""
)
"),"Auriculares")</f>
        <v>Auriculares</v>
      </c>
      <c r="O206" s="22" t="str">
        <f>IFERROR(__xludf.DUMMYFUNCTION("""COMPUTED_VALUE"""),"Bluetooth")</f>
        <v>Bluetooth</v>
      </c>
      <c r="P206" s="22" t="str">
        <f>IFERROR(__xludf.DUMMYFUNCTION("""COMPUTED_VALUE"""),"8GB")</f>
        <v>8GB</v>
      </c>
      <c r="Q206" s="23">
        <f t="shared" si="1"/>
        <v>1861</v>
      </c>
      <c r="R206" s="22">
        <f t="shared" si="2"/>
        <v>5</v>
      </c>
      <c r="S206" s="23">
        <f t="shared" si="3"/>
        <v>9305</v>
      </c>
      <c r="T206" s="22" t="str">
        <f>IFERROR(__xludf.DUMMYFUNCTION("PROPER(TRIM(
  LET(
    texto1, REGEXREPLACE(G206,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"),"Zoé Claudia Barraza Cornejo")</f>
        <v>Zoé Claudia Barraza Cornejo</v>
      </c>
      <c r="U206" s="22" t="str">
        <f t="shared" si="4"/>
        <v>3341556d-8dc1-42f2-b455-3a339ff909cd</v>
      </c>
      <c r="V206" s="24" t="str">
        <f t="shared" si="5"/>
        <v>Auriculares Bluetooth 8GB</v>
      </c>
    </row>
    <row r="207" ht="15.75" customHeight="1">
      <c r="A207" s="6">
        <v>45572.0</v>
      </c>
      <c r="B207" s="2" t="s">
        <v>85</v>
      </c>
      <c r="C207" s="2" t="s">
        <v>206</v>
      </c>
      <c r="D207" s="7">
        <v>62.73</v>
      </c>
      <c r="E207" s="2">
        <v>3.0</v>
      </c>
      <c r="F207" s="7">
        <v>188.19</v>
      </c>
      <c r="G207" s="2" t="s">
        <v>844</v>
      </c>
      <c r="H207" s="2" t="s">
        <v>845</v>
      </c>
      <c r="I207" s="2" t="s">
        <v>846</v>
      </c>
      <c r="K207" s="25" t="str">
        <f>IFERROR(__xludf.DUMMYFUNCTION("IF(ISBLANK(A207),
  """",
  IF(ISNUMBER(A207),
    TEXT(A207,""dd/mm/yyyy""),
    IF(
      REGEXMATCH(TRIM(A207),""^\d{1,2}/\d{1,2}/\d{4}$""),
      TRIM(A207),
      IFERROR(
        TEXT(DATEVALUE(SUBSTITUTE(SUBSTITUTE(TRIM(A207),""-"",""/""),""."",""/"&amp;""")),""dd/mm/yyyy""),
        TRIM(A207)
      )
    )
  )
)
"),"07/10/2024")</f>
        <v>07/10/2024</v>
      </c>
      <c r="L207" s="26">
        <v>45572.0</v>
      </c>
      <c r="M207" s="27" t="str">
        <f>IFERROR(__xludf.DUMMYFUNCTION("PROPER(TRIM(
  REGEXREPLACE(
    REGEXREPLACE(
      SUBSTITUTE(SUBSTITUTE(SUBSTITUTE(SUBSTITUTE(SUBSTITUTE(SUBSTITUTE(SUBSTITUTE(SUBSTITUTE(SUBSTITUTE(SUBSTITUTE(SUBSTITUTE(
        B207,""√©"",""é""),""√°"",""á""),""√±"",""ñ""),""√≥"",""ó""),""√â"",""é"&amp;"""),""√Å"",""á""),""√ç"",""í""),""√Ç"",""Í""),""√Â"",""é""),""√≠"",""í""),""√º"",""ú""),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07" s="28" t="str">
        <f>IFERROR(__xludf.DUMMYFUNCTION("SPLIT(
  TRIM(
    SUBSTITUTE(
      SUBSTITUTE(
        SUBSTITUTE(
          SUBSTITUTE(
            C207,
            ""√©"", ""é""
          ),
          ""√±"", ""ñ""
        ),
        ""√°"", ""á""
      ),
      ""√≥"", ""ó""
    )
  ),
  ""-""
)
"),"Auriculares")</f>
        <v>Auriculares</v>
      </c>
      <c r="O207" s="28" t="str">
        <f>IFERROR(__xludf.DUMMYFUNCTION("""COMPUTED_VALUE"""),"Bluetooth")</f>
        <v>Bluetooth</v>
      </c>
      <c r="P207" s="28" t="str">
        <f>IFERROR(__xludf.DUMMYFUNCTION("""COMPUTED_VALUE"""),"4GB")</f>
        <v>4GB</v>
      </c>
      <c r="Q207" s="29">
        <f t="shared" si="1"/>
        <v>62.73</v>
      </c>
      <c r="R207" s="28">
        <f t="shared" si="2"/>
        <v>3</v>
      </c>
      <c r="S207" s="29">
        <f t="shared" si="3"/>
        <v>188.19</v>
      </c>
      <c r="T207" s="28" t="str">
        <f>IFERROR(__xludf.DUMMYFUNCTION("PROPER(TRIM(
  LET(
    texto1, REGEXREPLACE(G207,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"),"Elisa Soria")</f>
        <v>Elisa Soria</v>
      </c>
      <c r="U207" s="28" t="str">
        <f t="shared" si="4"/>
        <v>eb72415a-2fdb-436d-a740-aa38fe92dba8</v>
      </c>
      <c r="V207" s="30" t="str">
        <f t="shared" si="5"/>
        <v>Auriculares Bluetooth 4GB</v>
      </c>
    </row>
    <row r="208" ht="15.75" customHeight="1">
      <c r="A208" s="6">
        <v>45637.0</v>
      </c>
      <c r="B208" s="2" t="s">
        <v>27</v>
      </c>
      <c r="C208" s="2" t="s">
        <v>91</v>
      </c>
      <c r="D208" s="7">
        <v>1332.48</v>
      </c>
      <c r="E208" s="2">
        <v>5.0</v>
      </c>
      <c r="F208" s="7">
        <v>6662.4</v>
      </c>
      <c r="G208" s="2" t="s">
        <v>848</v>
      </c>
      <c r="H208" s="2" t="s">
        <v>849</v>
      </c>
      <c r="I208" s="2" t="s">
        <v>850</v>
      </c>
      <c r="K208" s="19" t="str">
        <f>IFERROR(__xludf.DUMMYFUNCTION("IF(ISBLANK(A208),
  """",
  IF(ISNUMBER(A208),
    TEXT(A208,""dd/mm/yyyy""),
    IF(
      REGEXMATCH(TRIM(A208),""^\d{1,2}/\d{1,2}/\d{4}$""),
      TRIM(A208),
      IFERROR(
        TEXT(DATEVALUE(SUBSTITUTE(SUBSTITUTE(TRIM(A208),""-"",""/""),""."",""/"&amp;""")),""dd/mm/yyyy""),
        TRIM(A208)
      )
    )
  )
)
"),"11/12/2024")</f>
        <v>11/12/2024</v>
      </c>
      <c r="L208" s="20">
        <v>45637.0</v>
      </c>
      <c r="M208" s="21" t="str">
        <f>IFERROR(__xludf.DUMMYFUNCTION("PROPER(TRIM(
  REGEXREPLACE(
    REGEXREPLACE(
      SUBSTITUTE(SUBSTITUTE(SUBSTITUTE(SUBSTITUTE(SUBSTITUTE(SUBSTITUTE(SUBSTITUTE(SUBSTITUTE(SUBSTITUTE(SUBSTITUTE(SUBSTITUTE(
        B208,""√©"",""é""),""√°"",""á""),""√±"",""ñ""),""√≥"",""ó""),""√â"",""é"&amp;"""),""√Å"",""á""),""√ç"",""í""),""√Ç"",""Í""),""√Â"",""é""),""√≠"",""í""),""√º"",""ú""),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08" s="22" t="str">
        <f>IFERROR(__xludf.DUMMYFUNCTION("SPLIT(
  TRIM(
    SUBSTITUTE(
      SUBSTITUTE(
        SUBSTITUTE(
          SUBSTITUTE(
            C208,
            ""√©"", ""é""
          ),
          ""√±"", ""ñ""
        ),
        ""√°"", ""á""
      ),
      ""√≥"", ""ó""
    )
  ),
  ""-""
)
"),"Tablet")</f>
        <v>Tablet</v>
      </c>
      <c r="O208" s="22" t="str">
        <f>IFERROR(__xludf.DUMMYFUNCTION("""COMPUTED_VALUE"""),"Mini")</f>
        <v>Mini</v>
      </c>
      <c r="P208" s="22" t="str">
        <f>IFERROR(__xludf.DUMMYFUNCTION("""COMPUTED_VALUE"""),"32GB")</f>
        <v>32GB</v>
      </c>
      <c r="Q208" s="23">
        <f t="shared" si="1"/>
        <v>1332.48</v>
      </c>
      <c r="R208" s="22">
        <f t="shared" si="2"/>
        <v>5</v>
      </c>
      <c r="S208" s="23">
        <f t="shared" si="3"/>
        <v>6662.4</v>
      </c>
      <c r="T208" s="22" t="str">
        <f>IFERROR(__xludf.DUMMYFUNCTION("PROPER(TRIM(
  LET(
    texto1, REGEXREPLACE(G208,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"),"Margarita Olivas")</f>
        <v>Margarita Olivas</v>
      </c>
      <c r="U208" s="22" t="str">
        <f t="shared" si="4"/>
        <v>82c801f7-86fa-465e-b47e-1a2faca2409f</v>
      </c>
      <c r="V208" s="24" t="str">
        <f t="shared" si="5"/>
        <v>Tablet Mini 32GB</v>
      </c>
    </row>
    <row r="209" ht="15.75" customHeight="1">
      <c r="A209" s="6">
        <v>45643.0</v>
      </c>
      <c r="B209" s="2" t="s">
        <v>38</v>
      </c>
      <c r="C209" s="2" t="s">
        <v>191</v>
      </c>
      <c r="D209" s="7">
        <v>1771.25</v>
      </c>
      <c r="E209" s="2">
        <v>4.0</v>
      </c>
      <c r="F209" s="7">
        <v>7085.0</v>
      </c>
      <c r="G209" s="2" t="s">
        <v>852</v>
      </c>
      <c r="H209" s="2" t="s">
        <v>853</v>
      </c>
      <c r="I209" s="2" t="s">
        <v>854</v>
      </c>
      <c r="K209" s="25" t="str">
        <f>IFERROR(__xludf.DUMMYFUNCTION("IF(ISBLANK(A209),
  """",
  IF(ISNUMBER(A209),
    TEXT(A209,""dd/mm/yyyy""),
    IF(
      REGEXMATCH(TRIM(A209),""^\d{1,2}/\d{1,2}/\d{4}$""),
      TRIM(A209),
      IFERROR(
        TEXT(DATEVALUE(SUBSTITUTE(SUBSTITUTE(TRIM(A209),""-"",""/""),""."",""/"&amp;""")),""dd/mm/yyyy""),
        TRIM(A209)
      )
    )
  )
)
"),"17/12/2024")</f>
        <v>17/12/2024</v>
      </c>
      <c r="L209" s="26">
        <v>45643.0</v>
      </c>
      <c r="M209" s="27" t="str">
        <f>IFERROR(__xludf.DUMMYFUNCTION("PROPER(TRIM(
  REGEXREPLACE(
    REGEXREPLACE(
      SUBSTITUTE(SUBSTITUTE(SUBSTITUTE(SUBSTITUTE(SUBSTITUTE(SUBSTITUTE(SUBSTITUTE(SUBSTITUTE(SUBSTITUTE(SUBSTITUTE(SUBSTITUTE(
        B209,""√©"",""é""),""√°"",""á""),""√±"",""ñ""),""√≥"",""ó""),""√â"",""é"&amp;"""),""√Å"",""á""),""√ç"",""í""),""√Ç"",""Í""),""√Â"",""é""),""√≠"",""í""),""√º"",""ú""),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09" s="28" t="str">
        <f>IFERROR(__xludf.DUMMYFUNCTION("SPLIT(
  TRIM(
    SUBSTITUTE(
      SUBSTITUTE(
        SUBSTITUTE(
          SUBSTITUTE(
            C209,
            ""√©"", ""é""
          ),
          ""√±"", ""ñ""
        ),
        ""√°"", ""á""
      ),
      ""√≥"", ""ó""
    )
  ),
  ""-""
)
"),"Auriculares")</f>
        <v>Auriculares</v>
      </c>
      <c r="O209" s="28" t="str">
        <f>IFERROR(__xludf.DUMMYFUNCTION("""COMPUTED_VALUE"""),"Cancelación de ruido")</f>
        <v>Cancelación de ruido</v>
      </c>
      <c r="P209" s="28" t="str">
        <f>IFERROR(__xludf.DUMMYFUNCTION("""COMPUTED_VALUE"""),"32GB")</f>
        <v>32GB</v>
      </c>
      <c r="Q209" s="29">
        <f t="shared" si="1"/>
        <v>1771.25</v>
      </c>
      <c r="R209" s="28">
        <f t="shared" si="2"/>
        <v>4</v>
      </c>
      <c r="S209" s="29">
        <f t="shared" si="3"/>
        <v>7085</v>
      </c>
      <c r="T209" s="28" t="str">
        <f>IFERROR(__xludf.DUMMYFUNCTION("PROPER(TRIM(
  LET(
    texto1, REGEXREPLACE(G209,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"),"Paulina Peres Carmona")</f>
        <v>Paulina Peres Carmona</v>
      </c>
      <c r="U209" s="28" t="str">
        <f t="shared" si="4"/>
        <v>df271a81-4486-42c3-b66a-88accdba843d</v>
      </c>
      <c r="V209" s="30" t="str">
        <f t="shared" si="5"/>
        <v>Auriculares Cancelación de ruido 32GB</v>
      </c>
    </row>
    <row r="210" ht="15.75" customHeight="1">
      <c r="A210" s="6">
        <v>45623.0</v>
      </c>
      <c r="B210" s="2" t="s">
        <v>101</v>
      </c>
      <c r="C210" s="2" t="s">
        <v>201</v>
      </c>
      <c r="D210" s="7">
        <v>788.6</v>
      </c>
      <c r="E210" s="2">
        <v>4.0</v>
      </c>
      <c r="F210" s="7">
        <v>3154.4</v>
      </c>
      <c r="G210" s="2" t="s">
        <v>856</v>
      </c>
      <c r="H210" s="2" t="s">
        <v>857</v>
      </c>
      <c r="I210" s="2" t="s">
        <v>858</v>
      </c>
      <c r="K210" s="19" t="str">
        <f>IFERROR(__xludf.DUMMYFUNCTION("IF(ISBLANK(A210),
  """",
  IF(ISNUMBER(A210),
    TEXT(A210,""dd/mm/yyyy""),
    IF(
      REGEXMATCH(TRIM(A210),""^\d{1,2}/\d{1,2}/\d{4}$""),
      TRIM(A210),
      IFERROR(
        TEXT(DATEVALUE(SUBSTITUTE(SUBSTITUTE(TRIM(A210),""-"",""/""),""."",""/"&amp;""")),""dd/mm/yyyy""),
        TRIM(A210)
      )
    )
  )
)
"),"27/11/2024")</f>
        <v>27/11/2024</v>
      </c>
      <c r="L210" s="20">
        <v>45623.0</v>
      </c>
      <c r="M210" s="21" t="str">
        <f>IFERROR(__xludf.DUMMYFUNCTION("PROPER(TRIM(
  REGEXREPLACE(
    REGEXREPLACE(
      SUBSTITUTE(SUBSTITUTE(SUBSTITUTE(SUBSTITUTE(SUBSTITUTE(SUBSTITUTE(SUBSTITUTE(SUBSTITUTE(SUBSTITUTE(SUBSTITUTE(SUBSTITUTE(
        B210,""√©"",""é""),""√°"",""á""),""√±"",""ñ""),""√≥"",""ó""),""√â"",""é"&amp;"""),""√Å"",""á""),""√ç"",""í""),""√Ç"",""Í""),""√Â"",""é""),""√≠"",""í""),""√º"",""ú""),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10" s="22" t="str">
        <f>IFERROR(__xludf.DUMMYFUNCTION("SPLIT(
  TRIM(
    SUBSTITUTE(
      SUBSTITUTE(
        SUBSTITUTE(
          SUBSTITUTE(
            C210,
            ""√©"", ""é""
          ),
          ""√±"", ""ñ""
        ),
        ""√°"", ""á""
      ),
      ""√≥"", ""ó""
    )
  ),
  ""-""
)
"),"Laptop")</f>
        <v>Laptop</v>
      </c>
      <c r="O210" s="22" t="str">
        <f>IFERROR(__xludf.DUMMYFUNCTION("""COMPUTED_VALUE"""),"Gaming")</f>
        <v>Gaming</v>
      </c>
      <c r="P210" s="22" t="str">
        <f>IFERROR(__xludf.DUMMYFUNCTION("""COMPUTED_VALUE"""),"4GB")</f>
        <v>4GB</v>
      </c>
      <c r="Q210" s="23">
        <f t="shared" si="1"/>
        <v>788.6</v>
      </c>
      <c r="R210" s="22">
        <f t="shared" si="2"/>
        <v>4</v>
      </c>
      <c r="S210" s="23">
        <f t="shared" si="3"/>
        <v>3154.4</v>
      </c>
      <c r="T210" s="22" t="str">
        <f>IFERROR(__xludf.DUMMYFUNCTION("PROPER(TRIM(
  LET(
    texto1, REGEXREPLACE(G210,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"),"Blanca Galarza")</f>
        <v>Blanca Galarza</v>
      </c>
      <c r="U210" s="22" t="str">
        <f t="shared" si="4"/>
        <v>67b79c05-b522-4593-8812-0d7f9fe8aead</v>
      </c>
      <c r="V210" s="24" t="str">
        <f t="shared" si="5"/>
        <v>Laptop Gaming 4GB</v>
      </c>
    </row>
    <row r="211" ht="15.75" customHeight="1">
      <c r="A211" s="6">
        <v>45576.0</v>
      </c>
      <c r="B211" s="2" t="s">
        <v>27</v>
      </c>
      <c r="C211" s="2" t="s">
        <v>111</v>
      </c>
      <c r="D211" s="7">
        <v>591.94</v>
      </c>
      <c r="E211" s="2">
        <v>2.0</v>
      </c>
      <c r="F211" s="7">
        <v>1183.88</v>
      </c>
      <c r="G211" s="2" t="s">
        <v>860</v>
      </c>
      <c r="H211" s="2" t="s">
        <v>861</v>
      </c>
      <c r="I211" s="2" t="s">
        <v>862</v>
      </c>
      <c r="K211" s="25" t="str">
        <f>IFERROR(__xludf.DUMMYFUNCTION("IF(ISBLANK(A211),
  """",
  IF(ISNUMBER(A211),
    TEXT(A211,""dd/mm/yyyy""),
    IF(
      REGEXMATCH(TRIM(A211),""^\d{1,2}/\d{1,2}/\d{4}$""),
      TRIM(A211),
      IFERROR(
        TEXT(DATEVALUE(SUBSTITUTE(SUBSTITUTE(TRIM(A211),""-"",""/""),""."",""/"&amp;""")),""dd/mm/yyyy""),
        TRIM(A211)
      )
    )
  )
)
"),"11/10/2024")</f>
        <v>11/10/2024</v>
      </c>
      <c r="L211" s="26">
        <v>45576.0</v>
      </c>
      <c r="M211" s="27" t="str">
        <f>IFERROR(__xludf.DUMMYFUNCTION("PROPER(TRIM(
  REGEXREPLACE(
    REGEXREPLACE(
      SUBSTITUTE(SUBSTITUTE(SUBSTITUTE(SUBSTITUTE(SUBSTITUTE(SUBSTITUTE(SUBSTITUTE(SUBSTITUTE(SUBSTITUTE(SUBSTITUTE(SUBSTITUTE(
        B211,""√©"",""é""),""√°"",""á""),""√±"",""ñ""),""√≥"",""ó""),""√â"",""é"&amp;"""),""√Å"",""á""),""√ç"",""í""),""√Ç"",""Í""),""√Â"",""é""),""√≠"",""í""),""√º"",""ú""),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11" s="28" t="str">
        <f>IFERROR(__xludf.DUMMYFUNCTION("SPLIT(
  TRIM(
    SUBSTITUTE(
      SUBSTITUTE(
        SUBSTITUTE(
          SUBSTITUTE(
            C211,
            ""√©"", ""é""
          ),
          ""√±"", ""ñ""
        ),
        ""√°"", ""á""
      ),
      ""√≥"", ""ó""
    )
  ),
  ""-""
)
"),"Tablet")</f>
        <v>Tablet</v>
      </c>
      <c r="O211" s="28" t="str">
        <f>IFERROR(__xludf.DUMMYFUNCTION("""COMPUTED_VALUE"""),"Estándar")</f>
        <v>Estándar</v>
      </c>
      <c r="P211" s="28" t="str">
        <f>IFERROR(__xludf.DUMMYFUNCTION("""COMPUTED_VALUE"""),"16GB")</f>
        <v>16GB</v>
      </c>
      <c r="Q211" s="29">
        <f t="shared" si="1"/>
        <v>591.94</v>
      </c>
      <c r="R211" s="28">
        <f t="shared" si="2"/>
        <v>2</v>
      </c>
      <c r="S211" s="29">
        <f t="shared" si="3"/>
        <v>1183.88</v>
      </c>
      <c r="T211" s="28" t="str">
        <f>IFERROR(__xludf.DUMMYFUNCTION("PROPER(TRIM(
  LET(
    texto1, REGEXREPLACE(G211,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"),"Eloy Godoy Del Río")</f>
        <v>Eloy Godoy Del Río</v>
      </c>
      <c r="U211" s="28" t="str">
        <f t="shared" si="4"/>
        <v>7ac1b8fd-c88f-4033-9061-4a7613449273</v>
      </c>
      <c r="V211" s="30" t="str">
        <f t="shared" si="5"/>
        <v>Tablet Estándar 16GB</v>
      </c>
    </row>
    <row r="212" ht="15.75" customHeight="1">
      <c r="A212" s="6">
        <v>45627.0</v>
      </c>
      <c r="B212" s="2" t="s">
        <v>16</v>
      </c>
      <c r="C212" s="2" t="s">
        <v>508</v>
      </c>
      <c r="D212" s="7">
        <v>2060.35</v>
      </c>
      <c r="E212" s="2">
        <v>3.0</v>
      </c>
      <c r="F212" s="7">
        <v>6181.05</v>
      </c>
      <c r="G212" s="2" t="s">
        <v>863</v>
      </c>
      <c r="H212" s="2" t="s">
        <v>864</v>
      </c>
      <c r="I212" s="2" t="s">
        <v>865</v>
      </c>
      <c r="K212" s="19" t="str">
        <f>IFERROR(__xludf.DUMMYFUNCTION("IF(ISBLANK(A212),
  """",
  IF(ISNUMBER(A212),
    TEXT(A212,""dd/mm/yyyy""),
    IF(
      REGEXMATCH(TRIM(A212),""^\d{1,2}/\d{1,2}/\d{4}$""),
      TRIM(A212),
      IFERROR(
        TEXT(DATEVALUE(SUBSTITUTE(SUBSTITUTE(TRIM(A212),""-"",""/""),""."",""/"&amp;""")),""dd/mm/yyyy""),
        TRIM(A212)
      )
    )
  )
)
"),"01/12/2024")</f>
        <v>01/12/2024</v>
      </c>
      <c r="L212" s="20">
        <v>45627.0</v>
      </c>
      <c r="M212" s="21" t="str">
        <f>IFERROR(__xludf.DUMMYFUNCTION("PROPER(TRIM(
  REGEXREPLACE(
    REGEXREPLACE(
      SUBSTITUTE(SUBSTITUTE(SUBSTITUTE(SUBSTITUTE(SUBSTITUTE(SUBSTITUTE(SUBSTITUTE(SUBSTITUTE(SUBSTITUTE(SUBSTITUTE(SUBSTITUTE(
        B212,""√©"",""é""),""√°"",""á""),""√±"",""ñ""),""√≥"",""ó""),""√â"",""é"&amp;"""),""√Å"",""á""),""√ç"",""í""),""√Ç"",""Í""),""√Â"",""é""),""√≠"",""í""),""√º"",""ú""),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12" s="22" t="str">
        <f>IFERROR(__xludf.DUMMYFUNCTION("SPLIT(
  TRIM(
    SUBSTITUTE(
      SUBSTITUTE(
        SUBSTITUTE(
          SUBSTITUTE(
            C212,
            ""√©"", ""é""
          ),
          ""√±"", ""ñ""
        ),
        ""√°"", ""á""
      ),
      ""√≥"", ""ó""
    )
  ),
  ""-""
)
"),"Auriculares")</f>
        <v>Auriculares</v>
      </c>
      <c r="O212" s="22" t="str">
        <f>IFERROR(__xludf.DUMMYFUNCTION("""COMPUTED_VALUE"""),"Cancelación de ruido")</f>
        <v>Cancelación de ruido</v>
      </c>
      <c r="P212" s="22" t="str">
        <f>IFERROR(__xludf.DUMMYFUNCTION("""COMPUTED_VALUE"""),"16GB")</f>
        <v>16GB</v>
      </c>
      <c r="Q212" s="23">
        <f t="shared" si="1"/>
        <v>2060.35</v>
      </c>
      <c r="R212" s="22">
        <f t="shared" si="2"/>
        <v>3</v>
      </c>
      <c r="S212" s="23">
        <f t="shared" si="3"/>
        <v>6181.05</v>
      </c>
      <c r="T212" s="22" t="str">
        <f>IFERROR(__xludf.DUMMYFUNCTION("PROPER(TRIM(
  LET(
    texto1, REGEXREPLACE(G212,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María Verdugo Pichardo")</f>
        <v>Ana María Verdugo Pichardo</v>
      </c>
      <c r="U212" s="22" t="str">
        <f t="shared" si="4"/>
        <v>1cc3a12d-c04b-4839-a053-31d0fce65570</v>
      </c>
      <c r="V212" s="24" t="str">
        <f t="shared" si="5"/>
        <v>Auriculares Cancelación de ruido 16GB</v>
      </c>
    </row>
    <row r="213" ht="15.75" customHeight="1">
      <c r="A213" s="6">
        <v>45622.0</v>
      </c>
      <c r="B213" s="2" t="s">
        <v>27</v>
      </c>
      <c r="C213" s="2" t="s">
        <v>45</v>
      </c>
      <c r="D213" s="7">
        <v>324.09</v>
      </c>
      <c r="E213" s="2">
        <v>2.0</v>
      </c>
      <c r="F213" s="7">
        <v>648.18</v>
      </c>
      <c r="G213" s="2" t="s">
        <v>867</v>
      </c>
      <c r="H213" s="2" t="s">
        <v>868</v>
      </c>
      <c r="I213" s="2" t="s">
        <v>869</v>
      </c>
      <c r="K213" s="25" t="str">
        <f>IFERROR(__xludf.DUMMYFUNCTION("IF(ISBLANK(A213),
  """",
  IF(ISNUMBER(A213),
    TEXT(A213,""dd/mm/yyyy""),
    IF(
      REGEXMATCH(TRIM(A213),""^\d{1,2}/\d{1,2}/\d{4}$""),
      TRIM(A213),
      IFERROR(
        TEXT(DATEVALUE(SUBSTITUTE(SUBSTITUTE(TRIM(A213),""-"",""/""),""."",""/"&amp;""")),""dd/mm/yyyy""),
        TRIM(A213)
      )
    )
  )
)
"),"26/11/2024")</f>
        <v>26/11/2024</v>
      </c>
      <c r="L213" s="26">
        <v>45622.0</v>
      </c>
      <c r="M213" s="27" t="str">
        <f>IFERROR(__xludf.DUMMYFUNCTION("PROPER(TRIM(
  REGEXREPLACE(
    REGEXREPLACE(
      SUBSTITUTE(SUBSTITUTE(SUBSTITUTE(SUBSTITUTE(SUBSTITUTE(SUBSTITUTE(SUBSTITUTE(SUBSTITUTE(SUBSTITUTE(SUBSTITUTE(SUBSTITUTE(
        B213,""√©"",""é""),""√°"",""á""),""√±"",""ñ""),""√≥"",""ó""),""√â"",""é"&amp;"""),""√Å"",""á""),""√ç"",""í""),""√Ç"",""Í""),""√Â"",""é""),""√≠"",""í""),""√º"",""ú""),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13" s="28" t="str">
        <f>IFERROR(__xludf.DUMMYFUNCTION("SPLIT(
  TRIM(
    SUBSTITUTE(
      SUBSTITUTE(
        SUBSTITUTE(
          SUBSTITUTE(
            C213,
            ""√©"", ""é""
          ),
          ""√±"", ""ñ""
        ),
        ""√°"", ""á""
      ),
      ""√≥"", ""ó""
    )
  ),
  ""-""
)
"),"Tablet")</f>
        <v>Tablet</v>
      </c>
      <c r="O213" s="28" t="str">
        <f>IFERROR(__xludf.DUMMYFUNCTION("""COMPUTED_VALUE"""),"Mini")</f>
        <v>Mini</v>
      </c>
      <c r="P213" s="28" t="str">
        <f>IFERROR(__xludf.DUMMYFUNCTION("""COMPUTED_VALUE"""),"4GB")</f>
        <v>4GB</v>
      </c>
      <c r="Q213" s="29">
        <f t="shared" si="1"/>
        <v>324.09</v>
      </c>
      <c r="R213" s="28">
        <f t="shared" si="2"/>
        <v>2</v>
      </c>
      <c r="S213" s="29">
        <f t="shared" si="3"/>
        <v>648.18</v>
      </c>
      <c r="T213" s="28" t="str">
        <f>IFERROR(__xludf.DUMMYFUNCTION("PROPER(TRIM(
  LET(
    texto1, REGEXREPLACE(G213,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"),"Diana Garza Alfaro")</f>
        <v>Diana Garza Alfaro</v>
      </c>
      <c r="U213" s="28" t="str">
        <f t="shared" si="4"/>
        <v>fd7d838f-61fb-4072-8a90-c3d1b393f61b</v>
      </c>
      <c r="V213" s="30" t="str">
        <f t="shared" si="5"/>
        <v>Tablet Mini 4GB</v>
      </c>
    </row>
    <row r="214" ht="15.75" customHeight="1">
      <c r="A214" s="6">
        <v>45574.0</v>
      </c>
      <c r="B214" s="2" t="s">
        <v>38</v>
      </c>
      <c r="C214" s="2" t="s">
        <v>91</v>
      </c>
      <c r="D214" s="7">
        <v>525.13</v>
      </c>
      <c r="E214" s="2">
        <v>2.0</v>
      </c>
      <c r="F214" s="7">
        <v>1050.26</v>
      </c>
      <c r="G214" s="2" t="s">
        <v>870</v>
      </c>
      <c r="H214" s="2" t="s">
        <v>871</v>
      </c>
      <c r="I214" s="2" t="s">
        <v>872</v>
      </c>
      <c r="K214" s="19" t="str">
        <f>IFERROR(__xludf.DUMMYFUNCTION("IF(ISBLANK(A214),
  """",
  IF(ISNUMBER(A214),
    TEXT(A214,""dd/mm/yyyy""),
    IF(
      REGEXMATCH(TRIM(A214),""^\d{1,2}/\d{1,2}/\d{4}$""),
      TRIM(A214),
      IFERROR(
        TEXT(DATEVALUE(SUBSTITUTE(SUBSTITUTE(TRIM(A214),""-"",""/""),""."",""/"&amp;""")),""dd/mm/yyyy""),
        TRIM(A214)
      )
    )
  )
)
"),"09/10/2024")</f>
        <v>09/10/2024</v>
      </c>
      <c r="L214" s="20">
        <v>45574.0</v>
      </c>
      <c r="M214" s="21" t="str">
        <f>IFERROR(__xludf.DUMMYFUNCTION("PROPER(TRIM(
  REGEXREPLACE(
    REGEXREPLACE(
      SUBSTITUTE(SUBSTITUTE(SUBSTITUTE(SUBSTITUTE(SUBSTITUTE(SUBSTITUTE(SUBSTITUTE(SUBSTITUTE(SUBSTITUTE(SUBSTITUTE(SUBSTITUTE(
        B214,""√©"",""é""),""√°"",""á""),""√±"",""ñ""),""√≥"",""ó""),""√â"",""é"&amp;"""),""√Å"",""á""),""√ç"",""í""),""√Ç"",""Í""),""√Â"",""é""),""√≠"",""í""),""√º"",""ú""),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14" s="22" t="str">
        <f>IFERROR(__xludf.DUMMYFUNCTION("SPLIT(
  TRIM(
    SUBSTITUTE(
      SUBSTITUTE(
        SUBSTITUTE(
          SUBSTITUTE(
            C214,
            ""√©"", ""é""
          ),
          ""√±"", ""ñ""
        ),
        ""√°"", ""á""
      ),
      ""√≥"", ""ó""
    )
  ),
  ""-""
)
"),"Tablet")</f>
        <v>Tablet</v>
      </c>
      <c r="O214" s="22" t="str">
        <f>IFERROR(__xludf.DUMMYFUNCTION("""COMPUTED_VALUE"""),"Mini")</f>
        <v>Mini</v>
      </c>
      <c r="P214" s="22" t="str">
        <f>IFERROR(__xludf.DUMMYFUNCTION("""COMPUTED_VALUE"""),"32GB")</f>
        <v>32GB</v>
      </c>
      <c r="Q214" s="23">
        <f t="shared" si="1"/>
        <v>525.13</v>
      </c>
      <c r="R214" s="22">
        <f t="shared" si="2"/>
        <v>2</v>
      </c>
      <c r="S214" s="23">
        <f t="shared" si="3"/>
        <v>1050.26</v>
      </c>
      <c r="T214" s="22" t="str">
        <f>IFERROR(__xludf.DUMMYFUNCTION("PROPER(TRIM(
  LET(
    texto1, REGEXREPLACE(G214,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José Noriega")</f>
        <v>María José Noriega</v>
      </c>
      <c r="U214" s="22" t="str">
        <f t="shared" si="4"/>
        <v>55a4140a-ad3c-4b67-9d33-7eb275fe9440</v>
      </c>
      <c r="V214" s="24" t="str">
        <f t="shared" si="5"/>
        <v>Tablet Mini 32GB</v>
      </c>
    </row>
    <row r="215" ht="15.75" customHeight="1">
      <c r="A215" s="6">
        <v>45635.0</v>
      </c>
      <c r="B215" s="2" t="s">
        <v>85</v>
      </c>
      <c r="C215" s="2" t="s">
        <v>111</v>
      </c>
      <c r="D215" s="7">
        <v>787.78</v>
      </c>
      <c r="E215" s="2">
        <v>3.0</v>
      </c>
      <c r="F215" s="7">
        <v>2363.34</v>
      </c>
      <c r="G215" s="2" t="s">
        <v>874</v>
      </c>
      <c r="H215" s="2" t="s">
        <v>875</v>
      </c>
      <c r="I215" s="2" t="s">
        <v>876</v>
      </c>
      <c r="K215" s="25" t="str">
        <f>IFERROR(__xludf.DUMMYFUNCTION("IF(ISBLANK(A215),
  """",
  IF(ISNUMBER(A215),
    TEXT(A215,""dd/mm/yyyy""),
    IF(
      REGEXMATCH(TRIM(A215),""^\d{1,2}/\d{1,2}/\d{4}$""),
      TRIM(A215),
      IFERROR(
        TEXT(DATEVALUE(SUBSTITUTE(SUBSTITUTE(TRIM(A215),""-"",""/""),""."",""/"&amp;""")),""dd/mm/yyyy""),
        TRIM(A215)
      )
    )
  )
)
"),"09/12/2024")</f>
        <v>09/12/2024</v>
      </c>
      <c r="L215" s="26">
        <v>45635.0</v>
      </c>
      <c r="M215" s="27" t="str">
        <f>IFERROR(__xludf.DUMMYFUNCTION("PROPER(TRIM(
  REGEXREPLACE(
    REGEXREPLACE(
      SUBSTITUTE(SUBSTITUTE(SUBSTITUTE(SUBSTITUTE(SUBSTITUTE(SUBSTITUTE(SUBSTITUTE(SUBSTITUTE(SUBSTITUTE(SUBSTITUTE(SUBSTITUTE(
        B215,""√©"",""é""),""√°"",""á""),""√±"",""ñ""),""√≥"",""ó""),""√â"",""é"&amp;"""),""√Å"",""á""),""√ç"",""í""),""√Ç"",""Í""),""√Â"",""é""),""√≠"",""í""),""√º"",""ú""),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15" s="28" t="str">
        <f>IFERROR(__xludf.DUMMYFUNCTION("SPLIT(
  TRIM(
    SUBSTITUTE(
      SUBSTITUTE(
        SUBSTITUTE(
          SUBSTITUTE(
            C215,
            ""√©"", ""é""
          ),
          ""√±"", ""ñ""
        ),
        ""√°"", ""á""
      ),
      ""√≥"", ""ó""
    )
  ),
  ""-""
)
"),"Tablet")</f>
        <v>Tablet</v>
      </c>
      <c r="O215" s="28" t="str">
        <f>IFERROR(__xludf.DUMMYFUNCTION("""COMPUTED_VALUE"""),"Estándar")</f>
        <v>Estándar</v>
      </c>
      <c r="P215" s="28" t="str">
        <f>IFERROR(__xludf.DUMMYFUNCTION("""COMPUTED_VALUE"""),"16GB")</f>
        <v>16GB</v>
      </c>
      <c r="Q215" s="29">
        <f t="shared" si="1"/>
        <v>787.78</v>
      </c>
      <c r="R215" s="28">
        <f t="shared" si="2"/>
        <v>3</v>
      </c>
      <c r="S215" s="29">
        <f t="shared" si="3"/>
        <v>2363.34</v>
      </c>
      <c r="T215" s="28" t="str">
        <f>IFERROR(__xludf.DUMMYFUNCTION("PROPER(TRIM(
  LET(
    texto1, REGEXREPLACE(G215,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"),"Timoteo Cynthia Cordero")</f>
        <v>Timoteo Cynthia Cordero</v>
      </c>
      <c r="U215" s="28" t="str">
        <f t="shared" si="4"/>
        <v>b5d4423c-9255-4859-8feb-44a8655b46a4</v>
      </c>
      <c r="V215" s="30" t="str">
        <f t="shared" si="5"/>
        <v>Tablet Estándar 16GB</v>
      </c>
    </row>
    <row r="216" ht="15.75" customHeight="1">
      <c r="A216" s="6">
        <v>45588.0</v>
      </c>
      <c r="B216" s="2" t="s">
        <v>101</v>
      </c>
      <c r="C216" s="2" t="s">
        <v>28</v>
      </c>
      <c r="D216" s="7">
        <v>1242.34</v>
      </c>
      <c r="E216" s="2">
        <v>5.0</v>
      </c>
      <c r="F216" s="7">
        <v>6211.7</v>
      </c>
      <c r="G216" s="2" t="s">
        <v>878</v>
      </c>
      <c r="H216" s="2" t="s">
        <v>879</v>
      </c>
      <c r="I216" s="2" t="s">
        <v>880</v>
      </c>
      <c r="K216" s="19" t="str">
        <f>IFERROR(__xludf.DUMMYFUNCTION("IF(ISBLANK(A216),
  """",
  IF(ISNUMBER(A216),
    TEXT(A216,""dd/mm/yyyy""),
    IF(
      REGEXMATCH(TRIM(A216),""^\d{1,2}/\d{1,2}/\d{4}$""),
      TRIM(A216),
      IFERROR(
        TEXT(DATEVALUE(SUBSTITUTE(SUBSTITUTE(TRIM(A216),""-"",""/""),""."",""/"&amp;""")),""dd/mm/yyyy""),
        TRIM(A216)
      )
    )
  )
)
"),"23/10/2024")</f>
        <v>23/10/2024</v>
      </c>
      <c r="L216" s="20">
        <v>45588.0</v>
      </c>
      <c r="M216" s="21" t="str">
        <f>IFERROR(__xludf.DUMMYFUNCTION("PROPER(TRIM(
  REGEXREPLACE(
    REGEXREPLACE(
      SUBSTITUTE(SUBSTITUTE(SUBSTITUTE(SUBSTITUTE(SUBSTITUTE(SUBSTITUTE(SUBSTITUTE(SUBSTITUTE(SUBSTITUTE(SUBSTITUTE(SUBSTITUTE(
        B216,""√©"",""é""),""√°"",""á""),""√±"",""ñ""),""√≥"",""ó""),""√â"",""é"&amp;"""),""√Å"",""á""),""√ç"",""í""),""√Ç"",""Í""),""√Â"",""é""),""√≠"",""í""),""√º"",""ú""),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16" s="22" t="str">
        <f>IFERROR(__xludf.DUMMYFUNCTION("SPLIT(
  TRIM(
    SUBSTITUTE(
      SUBSTITUTE(
        SUBSTITUTE(
          SUBSTITUTE(
            C216,
            ""√©"", ""é""
          ),
          ""√±"", ""ñ""
        ),
        ""√°"", ""á""
      ),
      ""√≥"", ""ó""
    )
  ),
  ""-""
)
"),"Tablet")</f>
        <v>Tablet</v>
      </c>
      <c r="O216" s="22" t="str">
        <f>IFERROR(__xludf.DUMMYFUNCTION("""COMPUTED_VALUE"""),"Pro")</f>
        <v>Pro</v>
      </c>
      <c r="P216" s="22" t="str">
        <f>IFERROR(__xludf.DUMMYFUNCTION("""COMPUTED_VALUE"""),"8GB")</f>
        <v>8GB</v>
      </c>
      <c r="Q216" s="23">
        <f t="shared" si="1"/>
        <v>1242.34</v>
      </c>
      <c r="R216" s="22">
        <f t="shared" si="2"/>
        <v>5</v>
      </c>
      <c r="S216" s="23">
        <f t="shared" si="3"/>
        <v>6211.7</v>
      </c>
      <c r="T216" s="22" t="str">
        <f>IFERROR(__xludf.DUMMYFUNCTION("PROPER(TRIM(
  LET(
    texto1, REGEXREPLACE(G216,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"),"César Barrera Orta")</f>
        <v>César Barrera Orta</v>
      </c>
      <c r="U216" s="22" t="str">
        <f t="shared" si="4"/>
        <v>16c09f74-0932-405b-8587-0165634b10b3</v>
      </c>
      <c r="V216" s="24" t="str">
        <f t="shared" si="5"/>
        <v>Tablet Pro 8GB</v>
      </c>
    </row>
    <row r="217" ht="15.75" customHeight="1">
      <c r="A217" s="6">
        <v>45588.0</v>
      </c>
      <c r="B217" s="2" t="s">
        <v>85</v>
      </c>
      <c r="C217" s="2" t="s">
        <v>201</v>
      </c>
      <c r="D217" s="7">
        <v>1657.62</v>
      </c>
      <c r="E217" s="2">
        <v>4.0</v>
      </c>
      <c r="F217" s="7">
        <v>6630.48</v>
      </c>
      <c r="G217" s="2" t="s">
        <v>881</v>
      </c>
      <c r="H217" s="2" t="s">
        <v>882</v>
      </c>
      <c r="I217" s="2" t="s">
        <v>883</v>
      </c>
      <c r="K217" s="25" t="str">
        <f>IFERROR(__xludf.DUMMYFUNCTION("IF(ISBLANK(A217),
  """",
  IF(ISNUMBER(A217),
    TEXT(A217,""dd/mm/yyyy""),
    IF(
      REGEXMATCH(TRIM(A217),""^\d{1,2}/\d{1,2}/\d{4}$""),
      TRIM(A217),
      IFERROR(
        TEXT(DATEVALUE(SUBSTITUTE(SUBSTITUTE(TRIM(A217),""-"",""/""),""."",""/"&amp;""")),""dd/mm/yyyy""),
        TRIM(A217)
      )
    )
  )
)
"),"23/10/2024")</f>
        <v>23/10/2024</v>
      </c>
      <c r="L217" s="26">
        <v>45588.0</v>
      </c>
      <c r="M217" s="27" t="str">
        <f>IFERROR(__xludf.DUMMYFUNCTION("PROPER(TRIM(
  REGEXREPLACE(
    REGEXREPLACE(
      SUBSTITUTE(SUBSTITUTE(SUBSTITUTE(SUBSTITUTE(SUBSTITUTE(SUBSTITUTE(SUBSTITUTE(SUBSTITUTE(SUBSTITUTE(SUBSTITUTE(SUBSTITUTE(
        B217,""√©"",""é""),""√°"",""á""),""√±"",""ñ""),""√≥"",""ó""),""√â"",""é"&amp;"""),""√Å"",""á""),""√ç"",""í""),""√Ç"",""Í""),""√Â"",""é""),""√≠"",""í""),""√º"",""ú""),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17" s="28" t="str">
        <f>IFERROR(__xludf.DUMMYFUNCTION("SPLIT(
  TRIM(
    SUBSTITUTE(
      SUBSTITUTE(
        SUBSTITUTE(
          SUBSTITUTE(
            C217,
            ""√©"", ""é""
          ),
          ""√±"", ""ñ""
        ),
        ""√°"", ""á""
      ),
      ""√≥"", ""ó""
    )
  ),
  ""-""
)
"),"Laptop")</f>
        <v>Laptop</v>
      </c>
      <c r="O217" s="28" t="str">
        <f>IFERROR(__xludf.DUMMYFUNCTION("""COMPUTED_VALUE"""),"Gaming")</f>
        <v>Gaming</v>
      </c>
      <c r="P217" s="28" t="str">
        <f>IFERROR(__xludf.DUMMYFUNCTION("""COMPUTED_VALUE"""),"4GB")</f>
        <v>4GB</v>
      </c>
      <c r="Q217" s="29">
        <f t="shared" si="1"/>
        <v>1657.62</v>
      </c>
      <c r="R217" s="28">
        <f t="shared" si="2"/>
        <v>4</v>
      </c>
      <c r="S217" s="29">
        <f t="shared" si="3"/>
        <v>6630.48</v>
      </c>
      <c r="T217" s="28" t="str">
        <f>IFERROR(__xludf.DUMMYFUNCTION("PROPER(TRIM(
  LET(
    texto1, REGEXREPLACE(G217,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"),"Jacobo Adán Aparicio Tejada")</f>
        <v>Jacobo Adán Aparicio Tejada</v>
      </c>
      <c r="U217" s="28" t="str">
        <f t="shared" si="4"/>
        <v>6bbde35c-e30d-4e24-884b-5b00ccf47e4b</v>
      </c>
      <c r="V217" s="30" t="str">
        <f t="shared" si="5"/>
        <v>Laptop Gaming 4GB</v>
      </c>
    </row>
    <row r="218" ht="15.75" customHeight="1">
      <c r="A218" s="36">
        <v>45424.0</v>
      </c>
      <c r="B218" s="2" t="s">
        <v>27</v>
      </c>
      <c r="C218" s="2" t="s">
        <v>885</v>
      </c>
      <c r="D218" s="7">
        <v>780.24</v>
      </c>
      <c r="E218" s="2">
        <v>3.0</v>
      </c>
      <c r="F218" s="7">
        <v>2340.72</v>
      </c>
      <c r="G218" s="2" t="s">
        <v>886</v>
      </c>
      <c r="H218" s="2" t="s">
        <v>887</v>
      </c>
      <c r="I218" s="2" t="s">
        <v>888</v>
      </c>
      <c r="K218" s="19" t="str">
        <f>IFERROR(__xludf.DUMMYFUNCTION("IF(ISBLANK(A218),
  """",
  IF(ISNUMBER(A218),
    TEXT(A218,""dd/mm/yyyy""),
    IF(
      REGEXMATCH(TRIM(A218),""^\d{1,2}/\d{1,2}/\d{4}$""),
      TRIM(A218),
      IFERROR(
        TEXT(DATEVALUE(SUBSTITUTE(SUBSTITUTE(TRIM(A218),""-"",""/""),""."",""/"&amp;""")),""dd/mm/yyyy""),
        TRIM(A218)
      )
    )
  )
)
"),"12/05/2024")</f>
        <v>12/05/2024</v>
      </c>
      <c r="L218" s="20">
        <v>45424.0</v>
      </c>
      <c r="M218" s="21" t="str">
        <f>IFERROR(__xludf.DUMMYFUNCTION("PROPER(TRIM(
  REGEXREPLACE(
    REGEXREPLACE(
      SUBSTITUTE(SUBSTITUTE(SUBSTITUTE(SUBSTITUTE(SUBSTITUTE(SUBSTITUTE(SUBSTITUTE(SUBSTITUTE(SUBSTITUTE(SUBSTITUTE(SUBSTITUTE(
        B218,""√©"",""é""),""√°"",""á""),""√±"",""ñ""),""√≥"",""ó""),""√â"",""é"&amp;"""),""√Å"",""á""),""√ç"",""í""),""√Ç"",""Í""),""√Â"",""é""),""√≠"",""í""),""√º"",""ú""),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18" s="22" t="str">
        <f>IFERROR(__xludf.DUMMYFUNCTION("SPLIT(
  TRIM(
    SUBSTITUTE(
      SUBSTITUTE(
        SUBSTITUTE(
          SUBSTITUTE(
            C218,
            ""√©"", ""é""
          ),
          ""√±"", ""ñ""
        ),
        ""√°"", ""á""
      ),
      ""√≥"", ""ó""
    )
  ),
  ""-""
)
"),"Auriculares")</f>
        <v>Auriculares</v>
      </c>
      <c r="O218" s="22" t="str">
        <f>IFERROR(__xludf.DUMMYFUNCTION("""COMPUTED_VALUE"""),"Cancelación de ruido")</f>
        <v>Cancelación de ruido</v>
      </c>
      <c r="P218" s="22" t="str">
        <f>IFERROR(__xludf.DUMMYFUNCTION("""COMPUTED_VALUE"""),"8GB")</f>
        <v>8GB</v>
      </c>
      <c r="Q218" s="23">
        <f t="shared" si="1"/>
        <v>780.24</v>
      </c>
      <c r="R218" s="22">
        <f t="shared" si="2"/>
        <v>3</v>
      </c>
      <c r="S218" s="23">
        <f t="shared" si="3"/>
        <v>2340.72</v>
      </c>
      <c r="T218" s="22" t="str">
        <f>IFERROR(__xludf.DUMMYFUNCTION("PROPER(TRIM(
  LET(
    texto1, REGEXREPLACE(G218,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"),"Clemente Irene Carrera")</f>
        <v>Clemente Irene Carrera</v>
      </c>
      <c r="U218" s="22" t="str">
        <f t="shared" si="4"/>
        <v>544cee72-594a-4c94-8dc6-243ba049fe28</v>
      </c>
      <c r="V218" s="24" t="str">
        <f t="shared" si="5"/>
        <v>Auriculares Cancelación de ruido 8GB</v>
      </c>
    </row>
    <row r="219" ht="15.75" customHeight="1">
      <c r="A219" s="6">
        <v>45593.0</v>
      </c>
      <c r="B219" s="2" t="s">
        <v>50</v>
      </c>
      <c r="C219" s="2" t="s">
        <v>111</v>
      </c>
      <c r="D219" s="7">
        <v>1832.39</v>
      </c>
      <c r="E219" s="2">
        <v>4.0</v>
      </c>
      <c r="F219" s="7">
        <v>7329.56</v>
      </c>
      <c r="G219" s="2" t="s">
        <v>889</v>
      </c>
      <c r="H219" s="2" t="s">
        <v>890</v>
      </c>
      <c r="I219" s="2" t="s">
        <v>891</v>
      </c>
      <c r="K219" s="25" t="str">
        <f>IFERROR(__xludf.DUMMYFUNCTION("IF(ISBLANK(A219),
  """",
  IF(ISNUMBER(A219),
    TEXT(A219,""dd/mm/yyyy""),
    IF(
      REGEXMATCH(TRIM(A219),""^\d{1,2}/\d{1,2}/\d{4}$""),
      TRIM(A219),
      IFERROR(
        TEXT(DATEVALUE(SUBSTITUTE(SUBSTITUTE(TRIM(A219),""-"",""/""),""."",""/"&amp;""")),""dd/mm/yyyy""),
        TRIM(A219)
      )
    )
  )
)
"),"28/10/2024")</f>
        <v>28/10/2024</v>
      </c>
      <c r="L219" s="26">
        <v>45593.0</v>
      </c>
      <c r="M219" s="27" t="str">
        <f>IFERROR(__xludf.DUMMYFUNCTION("PROPER(TRIM(
  REGEXREPLACE(
    REGEXREPLACE(
      SUBSTITUTE(SUBSTITUTE(SUBSTITUTE(SUBSTITUTE(SUBSTITUTE(SUBSTITUTE(SUBSTITUTE(SUBSTITUTE(SUBSTITUTE(SUBSTITUTE(SUBSTITUTE(
        B219,""√©"",""é""),""√°"",""á""),""√±"",""ñ""),""√≥"",""ó""),""√â"",""é"&amp;"""),""√Å"",""á""),""√ç"",""í""),""√Ç"",""Í""),""√Â"",""é""),""√≠"",""í""),""√º"",""ú""),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19" s="28" t="str">
        <f>IFERROR(__xludf.DUMMYFUNCTION("SPLIT(
  TRIM(
    SUBSTITUTE(
      SUBSTITUTE(
        SUBSTITUTE(
          SUBSTITUTE(
            C219,
            ""√©"", ""é""
          ),
          ""√±"", ""ñ""
        ),
        ""√°"", ""á""
      ),
      ""√≥"", ""ó""
    )
  ),
  ""-""
)
"),"Tablet")</f>
        <v>Tablet</v>
      </c>
      <c r="O219" s="28" t="str">
        <f>IFERROR(__xludf.DUMMYFUNCTION("""COMPUTED_VALUE"""),"Estándar")</f>
        <v>Estándar</v>
      </c>
      <c r="P219" s="28" t="str">
        <f>IFERROR(__xludf.DUMMYFUNCTION("""COMPUTED_VALUE"""),"16GB")</f>
        <v>16GB</v>
      </c>
      <c r="Q219" s="29">
        <f t="shared" si="1"/>
        <v>1832.39</v>
      </c>
      <c r="R219" s="28">
        <f t="shared" si="2"/>
        <v>4</v>
      </c>
      <c r="S219" s="29">
        <f t="shared" si="3"/>
        <v>7329.56</v>
      </c>
      <c r="T219" s="28" t="str">
        <f>IFERROR(__xludf.DUMMYFUNCTION("PROPER(TRIM(
  LET(
    texto1, REGEXREPLACE(G219,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Carlos Soledad Osorio Rodrígez")</f>
        <v>José Carlos Soledad Osorio Rodrígez</v>
      </c>
      <c r="U219" s="28" t="str">
        <f t="shared" si="4"/>
        <v>ff0b4f20-17ed-4610-9fc5-30d4da7e79e4</v>
      </c>
      <c r="V219" s="30" t="str">
        <f t="shared" si="5"/>
        <v>Tablet Estándar 16GB</v>
      </c>
    </row>
    <row r="220" ht="15.75" customHeight="1">
      <c r="A220" s="6">
        <v>45642.0</v>
      </c>
      <c r="B220" s="2" t="s">
        <v>27</v>
      </c>
      <c r="C220" s="2" t="s">
        <v>162</v>
      </c>
      <c r="D220" s="7">
        <v>205.57</v>
      </c>
      <c r="E220" s="2">
        <v>5.0</v>
      </c>
      <c r="F220" s="7">
        <v>1027.85</v>
      </c>
      <c r="G220" s="2" t="s">
        <v>892</v>
      </c>
      <c r="H220" s="2" t="s">
        <v>893</v>
      </c>
      <c r="I220" s="2" t="s">
        <v>894</v>
      </c>
      <c r="K220" s="19" t="str">
        <f>IFERROR(__xludf.DUMMYFUNCTION("IF(ISBLANK(A220),
  """",
  IF(ISNUMBER(A220),
    TEXT(A220,""dd/mm/yyyy""),
    IF(
      REGEXMATCH(TRIM(A220),""^\d{1,2}/\d{1,2}/\d{4}$""),
      TRIM(A220),
      IFERROR(
        TEXT(DATEVALUE(SUBSTITUTE(SUBSTITUTE(TRIM(A220),""-"",""/""),""."",""/"&amp;""")),""dd/mm/yyyy""),
        TRIM(A220)
      )
    )
  )
)
"),"16/12/2024")</f>
        <v>16/12/2024</v>
      </c>
      <c r="L220" s="20">
        <v>45642.0</v>
      </c>
      <c r="M220" s="21" t="str">
        <f>IFERROR(__xludf.DUMMYFUNCTION("PROPER(TRIM(
  REGEXREPLACE(
    REGEXREPLACE(
      SUBSTITUTE(SUBSTITUTE(SUBSTITUTE(SUBSTITUTE(SUBSTITUTE(SUBSTITUTE(SUBSTITUTE(SUBSTITUTE(SUBSTITUTE(SUBSTITUTE(SUBSTITUTE(
        B220,""√©"",""é""),""√°"",""á""),""√±"",""ñ""),""√≥"",""ó""),""√â"",""é"&amp;"""),""√Å"",""á""),""√ç"",""í""),""√Ç"",""Í""),""√Â"",""é""),""√≠"",""í""),""√º"",""ú""),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20" s="22" t="str">
        <f>IFERROR(__xludf.DUMMYFUNCTION("SPLIT(
  TRIM(
    SUBSTITUTE(
      SUBSTITUTE(
        SUBSTITUTE(
          SUBSTITUTE(
            C220,
            ""√©"", ""é""
          ),
          ""√±"", ""ñ""
        ),
        ""√°"", ""á""
      ),
      ""√≥"", ""ó""
    )
  ),
  ""-""
)
"),"Teléfono")</f>
        <v>Teléfono</v>
      </c>
      <c r="O220" s="22" t="str">
        <f>IFERROR(__xludf.DUMMYFUNCTION("""COMPUTED_VALUE"""),"Gama alta")</f>
        <v>Gama alta</v>
      </c>
      <c r="P220" s="22" t="str">
        <f>IFERROR(__xludf.DUMMYFUNCTION("""COMPUTED_VALUE"""),"16GB")</f>
        <v>16GB</v>
      </c>
      <c r="Q220" s="23">
        <f t="shared" si="1"/>
        <v>205.57</v>
      </c>
      <c r="R220" s="22">
        <f t="shared" si="2"/>
        <v>5</v>
      </c>
      <c r="S220" s="23">
        <f t="shared" si="3"/>
        <v>1027.85</v>
      </c>
      <c r="T220" s="22" t="str">
        <f>IFERROR(__xludf.DUMMYFUNCTION("PROPER(TRIM(
  LET(
    texto1, REGEXREPLACE(G220,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"),"Salma Andrés Montañez")</f>
        <v>Salma Andrés Montañez</v>
      </c>
      <c r="U220" s="22" t="str">
        <f t="shared" si="4"/>
        <v>3b41356a-51cc-450b-9098-9b6959c32336</v>
      </c>
      <c r="V220" s="24" t="str">
        <f t="shared" si="5"/>
        <v>Teléfono Gama alta 16GB</v>
      </c>
    </row>
    <row r="221" ht="15.75" customHeight="1">
      <c r="A221" s="6">
        <v>45623.0</v>
      </c>
      <c r="B221" s="2" t="s">
        <v>27</v>
      </c>
      <c r="C221" s="2" t="s">
        <v>397</v>
      </c>
      <c r="D221" s="7">
        <v>1219.75</v>
      </c>
      <c r="E221" s="2">
        <v>2.0</v>
      </c>
      <c r="F221" s="7">
        <v>2439.5</v>
      </c>
      <c r="G221" s="2" t="s">
        <v>896</v>
      </c>
      <c r="H221" s="2" t="s">
        <v>897</v>
      </c>
      <c r="I221" s="2" t="s">
        <v>898</v>
      </c>
      <c r="K221" s="25" t="str">
        <f>IFERROR(__xludf.DUMMYFUNCTION("IF(ISBLANK(A221),
  """",
  IF(ISNUMBER(A221),
    TEXT(A221,""dd/mm/yyyy""),
    IF(
      REGEXMATCH(TRIM(A221),""^\d{1,2}/\d{1,2}/\d{4}$""),
      TRIM(A221),
      IFERROR(
        TEXT(DATEVALUE(SUBSTITUTE(SUBSTITUTE(TRIM(A221),""-"",""/""),""."",""/"&amp;""")),""dd/mm/yyyy""),
        TRIM(A221)
      )
    )
  )
)
"),"27/11/2024")</f>
        <v>27/11/2024</v>
      </c>
      <c r="L221" s="26">
        <v>45623.0</v>
      </c>
      <c r="M221" s="27" t="str">
        <f>IFERROR(__xludf.DUMMYFUNCTION("PROPER(TRIM(
  REGEXREPLACE(
    REGEXREPLACE(
      SUBSTITUTE(SUBSTITUTE(SUBSTITUTE(SUBSTITUTE(SUBSTITUTE(SUBSTITUTE(SUBSTITUTE(SUBSTITUTE(SUBSTITUTE(SUBSTITUTE(SUBSTITUTE(
        B221,""√©"",""é""),""√°"",""á""),""√±"",""ñ""),""√≥"",""ó""),""√â"",""é"&amp;"""),""√Å"",""á""),""√ç"",""í""),""√Ç"",""Í""),""√Â"",""é""),""√≠"",""í""),""√º"",""ú""),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21" s="28" t="str">
        <f>IFERROR(__xludf.DUMMYFUNCTION("SPLIT(
  TRIM(
    SUBSTITUTE(
      SUBSTITUTE(
        SUBSTITUTE(
          SUBSTITUTE(
            C221,
            ""√©"", ""é""
          ),
          ""√±"", ""ñ""
        ),
        ""√°"", ""á""
      ),
      ""√≥"", ""ó""
    )
  ),
  ""-""
)
"),"Teléfono")</f>
        <v>Teléfono</v>
      </c>
      <c r="O221" s="28" t="str">
        <f>IFERROR(__xludf.DUMMYFUNCTION("""COMPUTED_VALUE"""),"Gama media")</f>
        <v>Gama media</v>
      </c>
      <c r="P221" s="28" t="str">
        <f>IFERROR(__xludf.DUMMYFUNCTION("""COMPUTED_VALUE"""),"32GB")</f>
        <v>32GB</v>
      </c>
      <c r="Q221" s="29">
        <f t="shared" si="1"/>
        <v>1219.75</v>
      </c>
      <c r="R221" s="28">
        <f t="shared" si="2"/>
        <v>2</v>
      </c>
      <c r="S221" s="29">
        <f t="shared" si="3"/>
        <v>2439.5</v>
      </c>
      <c r="T221" s="28" t="str">
        <f>IFERROR(__xludf.DUMMYFUNCTION("PROPER(TRIM(
  LET(
    texto1, REGEXREPLACE(G221,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"),"Isabela Amador")</f>
        <v>Isabela Amador</v>
      </c>
      <c r="U221" s="28" t="str">
        <f t="shared" si="4"/>
        <v>2a1cc810-f23f-44be-ad5d-2c2061de3b67</v>
      </c>
      <c r="V221" s="30" t="str">
        <f t="shared" si="5"/>
        <v>Teléfono Gama media 32GB</v>
      </c>
    </row>
    <row r="222" ht="15.75" customHeight="1">
      <c r="A222" s="36">
        <v>45514.0</v>
      </c>
      <c r="B222" s="2" t="s">
        <v>16</v>
      </c>
      <c r="C222" s="2" t="s">
        <v>147</v>
      </c>
      <c r="D222" s="7">
        <v>1126.91</v>
      </c>
      <c r="E222" s="2">
        <v>3.0</v>
      </c>
      <c r="F222" s="7">
        <v>3380.73</v>
      </c>
      <c r="G222" s="2" t="s">
        <v>900</v>
      </c>
      <c r="H222" s="2" t="s">
        <v>901</v>
      </c>
      <c r="I222" s="2" t="s">
        <v>902</v>
      </c>
      <c r="K222" s="19" t="str">
        <f>IFERROR(__xludf.DUMMYFUNCTION("IF(ISBLANK(A222),
  """",
  IF(ISNUMBER(A222),
    TEXT(A222,""dd/mm/yyyy""),
    IF(
      REGEXMATCH(TRIM(A222),""^\d{1,2}/\d{1,2}/\d{4}$""),
      TRIM(A222),
      IFERROR(
        TEXT(DATEVALUE(SUBSTITUTE(SUBSTITUTE(TRIM(A222),""-"",""/""),""."",""/"&amp;""")),""dd/mm/yyyy""),
        TRIM(A222)
      )
    )
  )
)
"),"10/08/2024")</f>
        <v>10/08/2024</v>
      </c>
      <c r="L222" s="20">
        <v>45514.0</v>
      </c>
      <c r="M222" s="21" t="str">
        <f>IFERROR(__xludf.DUMMYFUNCTION("PROPER(TRIM(
  REGEXREPLACE(
    REGEXREPLACE(
      SUBSTITUTE(SUBSTITUTE(SUBSTITUTE(SUBSTITUTE(SUBSTITUTE(SUBSTITUTE(SUBSTITUTE(SUBSTITUTE(SUBSTITUTE(SUBSTITUTE(SUBSTITUTE(
        B222,""√©"",""é""),""√°"",""á""),""√±"",""ñ""),""√≥"",""ó""),""√â"",""é"&amp;"""),""√Å"",""á""),""√ç"",""í""),""√Ç"",""Í""),""√Â"",""é""),""√≠"",""í""),""√º"",""ú""),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22" s="22" t="str">
        <f>IFERROR(__xludf.DUMMYFUNCTION("SPLIT(
  TRIM(
    SUBSTITUTE(
      SUBSTITUTE(
        SUBSTITUTE(
          SUBSTITUTE(
            C222,
            ""√©"", ""é""
          ),
          ""√±"", ""ñ""
        ),
        ""√°"", ""á""
      ),
      ""√≥"", ""ó""
    )
  ),
  ""-""
)
"),"Laptop")</f>
        <v>Laptop</v>
      </c>
      <c r="O222" s="22" t="str">
        <f>IFERROR(__xludf.DUMMYFUNCTION("""COMPUTED_VALUE"""),"Oficina")</f>
        <v>Oficina</v>
      </c>
      <c r="P222" s="22" t="str">
        <f>IFERROR(__xludf.DUMMYFUNCTION("""COMPUTED_VALUE"""),"16GB")</f>
        <v>16GB</v>
      </c>
      <c r="Q222" s="23">
        <f t="shared" si="1"/>
        <v>1126.91</v>
      </c>
      <c r="R222" s="22">
        <f t="shared" si="2"/>
        <v>3</v>
      </c>
      <c r="S222" s="23">
        <f t="shared" si="3"/>
        <v>3380.73</v>
      </c>
      <c r="T222" s="22" t="str">
        <f>IFERROR(__xludf.DUMMYFUNCTION("PROPER(TRIM(
  LET(
    texto1, REGEXREPLACE(G222,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"),"Cristal De La O Tovar")</f>
        <v>Cristal De La O Tovar</v>
      </c>
      <c r="U222" s="22" t="str">
        <f t="shared" si="4"/>
        <v>9d884542-5d01-4a57-bd22-ce173740036f</v>
      </c>
      <c r="V222" s="24" t="str">
        <f t="shared" si="5"/>
        <v>Laptop Oficina 16GB</v>
      </c>
    </row>
    <row r="223" ht="15.75" customHeight="1">
      <c r="A223" s="6">
        <v>45579.0</v>
      </c>
      <c r="B223" s="2" t="s">
        <v>27</v>
      </c>
      <c r="C223" s="2" t="s">
        <v>186</v>
      </c>
      <c r="D223" s="7">
        <v>1950.45</v>
      </c>
      <c r="E223" s="2">
        <v>4.0</v>
      </c>
      <c r="F223" s="7">
        <v>7801.8</v>
      </c>
      <c r="G223" s="2" t="s">
        <v>904</v>
      </c>
      <c r="H223" s="2" t="s">
        <v>905</v>
      </c>
      <c r="I223" s="2" t="s">
        <v>906</v>
      </c>
      <c r="K223" s="25" t="str">
        <f>IFERROR(__xludf.DUMMYFUNCTION("IF(ISBLANK(A223),
  """",
  IF(ISNUMBER(A223),
    TEXT(A223,""dd/mm/yyyy""),
    IF(
      REGEXMATCH(TRIM(A223),""^\d{1,2}/\d{1,2}/\d{4}$""),
      TRIM(A223),
      IFERROR(
        TEXT(DATEVALUE(SUBSTITUTE(SUBSTITUTE(TRIM(A223),""-"",""/""),""."",""/"&amp;""")),""dd/mm/yyyy""),
        TRIM(A223)
      )
    )
  )
)
"),"14/10/2024")</f>
        <v>14/10/2024</v>
      </c>
      <c r="L223" s="26">
        <v>45579.0</v>
      </c>
      <c r="M223" s="27" t="str">
        <f>IFERROR(__xludf.DUMMYFUNCTION("PROPER(TRIM(
  REGEXREPLACE(
    REGEXREPLACE(
      SUBSTITUTE(SUBSTITUTE(SUBSTITUTE(SUBSTITUTE(SUBSTITUTE(SUBSTITUTE(SUBSTITUTE(SUBSTITUTE(SUBSTITUTE(SUBSTITUTE(SUBSTITUTE(
        B223,""√©"",""é""),""√°"",""á""),""√±"",""ñ""),""√≥"",""ó""),""√â"",""é"&amp;"""),""√Å"",""á""),""√ç"",""í""),""√Ç"",""Í""),""√Â"",""é""),""√≠"",""í""),""√º"",""ú""),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23" s="28" t="str">
        <f>IFERROR(__xludf.DUMMYFUNCTION("SPLIT(
  TRIM(
    SUBSTITUTE(
      SUBSTITUTE(
        SUBSTITUTE(
          SUBSTITUTE(
            C223,
            ""√©"", ""é""
          ),
          ""√±"", ""ñ""
        ),
        ""√°"", ""á""
      ),
      ""√≥"", ""ó""
    )
  ),
  ""-""
)
"),"Tablet")</f>
        <v>Tablet</v>
      </c>
      <c r="O223" s="28" t="str">
        <f>IFERROR(__xludf.DUMMYFUNCTION("""COMPUTED_VALUE"""),"Mini")</f>
        <v>Mini</v>
      </c>
      <c r="P223" s="28" t="str">
        <f>IFERROR(__xludf.DUMMYFUNCTION("""COMPUTED_VALUE"""),"8GB")</f>
        <v>8GB</v>
      </c>
      <c r="Q223" s="29">
        <f t="shared" si="1"/>
        <v>1950.45</v>
      </c>
      <c r="R223" s="28">
        <f t="shared" si="2"/>
        <v>4</v>
      </c>
      <c r="S223" s="29">
        <f t="shared" si="3"/>
        <v>7801.8</v>
      </c>
      <c r="T223" s="28" t="str">
        <f>IFERROR(__xludf.DUMMYFUNCTION("PROPER(TRIM(
  LET(
    texto1, REGEXREPLACE(G223,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"),"Angélica Bueno Olvera")</f>
        <v>Angélica Bueno Olvera</v>
      </c>
      <c r="U223" s="28" t="str">
        <f t="shared" si="4"/>
        <v>9ffc235a-1e2b-44c3-80ec-61b7a7d4cbc5</v>
      </c>
      <c r="V223" s="30" t="str">
        <f t="shared" si="5"/>
        <v>Tablet Mini 8GB</v>
      </c>
    </row>
    <row r="224" ht="15.75" customHeight="1">
      <c r="A224" s="36">
        <v>45485.0</v>
      </c>
      <c r="B224" s="2" t="s">
        <v>50</v>
      </c>
      <c r="C224" s="2" t="s">
        <v>206</v>
      </c>
      <c r="D224" s="7">
        <v>1940.18</v>
      </c>
      <c r="E224" s="2">
        <v>3.0</v>
      </c>
      <c r="F224" s="7">
        <v>5820.54</v>
      </c>
      <c r="G224" s="2" t="s">
        <v>908</v>
      </c>
      <c r="H224" s="2" t="s">
        <v>909</v>
      </c>
      <c r="I224" s="2" t="s">
        <v>910</v>
      </c>
      <c r="K224" s="19" t="str">
        <f>IFERROR(__xludf.DUMMYFUNCTION("IF(ISBLANK(A224),
  """",
  IF(ISNUMBER(A224),
    TEXT(A224,""dd/mm/yyyy""),
    IF(
      REGEXMATCH(TRIM(A224),""^\d{1,2}/\d{1,2}/\d{4}$""),
      TRIM(A224),
      IFERROR(
        TEXT(DATEVALUE(SUBSTITUTE(SUBSTITUTE(TRIM(A224),""-"",""/""),""."",""/"&amp;""")),""dd/mm/yyyy""),
        TRIM(A224)
      )
    )
  )
)
"),"12/07/2024")</f>
        <v>12/07/2024</v>
      </c>
      <c r="L224" s="20">
        <v>45485.0</v>
      </c>
      <c r="M224" s="21" t="str">
        <f>IFERROR(__xludf.DUMMYFUNCTION("PROPER(TRIM(
  REGEXREPLACE(
    REGEXREPLACE(
      SUBSTITUTE(SUBSTITUTE(SUBSTITUTE(SUBSTITUTE(SUBSTITUTE(SUBSTITUTE(SUBSTITUTE(SUBSTITUTE(SUBSTITUTE(SUBSTITUTE(SUBSTITUTE(
        B224,""√©"",""é""),""√°"",""á""),""√±"",""ñ""),""√≥"",""ó""),""√â"",""é"&amp;"""),""√Å"",""á""),""√ç"",""í""),""√Ç"",""Í""),""√Â"",""é""),""√≠"",""í""),""√º"",""ú""),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24" s="22" t="str">
        <f>IFERROR(__xludf.DUMMYFUNCTION("SPLIT(
  TRIM(
    SUBSTITUTE(
      SUBSTITUTE(
        SUBSTITUTE(
          SUBSTITUTE(
            C224,
            ""√©"", ""é""
          ),
          ""√±"", ""ñ""
        ),
        ""√°"", ""á""
      ),
      ""√≥"", ""ó""
    )
  ),
  ""-""
)
"),"Auriculares")</f>
        <v>Auriculares</v>
      </c>
      <c r="O224" s="22" t="str">
        <f>IFERROR(__xludf.DUMMYFUNCTION("""COMPUTED_VALUE"""),"Bluetooth")</f>
        <v>Bluetooth</v>
      </c>
      <c r="P224" s="22" t="str">
        <f>IFERROR(__xludf.DUMMYFUNCTION("""COMPUTED_VALUE"""),"4GB")</f>
        <v>4GB</v>
      </c>
      <c r="Q224" s="23">
        <f t="shared" si="1"/>
        <v>1940.18</v>
      </c>
      <c r="R224" s="22">
        <f t="shared" si="2"/>
        <v>3</v>
      </c>
      <c r="S224" s="23">
        <f t="shared" si="3"/>
        <v>5820.54</v>
      </c>
      <c r="T224" s="22" t="str">
        <f>IFERROR(__xludf.DUMMYFUNCTION("PROPER(TRIM(
  LET(
    texto1, REGEXREPLACE(G224,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"),"Salvador Berríos Preciado")</f>
        <v>Salvador Berríos Preciado</v>
      </c>
      <c r="U224" s="22" t="str">
        <f t="shared" si="4"/>
        <v>e387b8f5-c2cb-4dfe-a9c5-5747a0bf2ba4</v>
      </c>
      <c r="V224" s="24" t="str">
        <f t="shared" si="5"/>
        <v>Auriculares Bluetooth 4GB</v>
      </c>
    </row>
    <row r="225" ht="15.75" customHeight="1">
      <c r="A225" s="6">
        <v>45625.0</v>
      </c>
      <c r="B225" s="2" t="s">
        <v>85</v>
      </c>
      <c r="C225" s="2" t="s">
        <v>86</v>
      </c>
      <c r="D225" s="7">
        <v>251.95</v>
      </c>
      <c r="E225" s="2">
        <v>5.0</v>
      </c>
      <c r="F225" s="7">
        <v>1259.75</v>
      </c>
      <c r="G225" s="2" t="s">
        <v>912</v>
      </c>
      <c r="H225" s="2" t="s">
        <v>913</v>
      </c>
      <c r="I225" s="2" t="s">
        <v>914</v>
      </c>
      <c r="K225" s="25" t="str">
        <f>IFERROR(__xludf.DUMMYFUNCTION("IF(ISBLANK(A225),
  """",
  IF(ISNUMBER(A225),
    TEXT(A225,""dd/mm/yyyy""),
    IF(
      REGEXMATCH(TRIM(A225),""^\d{1,2}/\d{1,2}/\d{4}$""),
      TRIM(A225),
      IFERROR(
        TEXT(DATEVALUE(SUBSTITUTE(SUBSTITUTE(TRIM(A225),""-"",""/""),""."",""/"&amp;""")),""dd/mm/yyyy""),
        TRIM(A225)
      )
    )
  )
)
"),"29/11/2024")</f>
        <v>29/11/2024</v>
      </c>
      <c r="L225" s="26">
        <v>45625.0</v>
      </c>
      <c r="M225" s="27" t="str">
        <f>IFERROR(__xludf.DUMMYFUNCTION("PROPER(TRIM(
  REGEXREPLACE(
    REGEXREPLACE(
      SUBSTITUTE(SUBSTITUTE(SUBSTITUTE(SUBSTITUTE(SUBSTITUTE(SUBSTITUTE(SUBSTITUTE(SUBSTITUTE(SUBSTITUTE(SUBSTITUTE(SUBSTITUTE(
        B225,""√©"",""é""),""√°"",""á""),""√±"",""ñ""),""√≥"",""ó""),""√â"",""é"&amp;"""),""√Å"",""á""),""√ç"",""í""),""√Ç"",""Í""),""√Â"",""é""),""√≠"",""í""),""√º"",""ú""),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25" s="28" t="str">
        <f>IFERROR(__xludf.DUMMYFUNCTION("SPLIT(
  TRIM(
    SUBSTITUTE(
      SUBSTITUTE(
        SUBSTITUTE(
          SUBSTITUTE(
            C225,
            ""√©"", ""é""
          ),
          ""√±"", ""ñ""
        ),
        ""√°"", ""á""
      ),
      ""√≥"", ""ó""
    )
  ),
  ""-""
)
"),"Tablet")</f>
        <v>Tablet</v>
      </c>
      <c r="O225" s="28" t="str">
        <f>IFERROR(__xludf.DUMMYFUNCTION("""COMPUTED_VALUE"""),"Pro")</f>
        <v>Pro</v>
      </c>
      <c r="P225" s="28" t="str">
        <f>IFERROR(__xludf.DUMMYFUNCTION("""COMPUTED_VALUE"""),"32GB")</f>
        <v>32GB</v>
      </c>
      <c r="Q225" s="29">
        <f t="shared" si="1"/>
        <v>251.95</v>
      </c>
      <c r="R225" s="28">
        <f t="shared" si="2"/>
        <v>5</v>
      </c>
      <c r="S225" s="29">
        <f t="shared" si="3"/>
        <v>1259.75</v>
      </c>
      <c r="T225" s="28" t="str">
        <f>IFERROR(__xludf.DUMMYFUNCTION("PROPER(TRIM(
  LET(
    texto1, REGEXREPLACE(G225,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"),"Blanca Gabriela Arenas")</f>
        <v>Blanca Gabriela Arenas</v>
      </c>
      <c r="U225" s="28" t="str">
        <f t="shared" si="4"/>
        <v>53cd2e8b-92e5-4411-a0ca-9f936ff0be49</v>
      </c>
      <c r="V225" s="30" t="str">
        <f t="shared" si="5"/>
        <v>Tablet Pro 32GB</v>
      </c>
    </row>
    <row r="226" ht="15.75" customHeight="1">
      <c r="A226" s="36">
        <v>45394.0</v>
      </c>
      <c r="B226" s="2" t="s">
        <v>101</v>
      </c>
      <c r="C226" s="2" t="s">
        <v>311</v>
      </c>
      <c r="D226" s="7">
        <v>1378.81</v>
      </c>
      <c r="E226" s="2">
        <v>3.0</v>
      </c>
      <c r="F226" s="7">
        <v>4136.43</v>
      </c>
      <c r="G226" s="2" t="s">
        <v>916</v>
      </c>
      <c r="H226" s="2" t="s">
        <v>917</v>
      </c>
      <c r="I226" s="2" t="s">
        <v>918</v>
      </c>
      <c r="K226" s="19" t="str">
        <f>IFERROR(__xludf.DUMMYFUNCTION("IF(ISBLANK(A226),
  """",
  IF(ISNUMBER(A226),
    TEXT(A226,""dd/mm/yyyy""),
    IF(
      REGEXMATCH(TRIM(A226),""^\d{1,2}/\d{1,2}/\d{4}$""),
      TRIM(A226),
      IFERROR(
        TEXT(DATEVALUE(SUBSTITUTE(SUBSTITUTE(TRIM(A226),""-"",""/""),""."",""/"&amp;""")),""dd/mm/yyyy""),
        TRIM(A226)
      )
    )
  )
)
"),"12/04/2024")</f>
        <v>12/04/2024</v>
      </c>
      <c r="L226" s="20">
        <v>45394.0</v>
      </c>
      <c r="M226" s="21" t="str">
        <f>IFERROR(__xludf.DUMMYFUNCTION("PROPER(TRIM(
  REGEXREPLACE(
    REGEXREPLACE(
      SUBSTITUTE(SUBSTITUTE(SUBSTITUTE(SUBSTITUTE(SUBSTITUTE(SUBSTITUTE(SUBSTITUTE(SUBSTITUTE(SUBSTITUTE(SUBSTITUTE(SUBSTITUTE(
        B226,""√©"",""é""),""√°"",""á""),""√±"",""ñ""),""√≥"",""ó""),""√â"",""é"&amp;"""),""√Å"",""á""),""√ç"",""í""),""√Ç"",""Í""),""√Â"",""é""),""√≠"",""í""),""√º"",""ú""),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26" s="22" t="str">
        <f>IFERROR(__xludf.DUMMYFUNCTION("SPLIT(
  TRIM(
    SUBSTITUTE(
      SUBSTITUTE(
        SUBSTITUTE(
          SUBSTITUTE(
            C226,
            ""√©"", ""é""
          ),
          ""√±"", ""ñ""
        ),
        ""√°"", ""á""
      ),
      ""√≥"", ""ó""
    )
  ),
  ""-""
)
"),"Laptop")</f>
        <v>Laptop</v>
      </c>
      <c r="O226" s="22" t="str">
        <f>IFERROR(__xludf.DUMMYFUNCTION("""COMPUTED_VALUE"""),"Oficina")</f>
        <v>Oficina</v>
      </c>
      <c r="P226" s="22" t="str">
        <f>IFERROR(__xludf.DUMMYFUNCTION("""COMPUTED_VALUE"""),"4GB")</f>
        <v>4GB</v>
      </c>
      <c r="Q226" s="23">
        <f t="shared" si="1"/>
        <v>1378.81</v>
      </c>
      <c r="R226" s="22">
        <f t="shared" si="2"/>
        <v>3</v>
      </c>
      <c r="S226" s="23">
        <f t="shared" si="3"/>
        <v>4136.43</v>
      </c>
      <c r="T226" s="22" t="str">
        <f>IFERROR(__xludf.DUMMYFUNCTION("PROPER(TRIM(
  LET(
    texto1, REGEXREPLACE(G226,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"),"Arcelia Victoria Ferrer")</f>
        <v>Arcelia Victoria Ferrer</v>
      </c>
      <c r="U226" s="22" t="str">
        <f t="shared" si="4"/>
        <v>5a679e4d-2017-44f1-8c69-308bd963826c</v>
      </c>
      <c r="V226" s="24" t="str">
        <f t="shared" si="5"/>
        <v>Laptop Oficina 4GB</v>
      </c>
    </row>
    <row r="227" ht="15.75" customHeight="1">
      <c r="A227" s="36">
        <v>45577.0</v>
      </c>
      <c r="B227" s="2" t="s">
        <v>85</v>
      </c>
      <c r="C227" s="2" t="s">
        <v>111</v>
      </c>
      <c r="D227" s="7">
        <v>2215.63</v>
      </c>
      <c r="E227" s="2">
        <v>3.0</v>
      </c>
      <c r="F227" s="7">
        <v>6646.89</v>
      </c>
      <c r="G227" s="2" t="s">
        <v>919</v>
      </c>
      <c r="H227" s="2" t="s">
        <v>920</v>
      </c>
      <c r="I227" s="2" t="s">
        <v>921</v>
      </c>
      <c r="K227" s="25" t="str">
        <f>IFERROR(__xludf.DUMMYFUNCTION("IF(ISBLANK(A227),
  """",
  IF(ISNUMBER(A227),
    TEXT(A227,""dd/mm/yyyy""),
    IF(
      REGEXMATCH(TRIM(A227),""^\d{1,2}/\d{1,2}/\d{4}$""),
      TRIM(A227),
      IFERROR(
        TEXT(DATEVALUE(SUBSTITUTE(SUBSTITUTE(TRIM(A227),""-"",""/""),""."",""/"&amp;""")),""dd/mm/yyyy""),
        TRIM(A227)
      )
    )
  )
)
"),"12/10/2024")</f>
        <v>12/10/2024</v>
      </c>
      <c r="L227" s="26">
        <v>45577.0</v>
      </c>
      <c r="M227" s="27" t="str">
        <f>IFERROR(__xludf.DUMMYFUNCTION("PROPER(TRIM(
  REGEXREPLACE(
    REGEXREPLACE(
      SUBSTITUTE(SUBSTITUTE(SUBSTITUTE(SUBSTITUTE(SUBSTITUTE(SUBSTITUTE(SUBSTITUTE(SUBSTITUTE(SUBSTITUTE(SUBSTITUTE(SUBSTITUTE(
        B227,""√©"",""é""),""√°"",""á""),""√±"",""ñ""),""√≥"",""ó""),""√â"",""é"&amp;"""),""√Å"",""á""),""√ç"",""í""),""√Ç"",""Í""),""√Â"",""é""),""√≠"",""í""),""√º"",""ú""),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27" s="28" t="str">
        <f>IFERROR(__xludf.DUMMYFUNCTION("SPLIT(
  TRIM(
    SUBSTITUTE(
      SUBSTITUTE(
        SUBSTITUTE(
          SUBSTITUTE(
            C227,
            ""√©"", ""é""
          ),
          ""√±"", ""ñ""
        ),
        ""√°"", ""á""
      ),
      ""√≥"", ""ó""
    )
  ),
  ""-""
)
"),"Tablet")</f>
        <v>Tablet</v>
      </c>
      <c r="O227" s="28" t="str">
        <f>IFERROR(__xludf.DUMMYFUNCTION("""COMPUTED_VALUE"""),"Estándar")</f>
        <v>Estándar</v>
      </c>
      <c r="P227" s="28" t="str">
        <f>IFERROR(__xludf.DUMMYFUNCTION("""COMPUTED_VALUE"""),"16GB")</f>
        <v>16GB</v>
      </c>
      <c r="Q227" s="29">
        <f t="shared" si="1"/>
        <v>2215.63</v>
      </c>
      <c r="R227" s="28">
        <f t="shared" si="2"/>
        <v>3</v>
      </c>
      <c r="S227" s="29">
        <f t="shared" si="3"/>
        <v>6646.89</v>
      </c>
      <c r="T227" s="28" t="str">
        <f>IFERROR(__xludf.DUMMYFUNCTION("PROPER(TRIM(
  LET(
    texto1, REGEXREPLACE(G227,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Cristina Valdivia Mondragón")</f>
        <v>María Cristina Valdivia Mondragón</v>
      </c>
      <c r="U227" s="28" t="str">
        <f t="shared" si="4"/>
        <v>9fc06fba-9376-4e96-97f1-0aeca2f00a87</v>
      </c>
      <c r="V227" s="30" t="str">
        <f t="shared" si="5"/>
        <v>Tablet Estándar 16GB</v>
      </c>
    </row>
    <row r="228" ht="15.75" customHeight="1">
      <c r="A228" s="36">
        <v>45483.0</v>
      </c>
      <c r="B228" s="2" t="s">
        <v>16</v>
      </c>
      <c r="C228" s="2" t="s">
        <v>65</v>
      </c>
      <c r="D228" s="7">
        <v>1967.19</v>
      </c>
      <c r="E228" s="2">
        <v>2.0</v>
      </c>
      <c r="F228" s="7">
        <v>3934.38</v>
      </c>
      <c r="G228" s="2" t="s">
        <v>923</v>
      </c>
      <c r="H228" s="2" t="s">
        <v>924</v>
      </c>
      <c r="I228" s="2" t="s">
        <v>925</v>
      </c>
      <c r="K228" s="19" t="str">
        <f>IFERROR(__xludf.DUMMYFUNCTION("IF(ISBLANK(A228),
  """",
  IF(ISNUMBER(A228),
    TEXT(A228,""dd/mm/yyyy""),
    IF(
      REGEXMATCH(TRIM(A228),""^\d{1,2}/\d{1,2}/\d{4}$""),
      TRIM(A228),
      IFERROR(
        TEXT(DATEVALUE(SUBSTITUTE(SUBSTITUTE(TRIM(A228),""-"",""/""),""."",""/"&amp;""")),""dd/mm/yyyy""),
        TRIM(A228)
      )
    )
  )
)
"),"10/07/2024")</f>
        <v>10/07/2024</v>
      </c>
      <c r="L228" s="20">
        <v>45483.0</v>
      </c>
      <c r="M228" s="21" t="str">
        <f>IFERROR(__xludf.DUMMYFUNCTION("PROPER(TRIM(
  REGEXREPLACE(
    REGEXREPLACE(
      SUBSTITUTE(SUBSTITUTE(SUBSTITUTE(SUBSTITUTE(SUBSTITUTE(SUBSTITUTE(SUBSTITUTE(SUBSTITUTE(SUBSTITUTE(SUBSTITUTE(SUBSTITUTE(
        B228,""√©"",""é""),""√°"",""á""),""√±"",""ñ""),""√≥"",""ó""),""√â"",""é"&amp;"""),""√Å"",""á""),""√ç"",""í""),""√Ç"",""Í""),""√Â"",""é""),""√≠"",""í""),""√º"",""ú""),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28" s="22" t="str">
        <f>IFERROR(__xludf.DUMMYFUNCTION("SPLIT(
  TRIM(
    SUBSTITUTE(
      SUBSTITUTE(
        SUBSTITUTE(
          SUBSTITUTE(
            C228,
            ""√©"", ""é""
          ),
          ""√±"", ""ñ""
        ),
        ""√°"", ""á""
      ),
      ""√≥"", ""ó""
    )
  ),
  ""-""
)
"),"Auriculares")</f>
        <v>Auriculares</v>
      </c>
      <c r="O228" s="22" t="str">
        <f>IFERROR(__xludf.DUMMYFUNCTION("""COMPUTED_VALUE"""),"Bluetooth")</f>
        <v>Bluetooth</v>
      </c>
      <c r="P228" s="22" t="str">
        <f>IFERROR(__xludf.DUMMYFUNCTION("""COMPUTED_VALUE"""),"16GB")</f>
        <v>16GB</v>
      </c>
      <c r="Q228" s="23">
        <f t="shared" si="1"/>
        <v>1967.19</v>
      </c>
      <c r="R228" s="22">
        <f t="shared" si="2"/>
        <v>2</v>
      </c>
      <c r="S228" s="23">
        <f t="shared" si="3"/>
        <v>3934.38</v>
      </c>
      <c r="T228" s="22" t="str">
        <f>IFERROR(__xludf.DUMMYFUNCTION("PROPER(TRIM(
  LET(
    texto1, REGEXREPLACE(G228,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 Miguel Lerma")</f>
        <v>Luis Miguel Lerma</v>
      </c>
      <c r="U228" s="22" t="str">
        <f t="shared" si="4"/>
        <v>19e94e09-d952-49ce-b5b6-95c649d995d4</v>
      </c>
      <c r="V228" s="24" t="str">
        <f t="shared" si="5"/>
        <v>Auriculares Bluetooth 16GB</v>
      </c>
    </row>
    <row r="229" ht="15.75" customHeight="1">
      <c r="A229" s="36">
        <v>45577.0</v>
      </c>
      <c r="B229" s="2" t="s">
        <v>16</v>
      </c>
      <c r="C229" s="2" t="s">
        <v>235</v>
      </c>
      <c r="D229" s="7">
        <v>2395.85</v>
      </c>
      <c r="E229" s="2">
        <v>4.0</v>
      </c>
      <c r="F229" s="7">
        <v>9583.4</v>
      </c>
      <c r="G229" s="2" t="s">
        <v>926</v>
      </c>
      <c r="H229" s="2" t="s">
        <v>927</v>
      </c>
      <c r="I229" s="2" t="s">
        <v>928</v>
      </c>
      <c r="K229" s="25" t="str">
        <f>IFERROR(__xludf.DUMMYFUNCTION("IF(ISBLANK(A229),
  """",
  IF(ISNUMBER(A229),
    TEXT(A229,""dd/mm/yyyy""),
    IF(
      REGEXMATCH(TRIM(A229),""^\d{1,2}/\d{1,2}/\d{4}$""),
      TRIM(A229),
      IFERROR(
        TEXT(DATEVALUE(SUBSTITUTE(SUBSTITUTE(TRIM(A229),""-"",""/""),""."",""/"&amp;""")),""dd/mm/yyyy""),
        TRIM(A229)
      )
    )
  )
)
"),"12/10/2024")</f>
        <v>12/10/2024</v>
      </c>
      <c r="L229" s="26">
        <v>45577.0</v>
      </c>
      <c r="M229" s="27" t="str">
        <f>IFERROR(__xludf.DUMMYFUNCTION("PROPER(TRIM(
  REGEXREPLACE(
    REGEXREPLACE(
      SUBSTITUTE(SUBSTITUTE(SUBSTITUTE(SUBSTITUTE(SUBSTITUTE(SUBSTITUTE(SUBSTITUTE(SUBSTITUTE(SUBSTITUTE(SUBSTITUTE(SUBSTITUTE(
        B229,""√©"",""é""),""√°"",""á""),""√±"",""ñ""),""√≥"",""ó""),""√â"",""é"&amp;"""),""√Å"",""á""),""√ç"",""í""),""√Ç"",""Í""),""√Â"",""é""),""√≠"",""í""),""√º"",""ú""),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29" s="28" t="str">
        <f>IFERROR(__xludf.DUMMYFUNCTION("SPLIT(
  TRIM(
    SUBSTITUTE(
      SUBSTITUTE(
        SUBSTITUTE(
          SUBSTITUTE(
            C229,
            ""√©"", ""é""
          ),
          ""√±"", ""ñ""
        ),
        ""√°"", ""á""
      ),
      ""√≥"", ""ó""
    )
  ),
  ""-""
)
"),"Tablet")</f>
        <v>Tablet</v>
      </c>
      <c r="O229" s="28" t="str">
        <f>IFERROR(__xludf.DUMMYFUNCTION("""COMPUTED_VALUE"""),"Estándar")</f>
        <v>Estándar</v>
      </c>
      <c r="P229" s="28" t="str">
        <f>IFERROR(__xludf.DUMMYFUNCTION("""COMPUTED_VALUE"""),"4GB")</f>
        <v>4GB</v>
      </c>
      <c r="Q229" s="29">
        <f t="shared" si="1"/>
        <v>2395.85</v>
      </c>
      <c r="R229" s="28">
        <f t="shared" si="2"/>
        <v>4</v>
      </c>
      <c r="S229" s="29">
        <f t="shared" si="3"/>
        <v>9583.4</v>
      </c>
      <c r="T229" s="28" t="str">
        <f>IFERROR(__xludf.DUMMYFUNCTION("PROPER(TRIM(
  LET(
    texto1, REGEXREPLACE(G229,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Fernández")</f>
        <v>Diego Fernández</v>
      </c>
      <c r="U229" s="28" t="str">
        <f t="shared" si="4"/>
        <v>d1068262-a372-42f4-b5e9-48fa9a84b933</v>
      </c>
      <c r="V229" s="30" t="str">
        <f t="shared" si="5"/>
        <v>Tablet Estándar 4GB</v>
      </c>
    </row>
    <row r="230" ht="15.75" customHeight="1">
      <c r="A230" s="6">
        <v>45509.0</v>
      </c>
      <c r="B230" s="2" t="s">
        <v>101</v>
      </c>
      <c r="C230" s="2" t="s">
        <v>807</v>
      </c>
      <c r="D230" s="7">
        <v>809.92</v>
      </c>
      <c r="E230" s="2">
        <v>4.0</v>
      </c>
      <c r="F230" s="7">
        <v>3239.68</v>
      </c>
      <c r="G230" s="2" t="s">
        <v>930</v>
      </c>
      <c r="H230" s="2" t="s">
        <v>931</v>
      </c>
      <c r="I230" s="2" t="s">
        <v>932</v>
      </c>
      <c r="K230" s="19" t="str">
        <f>IFERROR(__xludf.DUMMYFUNCTION("IF(ISBLANK(A230),
  """",
  IF(ISNUMBER(A230),
    TEXT(A230,""dd/mm/yyyy""),
    IF(
      REGEXMATCH(TRIM(A230),""^\d{1,2}/\d{1,2}/\d{4}$""),
      TRIM(A230),
      IFERROR(
        TEXT(DATEVALUE(SUBSTITUTE(SUBSTITUTE(TRIM(A230),""-"",""/""),""."",""/"&amp;""")),""dd/mm/yyyy""),
        TRIM(A230)
      )
    )
  )
)
"),"05/08/2024")</f>
        <v>05/08/2024</v>
      </c>
      <c r="L230" s="20">
        <v>45509.0</v>
      </c>
      <c r="M230" s="21" t="str">
        <f>IFERROR(__xludf.DUMMYFUNCTION("PROPER(TRIM(
  REGEXREPLACE(
    REGEXREPLACE(
      SUBSTITUTE(SUBSTITUTE(SUBSTITUTE(SUBSTITUTE(SUBSTITUTE(SUBSTITUTE(SUBSTITUTE(SUBSTITUTE(SUBSTITUTE(SUBSTITUTE(SUBSTITUTE(
        B230,""√©"",""é""),""√°"",""á""),""√±"",""ñ""),""√≥"",""ó""),""√â"",""é"&amp;"""),""√Å"",""á""),""√ç"",""í""),""√Ç"",""Í""),""√Â"",""é""),""√≠"",""í""),""√º"",""ú""),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30" s="22" t="str">
        <f>IFERROR(__xludf.DUMMYFUNCTION("SPLIT(
  TRIM(
    SUBSTITUTE(
      SUBSTITUTE(
        SUBSTITUTE(
          SUBSTITUTE(
            C230,
            ""√©"", ""é""
          ),
          ""√±"", ""ñ""
        ),
        ""√°"", ""á""
      ),
      ""√≥"", ""ó""
    )
  ),
  ""-""
)
"),"Auriculares")</f>
        <v>Auriculares</v>
      </c>
      <c r="O230" s="22" t="str">
        <f>IFERROR(__xludf.DUMMYFUNCTION("""COMPUTED_VALUE"""),"Con cable")</f>
        <v>Con cable</v>
      </c>
      <c r="P230" s="22" t="str">
        <f>IFERROR(__xludf.DUMMYFUNCTION("""COMPUTED_VALUE"""),"4GB")</f>
        <v>4GB</v>
      </c>
      <c r="Q230" s="23">
        <f t="shared" si="1"/>
        <v>809.92</v>
      </c>
      <c r="R230" s="22">
        <f t="shared" si="2"/>
        <v>4</v>
      </c>
      <c r="S230" s="23">
        <f t="shared" si="3"/>
        <v>3239.68</v>
      </c>
      <c r="T230" s="22" t="str">
        <f>IFERROR(__xludf.DUMMYFUNCTION("PROPER(TRIM(
  LET(
    texto1, REGEXREPLACE(G230,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"),"Luisa Domínguez Ocampo")</f>
        <v>Luisa Domínguez Ocampo</v>
      </c>
      <c r="U230" s="22" t="str">
        <f t="shared" si="4"/>
        <v>7c0a6b67-d03e-4b5f-95bc-b0d715cb90f0</v>
      </c>
      <c r="V230" s="24" t="str">
        <f t="shared" si="5"/>
        <v>Auriculares Con cable 4GB</v>
      </c>
    </row>
    <row r="231" ht="15.75" customHeight="1">
      <c r="A231" s="6">
        <v>45594.0</v>
      </c>
      <c r="B231" s="2" t="s">
        <v>27</v>
      </c>
      <c r="C231" s="2" t="s">
        <v>181</v>
      </c>
      <c r="D231" s="7">
        <v>1156.44</v>
      </c>
      <c r="E231" s="2">
        <v>1.0</v>
      </c>
      <c r="F231" s="7">
        <v>1156.44</v>
      </c>
      <c r="G231" s="2" t="s">
        <v>933</v>
      </c>
      <c r="H231" s="2" t="s">
        <v>934</v>
      </c>
      <c r="I231" s="2" t="s">
        <v>935</v>
      </c>
      <c r="K231" s="25" t="str">
        <f>IFERROR(__xludf.DUMMYFUNCTION("IF(ISBLANK(A231),
  """",
  IF(ISNUMBER(A231),
    TEXT(A231,""dd/mm/yyyy""),
    IF(
      REGEXMATCH(TRIM(A231),""^\d{1,2}/\d{1,2}/\d{4}$""),
      TRIM(A231),
      IFERROR(
        TEXT(DATEVALUE(SUBSTITUTE(SUBSTITUTE(TRIM(A231),""-"",""/""),""."",""/"&amp;""")),""dd/mm/yyyy""),
        TRIM(A231)
      )
    )
  )
)
"),"29/10/2024")</f>
        <v>29/10/2024</v>
      </c>
      <c r="L231" s="26">
        <v>45594.0</v>
      </c>
      <c r="M231" s="27" t="str">
        <f>IFERROR(__xludf.DUMMYFUNCTION("PROPER(TRIM(
  REGEXREPLACE(
    REGEXREPLACE(
      SUBSTITUTE(SUBSTITUTE(SUBSTITUTE(SUBSTITUTE(SUBSTITUTE(SUBSTITUTE(SUBSTITUTE(SUBSTITUTE(SUBSTITUTE(SUBSTITUTE(SUBSTITUTE(
        B231,""√©"",""é""),""√°"",""á""),""√±"",""ñ""),""√≥"",""ó""),""√â"",""é"&amp;"""),""√Å"",""á""),""√ç"",""í""),""√Ç"",""Í""),""√Â"",""é""),""√≠"",""í""),""√º"",""ú""),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31" s="28" t="str">
        <f>IFERROR(__xludf.DUMMYFUNCTION("SPLIT(
  TRIM(
    SUBSTITUTE(
      SUBSTITUTE(
        SUBSTITUTE(
          SUBSTITUTE(
            C231,
            ""√©"", ""é""
          ),
          ""√±"", ""ñ""
        ),
        ""√°"", ""á""
      ),
      ""√≥"", ""ó""
    )
  ),
  ""-""
)
"),"Laptop")</f>
        <v>Laptop</v>
      </c>
      <c r="O231" s="28" t="str">
        <f>IFERROR(__xludf.DUMMYFUNCTION("""COMPUTED_VALUE"""),"Ultraliviana")</f>
        <v>Ultraliviana</v>
      </c>
      <c r="P231" s="28" t="str">
        <f>IFERROR(__xludf.DUMMYFUNCTION("""COMPUTED_VALUE"""),"4GB")</f>
        <v>4GB</v>
      </c>
      <c r="Q231" s="29">
        <f t="shared" si="1"/>
        <v>1156.44</v>
      </c>
      <c r="R231" s="28">
        <f t="shared" si="2"/>
        <v>1</v>
      </c>
      <c r="S231" s="29">
        <f t="shared" si="3"/>
        <v>1156.44</v>
      </c>
      <c r="T231" s="28" t="str">
        <f>IFERROR(__xludf.DUMMYFUNCTION("PROPER(TRIM(
  LET(
    texto1, REGEXREPLACE(G231,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"),"Victoria Cabrera Armenta")</f>
        <v>Victoria Cabrera Armenta</v>
      </c>
      <c r="U231" s="28" t="str">
        <f t="shared" si="4"/>
        <v>bfe71cbd-5340-41ca-b9f4-c5301c10428f</v>
      </c>
      <c r="V231" s="30" t="str">
        <f t="shared" si="5"/>
        <v>Laptop Ultraliviana 4GB</v>
      </c>
    </row>
    <row r="232" ht="15.75" customHeight="1">
      <c r="A232" s="6">
        <v>45590.0</v>
      </c>
      <c r="B232" s="2" t="s">
        <v>38</v>
      </c>
      <c r="C232" s="2" t="s">
        <v>226</v>
      </c>
      <c r="D232" s="7">
        <v>1062.11</v>
      </c>
      <c r="E232" s="2">
        <v>2.0</v>
      </c>
      <c r="F232" s="7">
        <v>2124.22</v>
      </c>
      <c r="G232" s="2" t="s">
        <v>936</v>
      </c>
      <c r="H232" s="2" t="s">
        <v>937</v>
      </c>
      <c r="I232" s="2" t="s">
        <v>938</v>
      </c>
      <c r="K232" s="19" t="str">
        <f>IFERROR(__xludf.DUMMYFUNCTION("IF(ISBLANK(A232),
  """",
  IF(ISNUMBER(A232),
    TEXT(A232,""dd/mm/yyyy""),
    IF(
      REGEXMATCH(TRIM(A232),""^\d{1,2}/\d{1,2}/\d{4}$""),
      TRIM(A232),
      IFERROR(
        TEXT(DATEVALUE(SUBSTITUTE(SUBSTITUTE(TRIM(A232),""-"",""/""),""."",""/"&amp;""")),""dd/mm/yyyy""),
        TRIM(A232)
      )
    )
  )
)
"),"25/10/2024")</f>
        <v>25/10/2024</v>
      </c>
      <c r="L232" s="20">
        <v>45590.0</v>
      </c>
      <c r="M232" s="21" t="str">
        <f>IFERROR(__xludf.DUMMYFUNCTION("PROPER(TRIM(
  REGEXREPLACE(
    REGEXREPLACE(
      SUBSTITUTE(SUBSTITUTE(SUBSTITUTE(SUBSTITUTE(SUBSTITUTE(SUBSTITUTE(SUBSTITUTE(SUBSTITUTE(SUBSTITUTE(SUBSTITUTE(SUBSTITUTE(
        B232,""√©"",""é""),""√°"",""á""),""√±"",""ñ""),""√≥"",""ó""),""√â"",""é"&amp;"""),""√Å"",""á""),""√ç"",""í""),""√Ç"",""Í""),""√Â"",""é""),""√≠"",""í""),""√º"",""ú""),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32" s="22" t="str">
        <f>IFERROR(__xludf.DUMMYFUNCTION("SPLIT(
  TRIM(
    SUBSTITUTE(
      SUBSTITUTE(
        SUBSTITUTE(
          SUBSTITUTE(
            C232,
            ""√©"", ""é""
          ),
          ""√±"", ""ñ""
        ),
        ""√°"", ""á""
      ),
      ""√≥"", ""ó""
    )
  ),
  ""-""
)
"),"Tablet")</f>
        <v>Tablet</v>
      </c>
      <c r="O232" s="22" t="str">
        <f>IFERROR(__xludf.DUMMYFUNCTION("""COMPUTED_VALUE"""),"Mini")</f>
        <v>Mini</v>
      </c>
      <c r="P232" s="22" t="str">
        <f>IFERROR(__xludf.DUMMYFUNCTION("""COMPUTED_VALUE"""),"16GB")</f>
        <v>16GB</v>
      </c>
      <c r="Q232" s="23">
        <f t="shared" si="1"/>
        <v>1062.11</v>
      </c>
      <c r="R232" s="22">
        <f t="shared" si="2"/>
        <v>2</v>
      </c>
      <c r="S232" s="23">
        <f t="shared" si="3"/>
        <v>2124.22</v>
      </c>
      <c r="T232" s="22" t="str">
        <f>IFERROR(__xludf.DUMMYFUNCTION("PROPER(TRIM(
  LET(
    texto1, REGEXREPLACE(G232,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"),"Germán Corral")</f>
        <v>Germán Corral</v>
      </c>
      <c r="U232" s="22" t="str">
        <f t="shared" si="4"/>
        <v>87c5ffd3-6c28-4101-af3b-154ff4ae6392</v>
      </c>
      <c r="V232" s="24" t="str">
        <f t="shared" si="5"/>
        <v>Tablet Mini 16GB</v>
      </c>
    </row>
    <row r="233" ht="15.75" customHeight="1">
      <c r="A233" s="6">
        <v>45649.0</v>
      </c>
      <c r="B233" s="2" t="s">
        <v>101</v>
      </c>
      <c r="C233" s="2" t="s">
        <v>86</v>
      </c>
      <c r="D233" s="7">
        <v>784.39</v>
      </c>
      <c r="E233" s="2">
        <v>1.0</v>
      </c>
      <c r="F233" s="7">
        <v>784.39</v>
      </c>
      <c r="G233" s="2" t="s">
        <v>940</v>
      </c>
      <c r="H233" s="2" t="s">
        <v>941</v>
      </c>
      <c r="I233" s="2" t="s">
        <v>942</v>
      </c>
      <c r="K233" s="25" t="str">
        <f>IFERROR(__xludf.DUMMYFUNCTION("IF(ISBLANK(A233),
  """",
  IF(ISNUMBER(A233),
    TEXT(A233,""dd/mm/yyyy""),
    IF(
      REGEXMATCH(TRIM(A233),""^\d{1,2}/\d{1,2}/\d{4}$""),
      TRIM(A233),
      IFERROR(
        TEXT(DATEVALUE(SUBSTITUTE(SUBSTITUTE(TRIM(A233),""-"",""/""),""."",""/"&amp;""")),""dd/mm/yyyy""),
        TRIM(A233)
      )
    )
  )
)
"),"23/12/2024")</f>
        <v>23/12/2024</v>
      </c>
      <c r="L233" s="26">
        <v>45649.0</v>
      </c>
      <c r="M233" s="27" t="str">
        <f>IFERROR(__xludf.DUMMYFUNCTION("PROPER(TRIM(
  REGEXREPLACE(
    REGEXREPLACE(
      SUBSTITUTE(SUBSTITUTE(SUBSTITUTE(SUBSTITUTE(SUBSTITUTE(SUBSTITUTE(SUBSTITUTE(SUBSTITUTE(SUBSTITUTE(SUBSTITUTE(SUBSTITUTE(
        B233,""√©"",""é""),""√°"",""á""),""√±"",""ñ""),""√≥"",""ó""),""√â"",""é"&amp;"""),""√Å"",""á""),""√ç"",""í""),""√Ç"",""Í""),""√Â"",""é""),""√≠"",""í""),""√º"",""ú""),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33" s="28" t="str">
        <f>IFERROR(__xludf.DUMMYFUNCTION("SPLIT(
  TRIM(
    SUBSTITUTE(
      SUBSTITUTE(
        SUBSTITUTE(
          SUBSTITUTE(
            C233,
            ""√©"", ""é""
          ),
          ""√±"", ""ñ""
        ),
        ""√°"", ""á""
      ),
      ""√≥"", ""ó""
    )
  ),
  ""-""
)
"),"Tablet")</f>
        <v>Tablet</v>
      </c>
      <c r="O233" s="28" t="str">
        <f>IFERROR(__xludf.DUMMYFUNCTION("""COMPUTED_VALUE"""),"Pro")</f>
        <v>Pro</v>
      </c>
      <c r="P233" s="28" t="str">
        <f>IFERROR(__xludf.DUMMYFUNCTION("""COMPUTED_VALUE"""),"32GB")</f>
        <v>32GB</v>
      </c>
      <c r="Q233" s="29">
        <f t="shared" si="1"/>
        <v>784.39</v>
      </c>
      <c r="R233" s="28">
        <f t="shared" si="2"/>
        <v>1</v>
      </c>
      <c r="S233" s="29">
        <f t="shared" si="3"/>
        <v>784.39</v>
      </c>
      <c r="T233" s="28" t="str">
        <f>IFERROR(__xludf.DUMMYFUNCTION("PROPER(TRIM(
  LET(
    texto1, REGEXREPLACE(G233,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"),"Liliana Altamirano Solano")</f>
        <v>Liliana Altamirano Solano</v>
      </c>
      <c r="U233" s="28" t="str">
        <f t="shared" si="4"/>
        <v>20d27746-91f7-427d-9e21-02ca06d5e5c3</v>
      </c>
      <c r="V233" s="30" t="str">
        <f t="shared" si="5"/>
        <v>Tablet Pro 32GB</v>
      </c>
    </row>
    <row r="234" ht="15.75" customHeight="1">
      <c r="A234" s="6">
        <v>45647.0</v>
      </c>
      <c r="B234" s="2" t="s">
        <v>38</v>
      </c>
      <c r="C234" s="2" t="s">
        <v>39</v>
      </c>
      <c r="D234" s="7">
        <v>1459.53</v>
      </c>
      <c r="E234" s="2">
        <v>1.0</v>
      </c>
      <c r="F234" s="7">
        <v>1459.53</v>
      </c>
      <c r="G234" s="2" t="s">
        <v>943</v>
      </c>
      <c r="H234" s="2" t="s">
        <v>944</v>
      </c>
      <c r="I234" s="2" t="s">
        <v>945</v>
      </c>
      <c r="K234" s="19" t="str">
        <f>IFERROR(__xludf.DUMMYFUNCTION("IF(ISBLANK(A234),
  """",
  IF(ISNUMBER(A234),
    TEXT(A234,""dd/mm/yyyy""),
    IF(
      REGEXMATCH(TRIM(A234),""^\d{1,2}/\d{1,2}/\d{4}$""),
      TRIM(A234),
      IFERROR(
        TEXT(DATEVALUE(SUBSTITUTE(SUBSTITUTE(TRIM(A234),""-"",""/""),""."",""/"&amp;""")),""dd/mm/yyyy""),
        TRIM(A234)
      )
    )
  )
)
"),"21/12/2024")</f>
        <v>21/12/2024</v>
      </c>
      <c r="L234" s="20">
        <v>45647.0</v>
      </c>
      <c r="M234" s="21" t="str">
        <f>IFERROR(__xludf.DUMMYFUNCTION("PROPER(TRIM(
  REGEXREPLACE(
    REGEXREPLACE(
      SUBSTITUTE(SUBSTITUTE(SUBSTITUTE(SUBSTITUTE(SUBSTITUTE(SUBSTITUTE(SUBSTITUTE(SUBSTITUTE(SUBSTITUTE(SUBSTITUTE(SUBSTITUTE(
        B234,""√©"",""é""),""√°"",""á""),""√±"",""ñ""),""√≥"",""ó""),""√â"",""é"&amp;"""),""√Å"",""á""),""√ç"",""í""),""√Ç"",""Í""),""√Â"",""é""),""√≠"",""í""),""√º"",""ú""),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34" s="22" t="str">
        <f>IFERROR(__xludf.DUMMYFUNCTION("SPLIT(
  TRIM(
    SUBSTITUTE(
      SUBSTITUTE(
        SUBSTITUTE(
          SUBSTITUTE(
            C234,
            ""√©"", ""é""
          ),
          ""√±"", ""ñ""
        ),
        ""√°"", ""á""
      ),
      ""√≥"", ""ó""
    )
  ),
  ""-""
)
"),"Teléfono")</f>
        <v>Teléfono</v>
      </c>
      <c r="O234" s="22" t="str">
        <f>IFERROR(__xludf.DUMMYFUNCTION("""COMPUTED_VALUE"""),"Gama alta")</f>
        <v>Gama alta</v>
      </c>
      <c r="P234" s="22" t="str">
        <f>IFERROR(__xludf.DUMMYFUNCTION("""COMPUTED_VALUE"""),"8GB")</f>
        <v>8GB</v>
      </c>
      <c r="Q234" s="23">
        <f t="shared" si="1"/>
        <v>1459.53</v>
      </c>
      <c r="R234" s="22">
        <f t="shared" si="2"/>
        <v>1</v>
      </c>
      <c r="S234" s="23">
        <f t="shared" si="3"/>
        <v>1459.53</v>
      </c>
      <c r="T234" s="22" t="str">
        <f>IFERROR(__xludf.DUMMYFUNCTION("PROPER(TRIM(
  LET(
    texto1, REGEXREPLACE(G234,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Luisa Araceli De La Crz")</f>
        <v>Ana Luisa Araceli De La Crz</v>
      </c>
      <c r="U234" s="22" t="str">
        <f t="shared" si="4"/>
        <v>720e7c71-4c87-47e1-b24a-7f8c021bc9a3</v>
      </c>
      <c r="V234" s="24" t="str">
        <f t="shared" si="5"/>
        <v>Teléfono Gama alta 8GB</v>
      </c>
    </row>
    <row r="235" ht="15.75" customHeight="1">
      <c r="A235" s="36">
        <v>45606.0</v>
      </c>
      <c r="B235" s="2" t="s">
        <v>101</v>
      </c>
      <c r="C235" s="2" t="s">
        <v>135</v>
      </c>
      <c r="D235" s="7">
        <v>1668.3</v>
      </c>
      <c r="E235" s="2">
        <v>2.0</v>
      </c>
      <c r="F235" s="7">
        <v>3336.6</v>
      </c>
      <c r="G235" s="2" t="s">
        <v>946</v>
      </c>
      <c r="H235" s="2" t="s">
        <v>947</v>
      </c>
      <c r="I235" s="2" t="s">
        <v>948</v>
      </c>
      <c r="K235" s="25" t="str">
        <f>IFERROR(__xludf.DUMMYFUNCTION("IF(ISBLANK(A235),
  """",
  IF(ISNUMBER(A235),
    TEXT(A235,""dd/mm/yyyy""),
    IF(
      REGEXMATCH(TRIM(A235),""^\d{1,2}/\d{1,2}/\d{4}$""),
      TRIM(A235),
      IFERROR(
        TEXT(DATEVALUE(SUBSTITUTE(SUBSTITUTE(TRIM(A235),""-"",""/""),""."",""/"&amp;""")),""dd/mm/yyyy""),
        TRIM(A235)
      )
    )
  )
)
"),"10/11/2024")</f>
        <v>10/11/2024</v>
      </c>
      <c r="L235" s="26">
        <v>45606.0</v>
      </c>
      <c r="M235" s="27" t="str">
        <f>IFERROR(__xludf.DUMMYFUNCTION("PROPER(TRIM(
  REGEXREPLACE(
    REGEXREPLACE(
      SUBSTITUTE(SUBSTITUTE(SUBSTITUTE(SUBSTITUTE(SUBSTITUTE(SUBSTITUTE(SUBSTITUTE(SUBSTITUTE(SUBSTITUTE(SUBSTITUTE(SUBSTITUTE(
        B235,""√©"",""é""),""√°"",""á""),""√±"",""ñ""),""√≥"",""ó""),""√â"",""é"&amp;"""),""√Å"",""á""),""√ç"",""í""),""√Ç"",""Í""),""√Â"",""é""),""√≠"",""í""),""√º"",""ú""),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35" s="28" t="str">
        <f>IFERROR(__xludf.DUMMYFUNCTION("SPLIT(
  TRIM(
    SUBSTITUTE(
      SUBSTITUTE(
        SUBSTITUTE(
          SUBSTITUTE(
            C235,
            ""√©"", ""é""
          ),
          ""√±"", ""ñ""
        ),
        ""√°"", ""á""
      ),
      ""√≥"", ""ó""
    )
  ),
  ""-""
)
"),"Laptop")</f>
        <v>Laptop</v>
      </c>
      <c r="O235" s="28" t="str">
        <f>IFERROR(__xludf.DUMMYFUNCTION("""COMPUTED_VALUE"""),"Ultraliviana")</f>
        <v>Ultraliviana</v>
      </c>
      <c r="P235" s="28" t="str">
        <f>IFERROR(__xludf.DUMMYFUNCTION("""COMPUTED_VALUE"""),"32GB")</f>
        <v>32GB</v>
      </c>
      <c r="Q235" s="29">
        <f t="shared" si="1"/>
        <v>1668.3</v>
      </c>
      <c r="R235" s="28">
        <f t="shared" si="2"/>
        <v>2</v>
      </c>
      <c r="S235" s="29">
        <f t="shared" si="3"/>
        <v>3336.6</v>
      </c>
      <c r="T235" s="28" t="str">
        <f>IFERROR(__xludf.DUMMYFUNCTION("PROPER(TRIM(
  LET(
    texto1, REGEXREPLACE(G235,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"),"Blanca Alfaro")</f>
        <v>Blanca Alfaro</v>
      </c>
      <c r="U235" s="28" t="str">
        <f t="shared" si="4"/>
        <v>850ed2df-b6ba-4845-90f3-4d82ffd954aa</v>
      </c>
      <c r="V235" s="30" t="str">
        <f t="shared" si="5"/>
        <v>Laptop Ultraliviana 32GB</v>
      </c>
    </row>
    <row r="236" ht="15.75" customHeight="1">
      <c r="A236" s="36">
        <v>45334.0</v>
      </c>
      <c r="B236" s="2" t="s">
        <v>85</v>
      </c>
      <c r="C236" s="2" t="s">
        <v>111</v>
      </c>
      <c r="D236" s="7">
        <v>563.73</v>
      </c>
      <c r="E236" s="2">
        <v>1.0</v>
      </c>
      <c r="F236" s="7">
        <v>563.73</v>
      </c>
      <c r="G236" s="2" t="s">
        <v>950</v>
      </c>
      <c r="H236" s="2" t="s">
        <v>951</v>
      </c>
      <c r="I236" s="2" t="s">
        <v>952</v>
      </c>
      <c r="K236" s="19" t="str">
        <f>IFERROR(__xludf.DUMMYFUNCTION("IF(ISBLANK(A236),
  """",
  IF(ISNUMBER(A236),
    TEXT(A236,""dd/mm/yyyy""),
    IF(
      REGEXMATCH(TRIM(A236),""^\d{1,2}/\d{1,2}/\d{4}$""),
      TRIM(A236),
      IFERROR(
        TEXT(DATEVALUE(SUBSTITUTE(SUBSTITUTE(TRIM(A236),""-"",""/""),""."",""/"&amp;""")),""dd/mm/yyyy""),
        TRIM(A236)
      )
    )
  )
)
"),"12/02/2024")</f>
        <v>12/02/2024</v>
      </c>
      <c r="L236" s="20">
        <v>45334.0</v>
      </c>
      <c r="M236" s="21" t="str">
        <f>IFERROR(__xludf.DUMMYFUNCTION("PROPER(TRIM(
  REGEXREPLACE(
    REGEXREPLACE(
      SUBSTITUTE(SUBSTITUTE(SUBSTITUTE(SUBSTITUTE(SUBSTITUTE(SUBSTITUTE(SUBSTITUTE(SUBSTITUTE(SUBSTITUTE(SUBSTITUTE(SUBSTITUTE(
        B236,""√©"",""é""),""√°"",""á""),""√±"",""ñ""),""√≥"",""ó""),""√â"",""é"&amp;"""),""√Å"",""á""),""√ç"",""í""),""√Ç"",""Í""),""√Â"",""é""),""√≠"",""í""),""√º"",""ú""),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36" s="22" t="str">
        <f>IFERROR(__xludf.DUMMYFUNCTION("SPLIT(
  TRIM(
    SUBSTITUTE(
      SUBSTITUTE(
        SUBSTITUTE(
          SUBSTITUTE(
            C236,
            ""√©"", ""é""
          ),
          ""√±"", ""ñ""
        ),
        ""√°"", ""á""
      ),
      ""√≥"", ""ó""
    )
  ),
  ""-""
)
"),"Tablet")</f>
        <v>Tablet</v>
      </c>
      <c r="O236" s="22" t="str">
        <f>IFERROR(__xludf.DUMMYFUNCTION("""COMPUTED_VALUE"""),"Estándar")</f>
        <v>Estándar</v>
      </c>
      <c r="P236" s="22" t="str">
        <f>IFERROR(__xludf.DUMMYFUNCTION("""COMPUTED_VALUE"""),"16GB")</f>
        <v>16GB</v>
      </c>
      <c r="Q236" s="23">
        <f t="shared" si="1"/>
        <v>563.73</v>
      </c>
      <c r="R236" s="22">
        <f t="shared" si="2"/>
        <v>1</v>
      </c>
      <c r="S236" s="23">
        <f t="shared" si="3"/>
        <v>563.73</v>
      </c>
      <c r="T236" s="22" t="str">
        <f>IFERROR(__xludf.DUMMYFUNCTION("PROPER(TRIM(
  LET(
    texto1, REGEXREPLACE(G236,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"),"Cornelio José Manuél Ureña Cazares")</f>
        <v>Cornelio José Manuél Ureña Cazares</v>
      </c>
      <c r="U236" s="22" t="str">
        <f t="shared" si="4"/>
        <v>08269db4-0566-4ede-ba0a-3261c90dd7cc</v>
      </c>
      <c r="V236" s="24" t="str">
        <f t="shared" si="5"/>
        <v>Tablet Estándar 16GB</v>
      </c>
    </row>
    <row r="237" ht="15.75" customHeight="1">
      <c r="A237" s="6">
        <v>45655.0</v>
      </c>
      <c r="B237" s="2" t="s">
        <v>85</v>
      </c>
      <c r="C237" s="2" t="s">
        <v>147</v>
      </c>
      <c r="D237" s="7">
        <v>2209.08</v>
      </c>
      <c r="E237" s="2">
        <v>2.0</v>
      </c>
      <c r="F237" s="7">
        <v>4418.16</v>
      </c>
      <c r="G237" s="2" t="s">
        <v>954</v>
      </c>
      <c r="H237" s="2" t="s">
        <v>955</v>
      </c>
      <c r="I237" s="2" t="s">
        <v>956</v>
      </c>
      <c r="K237" s="25" t="str">
        <f>IFERROR(__xludf.DUMMYFUNCTION("IF(ISBLANK(A237),
  """",
  IF(ISNUMBER(A237),
    TEXT(A237,""dd/mm/yyyy""),
    IF(
      REGEXMATCH(TRIM(A237),""^\d{1,2}/\d{1,2}/\d{4}$""),
      TRIM(A237),
      IFERROR(
        TEXT(DATEVALUE(SUBSTITUTE(SUBSTITUTE(TRIM(A237),""-"",""/""),""."",""/"&amp;""")),""dd/mm/yyyy""),
        TRIM(A237)
      )
    )
  )
)
"),"29/12/2024")</f>
        <v>29/12/2024</v>
      </c>
      <c r="L237" s="26">
        <v>45655.0</v>
      </c>
      <c r="M237" s="27" t="str">
        <f>IFERROR(__xludf.DUMMYFUNCTION("PROPER(TRIM(
  REGEXREPLACE(
    REGEXREPLACE(
      SUBSTITUTE(SUBSTITUTE(SUBSTITUTE(SUBSTITUTE(SUBSTITUTE(SUBSTITUTE(SUBSTITUTE(SUBSTITUTE(SUBSTITUTE(SUBSTITUTE(SUBSTITUTE(
        B237,""√©"",""é""),""√°"",""á""),""√±"",""ñ""),""√≥"",""ó""),""√â"",""é"&amp;"""),""√Å"",""á""),""√ç"",""í""),""√Ç"",""Í""),""√Â"",""é""),""√≠"",""í""),""√º"",""ú""),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37" s="28" t="str">
        <f>IFERROR(__xludf.DUMMYFUNCTION("SPLIT(
  TRIM(
    SUBSTITUTE(
      SUBSTITUTE(
        SUBSTITUTE(
          SUBSTITUTE(
            C237,
            ""√©"", ""é""
          ),
          ""√±"", ""ñ""
        ),
        ""√°"", ""á""
      ),
      ""√≥"", ""ó""
    )
  ),
  ""-""
)
"),"Laptop")</f>
        <v>Laptop</v>
      </c>
      <c r="O237" s="28" t="str">
        <f>IFERROR(__xludf.DUMMYFUNCTION("""COMPUTED_VALUE"""),"Oficina")</f>
        <v>Oficina</v>
      </c>
      <c r="P237" s="28" t="str">
        <f>IFERROR(__xludf.DUMMYFUNCTION("""COMPUTED_VALUE"""),"16GB")</f>
        <v>16GB</v>
      </c>
      <c r="Q237" s="29">
        <f t="shared" si="1"/>
        <v>2209.08</v>
      </c>
      <c r="R237" s="28">
        <f t="shared" si="2"/>
        <v>2</v>
      </c>
      <c r="S237" s="29">
        <f t="shared" si="3"/>
        <v>4418.16</v>
      </c>
      <c r="T237" s="28" t="str">
        <f>IFERROR(__xludf.DUMMYFUNCTION("PROPER(TRIM(
  LET(
    texto1, REGEXREPLACE(G237,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"),"Ariadna De Jess")</f>
        <v>Ariadna De Jess</v>
      </c>
      <c r="U237" s="28" t="str">
        <f t="shared" si="4"/>
        <v>2394f979-8464-44ce-a630-ae28dbf2d042</v>
      </c>
      <c r="V237" s="30" t="str">
        <f t="shared" si="5"/>
        <v>Laptop Oficina 16GB</v>
      </c>
    </row>
    <row r="238" ht="15.75" customHeight="1">
      <c r="A238" s="6">
        <v>45625.0</v>
      </c>
      <c r="B238" s="2" t="s">
        <v>50</v>
      </c>
      <c r="C238" s="2" t="s">
        <v>70</v>
      </c>
      <c r="D238" s="7">
        <v>568.57</v>
      </c>
      <c r="E238" s="2">
        <v>3.0</v>
      </c>
      <c r="F238" s="7">
        <v>1705.71</v>
      </c>
      <c r="G238" s="2" t="s">
        <v>957</v>
      </c>
      <c r="H238" s="2" t="s">
        <v>958</v>
      </c>
      <c r="I238" s="2" t="s">
        <v>959</v>
      </c>
      <c r="K238" s="19" t="str">
        <f>IFERROR(__xludf.DUMMYFUNCTION("IF(ISBLANK(A238),
  """",
  IF(ISNUMBER(A238),
    TEXT(A238,""dd/mm/yyyy""),
    IF(
      REGEXMATCH(TRIM(A238),""^\d{1,2}/\d{1,2}/\d{4}$""),
      TRIM(A238),
      IFERROR(
        TEXT(DATEVALUE(SUBSTITUTE(SUBSTITUTE(TRIM(A238),""-"",""/""),""."",""/"&amp;""")),""dd/mm/yyyy""),
        TRIM(A238)
      )
    )
  )
)
"),"29/11/2024")</f>
        <v>29/11/2024</v>
      </c>
      <c r="L238" s="20">
        <v>45625.0</v>
      </c>
      <c r="M238" s="21" t="str">
        <f>IFERROR(__xludf.DUMMYFUNCTION("PROPER(TRIM(
  REGEXREPLACE(
    REGEXREPLACE(
      SUBSTITUTE(SUBSTITUTE(SUBSTITUTE(SUBSTITUTE(SUBSTITUTE(SUBSTITUTE(SUBSTITUTE(SUBSTITUTE(SUBSTITUTE(SUBSTITUTE(SUBSTITUTE(
        B238,""√©"",""é""),""√°"",""á""),""√±"",""ñ""),""√≥"",""ó""),""√â"",""é"&amp;"""),""√Å"",""á""),""√ç"",""í""),""√Ç"",""Í""),""√Â"",""é""),""√≠"",""í""),""√º"",""ú""),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38" s="22" t="str">
        <f>IFERROR(__xludf.DUMMYFUNCTION("SPLIT(
  TRIM(
    SUBSTITUTE(
      SUBSTITUTE(
        SUBSTITUTE(
          SUBSTITUTE(
            C238,
            ""√©"", ""é""
          ),
          ""√±"", ""ñ""
        ),
        ""√°"", ""á""
      ),
      ""√≥"", ""ó""
    )
  ),
  ""-""
)
"),"Auriculares")</f>
        <v>Auriculares</v>
      </c>
      <c r="O238" s="22" t="str">
        <f>IFERROR(__xludf.DUMMYFUNCTION("""COMPUTED_VALUE"""),"Con cable")</f>
        <v>Con cable</v>
      </c>
      <c r="P238" s="22" t="str">
        <f>IFERROR(__xludf.DUMMYFUNCTION("""COMPUTED_VALUE"""),"16GB")</f>
        <v>16GB</v>
      </c>
      <c r="Q238" s="23">
        <f t="shared" si="1"/>
        <v>568.57</v>
      </c>
      <c r="R238" s="22">
        <f t="shared" si="2"/>
        <v>3</v>
      </c>
      <c r="S238" s="23">
        <f t="shared" si="3"/>
        <v>1705.71</v>
      </c>
      <c r="T238" s="22" t="str">
        <f>IFERROR(__xludf.DUMMYFUNCTION("PROPER(TRIM(
  LET(
    texto1, REGEXREPLACE(G238,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"),"Natividad Fernando Gastélum")</f>
        <v>Natividad Fernando Gastélum</v>
      </c>
      <c r="U238" s="22" t="str">
        <f t="shared" si="4"/>
        <v>30a44076-ebcc-4c8b-8064-9e1a18718512</v>
      </c>
      <c r="V238" s="24" t="str">
        <f t="shared" si="5"/>
        <v>Auriculares Con cable 16GB</v>
      </c>
    </row>
    <row r="239" ht="15.75" customHeight="1">
      <c r="A239" s="6">
        <v>45624.0</v>
      </c>
      <c r="B239" s="2" t="s">
        <v>16</v>
      </c>
      <c r="C239" s="2" t="s">
        <v>111</v>
      </c>
      <c r="D239" s="7">
        <v>1795.59</v>
      </c>
      <c r="E239" s="2">
        <v>5.0</v>
      </c>
      <c r="F239" s="7">
        <v>8977.95</v>
      </c>
      <c r="G239" s="2" t="s">
        <v>960</v>
      </c>
      <c r="H239" s="2" t="s">
        <v>961</v>
      </c>
      <c r="I239" s="2" t="s">
        <v>962</v>
      </c>
      <c r="K239" s="25" t="str">
        <f>IFERROR(__xludf.DUMMYFUNCTION("IF(ISBLANK(A239),
  """",
  IF(ISNUMBER(A239),
    TEXT(A239,""dd/mm/yyyy""),
    IF(
      REGEXMATCH(TRIM(A239),""^\d{1,2}/\d{1,2}/\d{4}$""),
      TRIM(A239),
      IFERROR(
        TEXT(DATEVALUE(SUBSTITUTE(SUBSTITUTE(TRIM(A239),""-"",""/""),""."",""/"&amp;""")),""dd/mm/yyyy""),
        TRIM(A239)
      )
    )
  )
)
"),"28/11/2024")</f>
        <v>28/11/2024</v>
      </c>
      <c r="L239" s="26">
        <v>45624.0</v>
      </c>
      <c r="M239" s="27" t="str">
        <f>IFERROR(__xludf.DUMMYFUNCTION("PROPER(TRIM(
  REGEXREPLACE(
    REGEXREPLACE(
      SUBSTITUTE(SUBSTITUTE(SUBSTITUTE(SUBSTITUTE(SUBSTITUTE(SUBSTITUTE(SUBSTITUTE(SUBSTITUTE(SUBSTITUTE(SUBSTITUTE(SUBSTITUTE(
        B239,""√©"",""é""),""√°"",""á""),""√±"",""ñ""),""√≥"",""ó""),""√â"",""é"&amp;"""),""√Å"",""á""),""√ç"",""í""),""√Ç"",""Í""),""√Â"",""é""),""√≠"",""í""),""√º"",""ú""),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39" s="28" t="str">
        <f>IFERROR(__xludf.DUMMYFUNCTION("SPLIT(
  TRIM(
    SUBSTITUTE(
      SUBSTITUTE(
        SUBSTITUTE(
          SUBSTITUTE(
            C239,
            ""√©"", ""é""
          ),
          ""√±"", ""ñ""
        ),
        ""√°"", ""á""
      ),
      ""√≥"", ""ó""
    )
  ),
  ""-""
)
"),"Tablet")</f>
        <v>Tablet</v>
      </c>
      <c r="O239" s="28" t="str">
        <f>IFERROR(__xludf.DUMMYFUNCTION("""COMPUTED_VALUE"""),"Estándar")</f>
        <v>Estándar</v>
      </c>
      <c r="P239" s="28" t="str">
        <f>IFERROR(__xludf.DUMMYFUNCTION("""COMPUTED_VALUE"""),"16GB")</f>
        <v>16GB</v>
      </c>
      <c r="Q239" s="29">
        <f t="shared" si="1"/>
        <v>1795.59</v>
      </c>
      <c r="R239" s="28">
        <f t="shared" si="2"/>
        <v>5</v>
      </c>
      <c r="S239" s="29">
        <f t="shared" si="3"/>
        <v>8977.95</v>
      </c>
      <c r="T239" s="28" t="str">
        <f>IFERROR(__xludf.DUMMYFUNCTION("PROPER(TRIM(
  LET(
    texto1, REGEXREPLACE(G239,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"),"Armando Carreón")</f>
        <v>Armando Carreón</v>
      </c>
      <c r="U239" s="28" t="str">
        <f t="shared" si="4"/>
        <v>018fc11e-35bf-41a6-9c2e-0fe1cb9dcb9b</v>
      </c>
      <c r="V239" s="30" t="str">
        <f t="shared" si="5"/>
        <v>Tablet Estándar 16GB</v>
      </c>
    </row>
    <row r="240" ht="15.75" customHeight="1">
      <c r="A240" s="36">
        <v>45577.0</v>
      </c>
      <c r="B240" s="2" t="s">
        <v>85</v>
      </c>
      <c r="C240" s="2" t="s">
        <v>250</v>
      </c>
      <c r="D240" s="7">
        <v>883.61</v>
      </c>
      <c r="E240" s="2">
        <v>2.0</v>
      </c>
      <c r="F240" s="7">
        <v>1767.22</v>
      </c>
      <c r="G240" s="2" t="s">
        <v>963</v>
      </c>
      <c r="H240" s="2" t="s">
        <v>964</v>
      </c>
      <c r="I240" s="2" t="s">
        <v>965</v>
      </c>
      <c r="K240" s="19" t="str">
        <f>IFERROR(__xludf.DUMMYFUNCTION("IF(ISBLANK(A240),
  """",
  IF(ISNUMBER(A240),
    TEXT(A240,""dd/mm/yyyy""),
    IF(
      REGEXMATCH(TRIM(A240),""^\d{1,2}/\d{1,2}/\d{4}$""),
      TRIM(A240),
      IFERROR(
        TEXT(DATEVALUE(SUBSTITUTE(SUBSTITUTE(TRIM(A240),""-"",""/""),""."",""/"&amp;""")),""dd/mm/yyyy""),
        TRIM(A240)
      )
    )
  )
)
"),"12/10/2024")</f>
        <v>12/10/2024</v>
      </c>
      <c r="L240" s="20">
        <v>45577.0</v>
      </c>
      <c r="M240" s="21" t="str">
        <f>IFERROR(__xludf.DUMMYFUNCTION("PROPER(TRIM(
  REGEXREPLACE(
    REGEXREPLACE(
      SUBSTITUTE(SUBSTITUTE(SUBSTITUTE(SUBSTITUTE(SUBSTITUTE(SUBSTITUTE(SUBSTITUTE(SUBSTITUTE(SUBSTITUTE(SUBSTITUTE(SUBSTITUTE(
        B240,""√©"",""é""),""√°"",""á""),""√±"",""ñ""),""√≥"",""ó""),""√â"",""é"&amp;"""),""√Å"",""á""),""√ç"",""í""),""√Ç"",""Í""),""√Â"",""é""),""√≠"",""í""),""√º"",""ú""),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40" s="22" t="str">
        <f>IFERROR(__xludf.DUMMYFUNCTION("SPLIT(
  TRIM(
    SUBSTITUTE(
      SUBSTITUTE(
        SUBSTITUTE(
          SUBSTITUTE(
            C240,
            ""√©"", ""é""
          ),
          ""√±"", ""ñ""
        ),
        ""√°"", ""á""
      ),
      ""√≥"", ""ó""
    )
  ),
  ""-""
)
"),"Laptop")</f>
        <v>Laptop</v>
      </c>
      <c r="O240" s="22" t="str">
        <f>IFERROR(__xludf.DUMMYFUNCTION("""COMPUTED_VALUE"""),"Oficina")</f>
        <v>Oficina</v>
      </c>
      <c r="P240" s="22" t="str">
        <f>IFERROR(__xludf.DUMMYFUNCTION("""COMPUTED_VALUE"""),"32GB")</f>
        <v>32GB</v>
      </c>
      <c r="Q240" s="23">
        <f t="shared" si="1"/>
        <v>883.61</v>
      </c>
      <c r="R240" s="22">
        <f t="shared" si="2"/>
        <v>2</v>
      </c>
      <c r="S240" s="23">
        <f t="shared" si="3"/>
        <v>1767.22</v>
      </c>
      <c r="T240" s="22" t="str">
        <f>IFERROR(__xludf.DUMMYFUNCTION("PROPER(TRIM(
  LET(
    texto1, REGEXREPLACE(G240,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"),"Dolores Jess Quiñónez Lebrón")</f>
        <v>Dolores Jess Quiñónez Lebrón</v>
      </c>
      <c r="U240" s="22" t="str">
        <f t="shared" si="4"/>
        <v>5c299656-4419-4c69-bdd2-2dc9b8af337b</v>
      </c>
      <c r="V240" s="24" t="str">
        <f t="shared" si="5"/>
        <v>Laptop Oficina 32GB</v>
      </c>
    </row>
    <row r="241" ht="15.75" customHeight="1">
      <c r="A241" s="6">
        <v>45639.0</v>
      </c>
      <c r="B241" s="2" t="s">
        <v>967</v>
      </c>
      <c r="C241" s="2" t="s">
        <v>33</v>
      </c>
      <c r="D241" s="7">
        <v>1566.36</v>
      </c>
      <c r="E241" s="2">
        <v>5.0</v>
      </c>
      <c r="F241" s="7">
        <v>7831.8</v>
      </c>
      <c r="G241" s="2" t="s">
        <v>968</v>
      </c>
      <c r="H241" s="2" t="s">
        <v>969</v>
      </c>
      <c r="I241" s="2" t="s">
        <v>970</v>
      </c>
      <c r="K241" s="25" t="str">
        <f>IFERROR(__xludf.DUMMYFUNCTION("IF(ISBLANK(A241),
  """",
  IF(ISNUMBER(A241),
    TEXT(A241,""dd/mm/yyyy""),
    IF(
      REGEXMATCH(TRIM(A241),""^\d{1,2}/\d{1,2}/\d{4}$""),
      TRIM(A241),
      IFERROR(
        TEXT(DATEVALUE(SUBSTITUTE(SUBSTITUTE(TRIM(A241),""-"",""/""),""."",""/"&amp;""")),""dd/mm/yyyy""),
        TRIM(A241)
      )
    )
  )
)
"),"13/12/2024")</f>
        <v>13/12/2024</v>
      </c>
      <c r="L241" s="26">
        <v>45639.0</v>
      </c>
      <c r="M241" s="27" t="str">
        <f>IFERROR(__xludf.DUMMYFUNCTION("PROPER(TRIM(
  REGEXREPLACE(
    REGEXREPLACE(
      SUBSTITUTE(SUBSTITUTE(SUBSTITUTE(SUBSTITUTE(SUBSTITUTE(SUBSTITUTE(SUBSTITUTE(SUBSTITUTE(SUBSTITUTE(SUBSTITUTE(SUBSTITUTE(
        B241,""√©"",""é""),""√°"",""á""),""√±"",""ñ""),""√≥"",""ó""),""√â"",""é"&amp;"""),""√Å"",""á""),""√ç"",""í""),""√Ç"",""Í""),""√Â"",""é""),""√≠"",""í""),""√º"",""ú""),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41" s="28" t="str">
        <f>IFERROR(__xludf.DUMMYFUNCTION("SPLIT(
  TRIM(
    SUBSTITUTE(
      SUBSTITUTE(
        SUBSTITUTE(
          SUBSTITUTE(
            C241,
            ""√©"", ""é""
          ),
          ""√±"", ""ñ""
        ),
        ""√°"", ""á""
      ),
      ""√≥"", ""ó""
    )
  ),
  ""-""
)
"),"Teléfono")</f>
        <v>Teléfono</v>
      </c>
      <c r="O241" s="28" t="str">
        <f>IFERROR(__xludf.DUMMYFUNCTION("""COMPUTED_VALUE"""),"Gama alta")</f>
        <v>Gama alta</v>
      </c>
      <c r="P241" s="28" t="str">
        <f>IFERROR(__xludf.DUMMYFUNCTION("""COMPUTED_VALUE"""),"4GB")</f>
        <v>4GB</v>
      </c>
      <c r="Q241" s="29">
        <f t="shared" si="1"/>
        <v>1566.36</v>
      </c>
      <c r="R241" s="28">
        <f t="shared" si="2"/>
        <v>5</v>
      </c>
      <c r="S241" s="29">
        <f t="shared" si="3"/>
        <v>7831.8</v>
      </c>
      <c r="T241" s="28" t="str">
        <f>IFERROR(__xludf.DUMMYFUNCTION("PROPER(TRIM(
  LET(
    texto1, REGEXREPLACE(G241,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"),"Isabela Mario Vigil Colunga")</f>
        <v>Isabela Mario Vigil Colunga</v>
      </c>
      <c r="U241" s="28" t="str">
        <f t="shared" si="4"/>
        <v>ddd463db-888b-4ab8-b2a7-396cacbc0f7c</v>
      </c>
      <c r="V241" s="30" t="str">
        <f t="shared" si="5"/>
        <v>Teléfono Gama alta 4GB</v>
      </c>
    </row>
    <row r="242" ht="15.75" customHeight="1">
      <c r="A242" s="6">
        <v>45614.0</v>
      </c>
      <c r="B242" s="2" t="s">
        <v>101</v>
      </c>
      <c r="C242" s="2" t="s">
        <v>11</v>
      </c>
      <c r="D242" s="7">
        <v>1141.13</v>
      </c>
      <c r="E242" s="2">
        <v>3.0</v>
      </c>
      <c r="F242" s="7">
        <v>3423.39</v>
      </c>
      <c r="G242" s="2" t="s">
        <v>971</v>
      </c>
      <c r="H242" s="2" t="s">
        <v>972</v>
      </c>
      <c r="I242" s="2" t="s">
        <v>973</v>
      </c>
      <c r="K242" s="19" t="str">
        <f>IFERROR(__xludf.DUMMYFUNCTION("IF(ISBLANK(A242),
  """",
  IF(ISNUMBER(A242),
    TEXT(A242,""dd/mm/yyyy""),
    IF(
      REGEXMATCH(TRIM(A242),""^\d{1,2}/\d{1,2}/\d{4}$""),
      TRIM(A242),
      IFERROR(
        TEXT(DATEVALUE(SUBSTITUTE(SUBSTITUTE(TRIM(A242),""-"",""/""),""."",""/"&amp;""")),""dd/mm/yyyy""),
        TRIM(A242)
      )
    )
  )
)
"),"18/11/2024")</f>
        <v>18/11/2024</v>
      </c>
      <c r="L242" s="20">
        <v>45614.0</v>
      </c>
      <c r="M242" s="21" t="str">
        <f>IFERROR(__xludf.DUMMYFUNCTION("PROPER(TRIM(
  REGEXREPLACE(
    REGEXREPLACE(
      SUBSTITUTE(SUBSTITUTE(SUBSTITUTE(SUBSTITUTE(SUBSTITUTE(SUBSTITUTE(SUBSTITUTE(SUBSTITUTE(SUBSTITUTE(SUBSTITUTE(SUBSTITUTE(
        B242,""√©"",""é""),""√°"",""á""),""√±"",""ñ""),""√≥"",""ó""),""√â"",""é"&amp;"""),""√Å"",""á""),""√ç"",""í""),""√Ç"",""Í""),""√Â"",""é""),""√≠"",""í""),""√º"",""ú""),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42" s="22" t="str">
        <f>IFERROR(__xludf.DUMMYFUNCTION("SPLIT(
  TRIM(
    SUBSTITUTE(
      SUBSTITUTE(
        SUBSTITUTE(
          SUBSTITUTE(
            C242,
            ""√©"", ""é""
          ),
          ""√±"", ""ñ""
        ),
        ""√°"", ""á""
      ),
      ""√≥"", ""ó""
    )
  ),
  ""-""
)
"),"Auriculares")</f>
        <v>Auriculares</v>
      </c>
      <c r="O242" s="22" t="str">
        <f>IFERROR(__xludf.DUMMYFUNCTION("""COMPUTED_VALUE"""),"Con cable")</f>
        <v>Con cable</v>
      </c>
      <c r="P242" s="22" t="str">
        <f>IFERROR(__xludf.DUMMYFUNCTION("""COMPUTED_VALUE"""),"32GB")</f>
        <v>32GB</v>
      </c>
      <c r="Q242" s="23">
        <f t="shared" si="1"/>
        <v>1141.13</v>
      </c>
      <c r="R242" s="22">
        <f t="shared" si="2"/>
        <v>3</v>
      </c>
      <c r="S242" s="23">
        <f t="shared" si="3"/>
        <v>3423.39</v>
      </c>
      <c r="T242" s="22" t="str">
        <f>IFERROR(__xludf.DUMMYFUNCTION("PROPER(TRIM(
  LET(
    texto1, REGEXREPLACE(G242,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"),"Paulina Cornejo")</f>
        <v>Paulina Cornejo</v>
      </c>
      <c r="U242" s="22" t="str">
        <f t="shared" si="4"/>
        <v>c0e13eaa-0352-4ecd-87d9-f5acfcbb40df</v>
      </c>
      <c r="V242" s="24" t="str">
        <f t="shared" si="5"/>
        <v>Auriculares Con cable 32GB</v>
      </c>
    </row>
    <row r="243" ht="15.75" customHeight="1">
      <c r="A243" s="36">
        <v>45516.0</v>
      </c>
      <c r="B243" s="2" t="s">
        <v>50</v>
      </c>
      <c r="C243" s="2" t="s">
        <v>152</v>
      </c>
      <c r="D243" s="7">
        <v>1614.05</v>
      </c>
      <c r="E243" s="2">
        <v>5.0</v>
      </c>
      <c r="F243" s="7">
        <v>8070.25</v>
      </c>
      <c r="G243" s="2" t="s">
        <v>975</v>
      </c>
      <c r="H243" s="2" t="s">
        <v>976</v>
      </c>
      <c r="I243" s="2" t="s">
        <v>977</v>
      </c>
      <c r="K243" s="25" t="str">
        <f>IFERROR(__xludf.DUMMYFUNCTION("IF(ISBLANK(A243),
  """",
  IF(ISNUMBER(A243),
    TEXT(A243,""dd/mm/yyyy""),
    IF(
      REGEXMATCH(TRIM(A243),""^\d{1,2}/\d{1,2}/\d{4}$""),
      TRIM(A243),
      IFERROR(
        TEXT(DATEVALUE(SUBSTITUTE(SUBSTITUTE(TRIM(A243),""-"",""/""),""."",""/"&amp;""")),""dd/mm/yyyy""),
        TRIM(A243)
      )
    )
  )
)
"),"12/08/2024")</f>
        <v>12/08/2024</v>
      </c>
      <c r="L243" s="26">
        <v>45516.0</v>
      </c>
      <c r="M243" s="27" t="str">
        <f>IFERROR(__xludf.DUMMYFUNCTION("PROPER(TRIM(
  REGEXREPLACE(
    REGEXREPLACE(
      SUBSTITUTE(SUBSTITUTE(SUBSTITUTE(SUBSTITUTE(SUBSTITUTE(SUBSTITUTE(SUBSTITUTE(SUBSTITUTE(SUBSTITUTE(SUBSTITUTE(SUBSTITUTE(
        B243,""√©"",""é""),""√°"",""á""),""√±"",""ñ""),""√≥"",""ó""),""√â"",""é"&amp;"""),""√Å"",""á""),""√ç"",""í""),""√Ç"",""Í""),""√Â"",""é""),""√≠"",""í""),""√º"",""ú""),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43" s="28" t="str">
        <f>IFERROR(__xludf.DUMMYFUNCTION("SPLIT(
  TRIM(
    SUBSTITUTE(
      SUBSTITUTE(
        SUBSTITUTE(
          SUBSTITUTE(
            C243,
            ""√©"", ""é""
          ),
          ""√±"", ""ñ""
        ),
        ""√°"", ""á""
      ),
      ""√≥"", ""ó""
    )
  ),
  ""-""
)
"),"Teléfono")</f>
        <v>Teléfono</v>
      </c>
      <c r="O243" s="28" t="str">
        <f>IFERROR(__xludf.DUMMYFUNCTION("""COMPUTED_VALUE"""),"Gama baja")</f>
        <v>Gama baja</v>
      </c>
      <c r="P243" s="28" t="str">
        <f>IFERROR(__xludf.DUMMYFUNCTION("""COMPUTED_VALUE"""),"4GB")</f>
        <v>4GB</v>
      </c>
      <c r="Q243" s="29">
        <f t="shared" si="1"/>
        <v>1614.05</v>
      </c>
      <c r="R243" s="28">
        <f t="shared" si="2"/>
        <v>5</v>
      </c>
      <c r="S243" s="29">
        <f t="shared" si="3"/>
        <v>8070.25</v>
      </c>
      <c r="T243" s="28" t="str">
        <f>IFERROR(__xludf.DUMMYFUNCTION("PROPER(TRIM(
  LET(
    texto1, REGEXREPLACE(G243,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"),"Wilfrido Jorge Portillo Roque")</f>
        <v>Wilfrido Jorge Portillo Roque</v>
      </c>
      <c r="U243" s="28" t="str">
        <f t="shared" si="4"/>
        <v>a2415cd2-e7d5-4a04-aa89-a0821ac995b6</v>
      </c>
      <c r="V243" s="30" t="str">
        <f t="shared" si="5"/>
        <v>Teléfono Gama baja 4GB</v>
      </c>
    </row>
    <row r="244" ht="15.75" customHeight="1">
      <c r="A244" s="6">
        <v>45643.0</v>
      </c>
      <c r="B244" s="2" t="s">
        <v>38</v>
      </c>
      <c r="C244" s="2" t="s">
        <v>186</v>
      </c>
      <c r="D244" s="7">
        <v>1865.58</v>
      </c>
      <c r="E244" s="2">
        <v>2.0</v>
      </c>
      <c r="F244" s="7">
        <v>3731.16</v>
      </c>
      <c r="G244" s="2" t="s">
        <v>978</v>
      </c>
      <c r="H244" s="2" t="s">
        <v>979</v>
      </c>
      <c r="I244" s="2" t="s">
        <v>980</v>
      </c>
      <c r="K244" s="19" t="str">
        <f>IFERROR(__xludf.DUMMYFUNCTION("IF(ISBLANK(A244),
  """",
  IF(ISNUMBER(A244),
    TEXT(A244,""dd/mm/yyyy""),
    IF(
      REGEXMATCH(TRIM(A244),""^\d{1,2}/\d{1,2}/\d{4}$""),
      TRIM(A244),
      IFERROR(
        TEXT(DATEVALUE(SUBSTITUTE(SUBSTITUTE(TRIM(A244),""-"",""/""),""."",""/"&amp;""")),""dd/mm/yyyy""),
        TRIM(A244)
      )
    )
  )
)
"),"17/12/2024")</f>
        <v>17/12/2024</v>
      </c>
      <c r="L244" s="20">
        <v>45643.0</v>
      </c>
      <c r="M244" s="21" t="str">
        <f>IFERROR(__xludf.DUMMYFUNCTION("PROPER(TRIM(
  REGEXREPLACE(
    REGEXREPLACE(
      SUBSTITUTE(SUBSTITUTE(SUBSTITUTE(SUBSTITUTE(SUBSTITUTE(SUBSTITUTE(SUBSTITUTE(SUBSTITUTE(SUBSTITUTE(SUBSTITUTE(SUBSTITUTE(
        B244,""√©"",""é""),""√°"",""á""),""√±"",""ñ""),""√≥"",""ó""),""√â"",""é"&amp;"""),""√Å"",""á""),""√ç"",""í""),""√Ç"",""Í""),""√Â"",""é""),""√≠"",""í""),""√º"",""ú""),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44" s="22" t="str">
        <f>IFERROR(__xludf.DUMMYFUNCTION("SPLIT(
  TRIM(
    SUBSTITUTE(
      SUBSTITUTE(
        SUBSTITUTE(
          SUBSTITUTE(
            C244,
            ""√©"", ""é""
          ),
          ""√±"", ""ñ""
        ),
        ""√°"", ""á""
      ),
      ""√≥"", ""ó""
    )
  ),
  ""-""
)
"),"Tablet")</f>
        <v>Tablet</v>
      </c>
      <c r="O244" s="22" t="str">
        <f>IFERROR(__xludf.DUMMYFUNCTION("""COMPUTED_VALUE"""),"Mini")</f>
        <v>Mini</v>
      </c>
      <c r="P244" s="22" t="str">
        <f>IFERROR(__xludf.DUMMYFUNCTION("""COMPUTED_VALUE"""),"8GB")</f>
        <v>8GB</v>
      </c>
      <c r="Q244" s="23">
        <f t="shared" si="1"/>
        <v>1865.58</v>
      </c>
      <c r="R244" s="22">
        <f t="shared" si="2"/>
        <v>2</v>
      </c>
      <c r="S244" s="23">
        <f t="shared" si="3"/>
        <v>3731.16</v>
      </c>
      <c r="T244" s="22" t="str">
        <f>IFERROR(__xludf.DUMMYFUNCTION("PROPER(TRIM(
  LET(
    texto1, REGEXREPLACE(G244,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"),"Agustín Montemayor Escobedo")</f>
        <v>Agustín Montemayor Escobedo</v>
      </c>
      <c r="U244" s="22" t="str">
        <f t="shared" si="4"/>
        <v>d1dd5a1a-3f08-4909-b8b0-04384056d29b</v>
      </c>
      <c r="V244" s="24" t="str">
        <f t="shared" si="5"/>
        <v>Tablet Mini 8GB</v>
      </c>
    </row>
    <row r="245" ht="15.75" customHeight="1">
      <c r="A245" s="37">
        <v>45606.0</v>
      </c>
      <c r="B245" s="2" t="s">
        <v>101</v>
      </c>
      <c r="C245" s="2" t="s">
        <v>11</v>
      </c>
      <c r="D245" s="7">
        <v>1585.75</v>
      </c>
      <c r="E245" s="2">
        <v>5.0</v>
      </c>
      <c r="F245" s="7">
        <v>7928.75</v>
      </c>
      <c r="G245" s="2" t="s">
        <v>981</v>
      </c>
      <c r="H245" s="2" t="s">
        <v>982</v>
      </c>
      <c r="I245" s="2" t="s">
        <v>983</v>
      </c>
      <c r="K245" s="25" t="str">
        <f>IFERROR(__xludf.DUMMYFUNCTION("IF(ISBLANK(A245),
  """",
  IF(ISNUMBER(A245),
    TEXT(A245,""dd/mm/yyyy""),
    IF(
      REGEXMATCH(TRIM(A245),""^\d{1,2}/\d{1,2}/\d{4}$""),
      TRIM(A245),
      IFERROR(
        TEXT(DATEVALUE(SUBSTITUTE(SUBSTITUTE(TRIM(A245),""-"",""/""),""."",""/"&amp;""")),""dd/mm/yyyy""),
        TRIM(A245)
      )
    )
  )
)
"),"10/11/2024")</f>
        <v>10/11/2024</v>
      </c>
      <c r="L245" s="26">
        <v>45606.0</v>
      </c>
      <c r="M245" s="27" t="str">
        <f>IFERROR(__xludf.DUMMYFUNCTION("PROPER(TRIM(
  REGEXREPLACE(
    REGEXREPLACE(
      SUBSTITUTE(SUBSTITUTE(SUBSTITUTE(SUBSTITUTE(SUBSTITUTE(SUBSTITUTE(SUBSTITUTE(SUBSTITUTE(SUBSTITUTE(SUBSTITUTE(SUBSTITUTE(
        B245,""√©"",""é""),""√°"",""á""),""√±"",""ñ""),""√≥"",""ó""),""√â"",""é"&amp;"""),""√Å"",""á""),""√ç"",""í""),""√Ç"",""Í""),""√Â"",""é""),""√≠"",""í""),""√º"",""ú""),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45" s="28" t="str">
        <f>IFERROR(__xludf.DUMMYFUNCTION("SPLIT(
  TRIM(
    SUBSTITUTE(
      SUBSTITUTE(
        SUBSTITUTE(
          SUBSTITUTE(
            C245,
            ""√©"", ""é""
          ),
          ""√±"", ""ñ""
        ),
        ""√°"", ""á""
      ),
      ""√≥"", ""ó""
    )
  ),
  ""-""
)
"),"Auriculares")</f>
        <v>Auriculares</v>
      </c>
      <c r="O245" s="28" t="str">
        <f>IFERROR(__xludf.DUMMYFUNCTION("""COMPUTED_VALUE"""),"Con cable")</f>
        <v>Con cable</v>
      </c>
      <c r="P245" s="28" t="str">
        <f>IFERROR(__xludf.DUMMYFUNCTION("""COMPUTED_VALUE"""),"32GB")</f>
        <v>32GB</v>
      </c>
      <c r="Q245" s="29">
        <f t="shared" si="1"/>
        <v>1585.75</v>
      </c>
      <c r="R245" s="28">
        <f t="shared" si="2"/>
        <v>5</v>
      </c>
      <c r="S245" s="29">
        <f t="shared" si="3"/>
        <v>7928.75</v>
      </c>
      <c r="T245" s="28" t="str">
        <f>IFERROR(__xludf.DUMMYFUNCTION("PROPER(TRIM(
  LET(
    texto1, REGEXREPLACE(G245,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"),"Rocío José Luis Villareal Vargas")</f>
        <v>Rocío José Luis Villareal Vargas</v>
      </c>
      <c r="U245" s="28" t="str">
        <f t="shared" si="4"/>
        <v>5c84518e-8046-4ee0-802c-5c7e6eafa4c6</v>
      </c>
      <c r="V245" s="30" t="str">
        <f t="shared" si="5"/>
        <v>Auriculares Con cable 32GB</v>
      </c>
    </row>
    <row r="246" ht="15.75" customHeight="1">
      <c r="A246" s="6">
        <v>45625.0</v>
      </c>
      <c r="B246" s="2" t="s">
        <v>101</v>
      </c>
      <c r="C246" s="2" t="s">
        <v>984</v>
      </c>
      <c r="D246" s="7">
        <v>1491.36</v>
      </c>
      <c r="E246" s="2">
        <v>2.0</v>
      </c>
      <c r="F246" s="7">
        <v>2982.72</v>
      </c>
      <c r="G246" s="2" t="s">
        <v>985</v>
      </c>
      <c r="H246" s="2" t="s">
        <v>986</v>
      </c>
      <c r="I246" s="2" t="s">
        <v>987</v>
      </c>
      <c r="K246" s="19" t="str">
        <f>IFERROR(__xludf.DUMMYFUNCTION("IF(ISBLANK(A246),
  """",
  IF(ISNUMBER(A246),
    TEXT(A246,""dd/mm/yyyy""),
    IF(
      REGEXMATCH(TRIM(A246),""^\d{1,2}/\d{1,2}/\d{4}$""),
      TRIM(A246),
      IFERROR(
        TEXT(DATEVALUE(SUBSTITUTE(SUBSTITUTE(TRIM(A246),""-"",""/""),""."",""/"&amp;""")),""dd/mm/yyyy""),
        TRIM(A246)
      )
    )
  )
)
"),"29/11/2024")</f>
        <v>29/11/2024</v>
      </c>
      <c r="L246" s="20">
        <v>45625.0</v>
      </c>
      <c r="M246" s="21" t="str">
        <f>IFERROR(__xludf.DUMMYFUNCTION("PROPER(TRIM(
  REGEXREPLACE(
    REGEXREPLACE(
      SUBSTITUTE(SUBSTITUTE(SUBSTITUTE(SUBSTITUTE(SUBSTITUTE(SUBSTITUTE(SUBSTITUTE(SUBSTITUTE(SUBSTITUTE(SUBSTITUTE(SUBSTITUTE(
        B246,""√©"",""é""),""√°"",""á""),""√±"",""ñ""),""√≥"",""ó""),""√â"",""é"&amp;"""),""√Å"",""á""),""√ç"",""í""),""√Ç"",""Í""),""√Â"",""é""),""√≠"",""í""),""√º"",""ú""),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46" s="22" t="str">
        <f>IFERROR(__xludf.DUMMYFUNCTION("SPLIT(
  TRIM(
    SUBSTITUTE(
      SUBSTITUTE(
        SUBSTITUTE(
          SUBSTITUTE(
            C246,
            ""√©"", ""é""
          ),
          ""√±"", ""ñ""
        ),
        ""√°"", ""á""
      ),
      ""√≥"", ""ó""
    )
  ),
  ""-""
)
"),"Laptop")</f>
        <v>Laptop</v>
      </c>
      <c r="O246" s="22" t="str">
        <f>IFERROR(__xludf.DUMMYFUNCTION("""COMPUTED_VALUE"""),"Gaming")</f>
        <v>Gaming</v>
      </c>
      <c r="P246" s="22" t="str">
        <f>IFERROR(__xludf.DUMMYFUNCTION("""COMPUTED_VALUE"""),"4GB")</f>
        <v>4GB</v>
      </c>
      <c r="Q246" s="23">
        <f t="shared" si="1"/>
        <v>1491.36</v>
      </c>
      <c r="R246" s="22">
        <f t="shared" si="2"/>
        <v>2</v>
      </c>
      <c r="S246" s="23">
        <f t="shared" si="3"/>
        <v>2982.72</v>
      </c>
      <c r="T246" s="22" t="str">
        <f>IFERROR(__xludf.DUMMYFUNCTION("PROPER(TRIM(
  LET(
    texto1, REGEXREPLACE(G246,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"),"Víctor Anguiano")</f>
        <v>Víctor Anguiano</v>
      </c>
      <c r="U246" s="22" t="str">
        <f t="shared" si="4"/>
        <v>74e91e22-a440-4514-996c-da314a1c94c0</v>
      </c>
      <c r="V246" s="24" t="str">
        <f t="shared" si="5"/>
        <v>Laptop Gaming 4GB</v>
      </c>
    </row>
    <row r="247" ht="15.75" customHeight="1">
      <c r="A247" s="6">
        <v>45640.0</v>
      </c>
      <c r="B247" s="2" t="s">
        <v>27</v>
      </c>
      <c r="C247" s="2" t="s">
        <v>167</v>
      </c>
      <c r="D247" s="7">
        <v>516.02</v>
      </c>
      <c r="E247" s="2">
        <v>4.0</v>
      </c>
      <c r="F247" s="7">
        <v>2064.08</v>
      </c>
      <c r="G247" s="2" t="s">
        <v>988</v>
      </c>
      <c r="H247" s="2" t="s">
        <v>989</v>
      </c>
      <c r="I247" s="2" t="s">
        <v>990</v>
      </c>
      <c r="K247" s="25" t="str">
        <f>IFERROR(__xludf.DUMMYFUNCTION("IF(ISBLANK(A247),
  """",
  IF(ISNUMBER(A247),
    TEXT(A247,""dd/mm/yyyy""),
    IF(
      REGEXMATCH(TRIM(A247),""^\d{1,2}/\d{1,2}/\d{4}$""),
      TRIM(A247),
      IFERROR(
        TEXT(DATEVALUE(SUBSTITUTE(SUBSTITUTE(TRIM(A247),""-"",""/""),""."",""/"&amp;""")),""dd/mm/yyyy""),
        TRIM(A247)
      )
    )
  )
)
"),"14/12/2024")</f>
        <v>14/12/2024</v>
      </c>
      <c r="L247" s="26">
        <v>45640.0</v>
      </c>
      <c r="M247" s="27" t="str">
        <f>IFERROR(__xludf.DUMMYFUNCTION("PROPER(TRIM(
  REGEXREPLACE(
    REGEXREPLACE(
      SUBSTITUTE(SUBSTITUTE(SUBSTITUTE(SUBSTITUTE(SUBSTITUTE(SUBSTITUTE(SUBSTITUTE(SUBSTITUTE(SUBSTITUTE(SUBSTITUTE(SUBSTITUTE(
        B247,""√©"",""é""),""√°"",""á""),""√±"",""ñ""),""√≥"",""ó""),""√â"",""é"&amp;"""),""√Å"",""á""),""√ç"",""í""),""√Ç"",""Í""),""√Â"",""é""),""√≠"",""í""),""√º"",""ú""),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47" s="28" t="str">
        <f>IFERROR(__xludf.DUMMYFUNCTION("SPLIT(
  TRIM(
    SUBSTITUTE(
      SUBSTITUTE(
        SUBSTITUTE(
          SUBSTITUTE(
            C247,
            ""√©"", ""é""
          ),
          ""√±"", ""ñ""
        ),
        ""√°"", ""á""
      ),
      ""√≥"", ""ó""
    )
  ),
  ""-""
)
"),"Laptop")</f>
        <v>Laptop</v>
      </c>
      <c r="O247" s="28" t="str">
        <f>IFERROR(__xludf.DUMMYFUNCTION("""COMPUTED_VALUE"""),"Gaming")</f>
        <v>Gaming</v>
      </c>
      <c r="P247" s="28" t="str">
        <f>IFERROR(__xludf.DUMMYFUNCTION("""COMPUTED_VALUE"""),"8GB")</f>
        <v>8GB</v>
      </c>
      <c r="Q247" s="29">
        <f t="shared" si="1"/>
        <v>516.02</v>
      </c>
      <c r="R247" s="28">
        <f t="shared" si="2"/>
        <v>4</v>
      </c>
      <c r="S247" s="29">
        <f t="shared" si="3"/>
        <v>2064.08</v>
      </c>
      <c r="T247" s="28" t="str">
        <f>IFERROR(__xludf.DUMMYFUNCTION("PROPER(TRIM(
  LET(
    texto1, REGEXREPLACE(G247,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"),"Ernesto Quezada")</f>
        <v>Ernesto Quezada</v>
      </c>
      <c r="U247" s="28" t="str">
        <f t="shared" si="4"/>
        <v>89cde298-9d2d-459e-ac2a-33f1db2b8db1</v>
      </c>
      <c r="V247" s="30" t="str">
        <f t="shared" si="5"/>
        <v>Laptop Gaming 8GB</v>
      </c>
    </row>
    <row r="248" ht="15.75" customHeight="1">
      <c r="A248" s="36">
        <v>45638.0</v>
      </c>
      <c r="B248" s="2" t="s">
        <v>101</v>
      </c>
      <c r="C248" s="2" t="s">
        <v>86</v>
      </c>
      <c r="D248" s="7">
        <v>153.47</v>
      </c>
      <c r="E248" s="2">
        <v>3.0</v>
      </c>
      <c r="F248" s="7">
        <v>460.41</v>
      </c>
      <c r="G248" s="2" t="s">
        <v>991</v>
      </c>
      <c r="H248" s="2" t="s">
        <v>992</v>
      </c>
      <c r="I248" s="2" t="s">
        <v>993</v>
      </c>
      <c r="K248" s="19" t="str">
        <f>IFERROR(__xludf.DUMMYFUNCTION("IF(ISBLANK(A248),
  """",
  IF(ISNUMBER(A248),
    TEXT(A248,""dd/mm/yyyy""),
    IF(
      REGEXMATCH(TRIM(A248),""^\d{1,2}/\d{1,2}/\d{4}$""),
      TRIM(A248),
      IFERROR(
        TEXT(DATEVALUE(SUBSTITUTE(SUBSTITUTE(TRIM(A248),""-"",""/""),""."",""/"&amp;""")),""dd/mm/yyyy""),
        TRIM(A248)
      )
    )
  )
)
"),"12/12/2024")</f>
        <v>12/12/2024</v>
      </c>
      <c r="L248" s="20">
        <v>45638.0</v>
      </c>
      <c r="M248" s="21" t="str">
        <f>IFERROR(__xludf.DUMMYFUNCTION("PROPER(TRIM(
  REGEXREPLACE(
    REGEXREPLACE(
      SUBSTITUTE(SUBSTITUTE(SUBSTITUTE(SUBSTITUTE(SUBSTITUTE(SUBSTITUTE(SUBSTITUTE(SUBSTITUTE(SUBSTITUTE(SUBSTITUTE(SUBSTITUTE(
        B248,""√©"",""é""),""√°"",""á""),""√±"",""ñ""),""√≥"",""ó""),""√â"",""é"&amp;"""),""√Å"",""á""),""√ç"",""í""),""√Ç"",""Í""),""√Â"",""é""),""√≠"",""í""),""√º"",""ú""),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48" s="22" t="str">
        <f>IFERROR(__xludf.DUMMYFUNCTION("SPLIT(
  TRIM(
    SUBSTITUTE(
      SUBSTITUTE(
        SUBSTITUTE(
          SUBSTITUTE(
            C248,
            ""√©"", ""é""
          ),
          ""√±"", ""ñ""
        ),
        ""√°"", ""á""
      ),
      ""√≥"", ""ó""
    )
  ),
  ""-""
)
"),"Tablet")</f>
        <v>Tablet</v>
      </c>
      <c r="O248" s="22" t="str">
        <f>IFERROR(__xludf.DUMMYFUNCTION("""COMPUTED_VALUE"""),"Pro")</f>
        <v>Pro</v>
      </c>
      <c r="P248" s="22" t="str">
        <f>IFERROR(__xludf.DUMMYFUNCTION("""COMPUTED_VALUE"""),"32GB")</f>
        <v>32GB</v>
      </c>
      <c r="Q248" s="23">
        <f t="shared" si="1"/>
        <v>153.47</v>
      </c>
      <c r="R248" s="22">
        <f t="shared" si="2"/>
        <v>3</v>
      </c>
      <c r="S248" s="23">
        <f t="shared" si="3"/>
        <v>460.41</v>
      </c>
      <c r="T248" s="22" t="str">
        <f>IFERROR(__xludf.DUMMYFUNCTION("PROPER(TRIM(
  LET(
    texto1, REGEXREPLACE(G248,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Hernán Murillo")</f>
        <v>Gilberto Hernán Murillo</v>
      </c>
      <c r="U248" s="22" t="str">
        <f t="shared" si="4"/>
        <v>39f5457f-dcd1-4ade-baf5-0b5ac2798271</v>
      </c>
      <c r="V248" s="24" t="str">
        <f t="shared" si="5"/>
        <v>Tablet Pro 32GB</v>
      </c>
    </row>
    <row r="249" ht="15.75" customHeight="1">
      <c r="A249" s="36">
        <v>45546.0</v>
      </c>
      <c r="B249" s="2" t="s">
        <v>85</v>
      </c>
      <c r="C249" s="2" t="s">
        <v>17</v>
      </c>
      <c r="D249" s="7">
        <v>107.98</v>
      </c>
      <c r="E249" s="2">
        <v>2.0</v>
      </c>
      <c r="F249" s="7">
        <v>215.96</v>
      </c>
      <c r="G249" s="2" t="s">
        <v>995</v>
      </c>
      <c r="H249" s="2" t="s">
        <v>996</v>
      </c>
      <c r="I249" s="2" t="s">
        <v>997</v>
      </c>
      <c r="K249" s="25" t="str">
        <f>IFERROR(__xludf.DUMMYFUNCTION("IF(ISBLANK(A249),
  """",
  IF(ISNUMBER(A249),
    TEXT(A249,""dd/mm/yyyy""),
    IF(
      REGEXMATCH(TRIM(A249),""^\d{1,2}/\d{1,2}/\d{4}$""),
      TRIM(A249),
      IFERROR(
        TEXT(DATEVALUE(SUBSTITUTE(SUBSTITUTE(TRIM(A249),""-"",""/""),""."",""/"&amp;""")),""dd/mm/yyyy""),
        TRIM(A249)
      )
    )
  )
)
"),"11/09/2024")</f>
        <v>11/09/2024</v>
      </c>
      <c r="L249" s="26">
        <v>45546.0</v>
      </c>
      <c r="M249" s="27" t="str">
        <f>IFERROR(__xludf.DUMMYFUNCTION("PROPER(TRIM(
  REGEXREPLACE(
    REGEXREPLACE(
      SUBSTITUTE(SUBSTITUTE(SUBSTITUTE(SUBSTITUTE(SUBSTITUTE(SUBSTITUTE(SUBSTITUTE(SUBSTITUTE(SUBSTITUTE(SUBSTITUTE(SUBSTITUTE(
        B249,""√©"",""é""),""√°"",""á""),""√±"",""ñ""),""√≥"",""ó""),""√â"",""é"&amp;"""),""√Å"",""á""),""√ç"",""í""),""√Ç"",""Í""),""√Â"",""é""),""√≠"",""í""),""√º"",""ú""),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49" s="28" t="str">
        <f>IFERROR(__xludf.DUMMYFUNCTION("SPLIT(
  TRIM(
    SUBSTITUTE(
      SUBSTITUTE(
        SUBSTITUTE(
          SUBSTITUTE(
            C249,
            ""√©"", ""é""
          ),
          ""√±"", ""ñ""
        ),
        ""√°"", ""á""
      ),
      ""√≥"", ""ó""
    )
  ),
  ""-""
)
"),"Auriculares")</f>
        <v>Auriculares</v>
      </c>
      <c r="O249" s="28" t="str">
        <f>IFERROR(__xludf.DUMMYFUNCTION("""COMPUTED_VALUE"""),"Bluetooth")</f>
        <v>Bluetooth</v>
      </c>
      <c r="P249" s="28" t="str">
        <f>IFERROR(__xludf.DUMMYFUNCTION("""COMPUTED_VALUE"""),"8GB")</f>
        <v>8GB</v>
      </c>
      <c r="Q249" s="29">
        <f t="shared" si="1"/>
        <v>107.98</v>
      </c>
      <c r="R249" s="28">
        <f t="shared" si="2"/>
        <v>2</v>
      </c>
      <c r="S249" s="29">
        <f t="shared" si="3"/>
        <v>215.96</v>
      </c>
      <c r="T249" s="28" t="str">
        <f>IFERROR(__xludf.DUMMYFUNCTION("PROPER(TRIM(
  LET(
    texto1, REGEXREPLACE(G249,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"),"Perla Villaseñor Holguín")</f>
        <v>Perla Villaseñor Holguín</v>
      </c>
      <c r="U249" s="28" t="str">
        <f t="shared" si="4"/>
        <v>cc9e3eb1-75ac-43c1-9836-fb3698df70e0</v>
      </c>
      <c r="V249" s="30" t="str">
        <f t="shared" si="5"/>
        <v>Auriculares Bluetooth 8GB</v>
      </c>
    </row>
    <row r="250" ht="15.75" customHeight="1">
      <c r="A250" s="6">
        <v>45650.0</v>
      </c>
      <c r="B250" s="2" t="s">
        <v>38</v>
      </c>
      <c r="C250" s="2" t="s">
        <v>39</v>
      </c>
      <c r="D250" s="7">
        <v>2441.7</v>
      </c>
      <c r="E250" s="2">
        <v>2.0</v>
      </c>
      <c r="F250" s="7">
        <v>4883.4</v>
      </c>
      <c r="G250" s="2" t="s">
        <v>998</v>
      </c>
      <c r="H250" s="2" t="s">
        <v>999</v>
      </c>
      <c r="I250" s="2" t="s">
        <v>1000</v>
      </c>
      <c r="K250" s="19" t="str">
        <f>IFERROR(__xludf.DUMMYFUNCTION("IF(ISBLANK(A250),
  """",
  IF(ISNUMBER(A250),
    TEXT(A250,""dd/mm/yyyy""),
    IF(
      REGEXMATCH(TRIM(A250),""^\d{1,2}/\d{1,2}/\d{4}$""),
      TRIM(A250),
      IFERROR(
        TEXT(DATEVALUE(SUBSTITUTE(SUBSTITUTE(TRIM(A250),""-"",""/""),""."",""/"&amp;""")),""dd/mm/yyyy""),
        TRIM(A250)
      )
    )
  )
)
"),"24/12/2024")</f>
        <v>24/12/2024</v>
      </c>
      <c r="L250" s="20">
        <v>45650.0</v>
      </c>
      <c r="M250" s="21" t="str">
        <f>IFERROR(__xludf.DUMMYFUNCTION("PROPER(TRIM(
  REGEXREPLACE(
    REGEXREPLACE(
      SUBSTITUTE(SUBSTITUTE(SUBSTITUTE(SUBSTITUTE(SUBSTITUTE(SUBSTITUTE(SUBSTITUTE(SUBSTITUTE(SUBSTITUTE(SUBSTITUTE(SUBSTITUTE(
        B250,""√©"",""é""),""√°"",""á""),""√±"",""ñ""),""√≥"",""ó""),""√â"",""é"&amp;"""),""√Å"",""á""),""√ç"",""í""),""√Ç"",""Í""),""√Â"",""é""),""√≠"",""í""),""√º"",""ú""),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50" s="22" t="str">
        <f>IFERROR(__xludf.DUMMYFUNCTION("SPLIT(
  TRIM(
    SUBSTITUTE(
      SUBSTITUTE(
        SUBSTITUTE(
          SUBSTITUTE(
            C250,
            ""√©"", ""é""
          ),
          ""√±"", ""ñ""
        ),
        ""√°"", ""á""
      ),
      ""√≥"", ""ó""
    )
  ),
  ""-""
)
"),"Teléfono")</f>
        <v>Teléfono</v>
      </c>
      <c r="O250" s="22" t="str">
        <f>IFERROR(__xludf.DUMMYFUNCTION("""COMPUTED_VALUE"""),"Gama alta")</f>
        <v>Gama alta</v>
      </c>
      <c r="P250" s="22" t="str">
        <f>IFERROR(__xludf.DUMMYFUNCTION("""COMPUTED_VALUE"""),"8GB")</f>
        <v>8GB</v>
      </c>
      <c r="Q250" s="23">
        <f t="shared" si="1"/>
        <v>2441.7</v>
      </c>
      <c r="R250" s="22">
        <f t="shared" si="2"/>
        <v>2</v>
      </c>
      <c r="S250" s="23">
        <f t="shared" si="3"/>
        <v>4883.4</v>
      </c>
      <c r="T250" s="22" t="str">
        <f>IFERROR(__xludf.DUMMYFUNCTION("PROPER(TRIM(
  LET(
    texto1, REGEXREPLACE(G250,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"),"Carolina Clara Cotto")</f>
        <v>Carolina Clara Cotto</v>
      </c>
      <c r="U250" s="22" t="str">
        <f t="shared" si="4"/>
        <v>9d189c13-ff1e-411f-93d3-ee251f727785</v>
      </c>
      <c r="V250" s="24" t="str">
        <f t="shared" si="5"/>
        <v>Teléfono Gama alta 8GB</v>
      </c>
    </row>
    <row r="251" ht="15.75" customHeight="1">
      <c r="A251" s="6">
        <v>45589.0</v>
      </c>
      <c r="B251" s="2" t="s">
        <v>38</v>
      </c>
      <c r="C251" s="2" t="s">
        <v>75</v>
      </c>
      <c r="D251" s="7">
        <v>785.65</v>
      </c>
      <c r="E251" s="2">
        <v>1.0</v>
      </c>
      <c r="F251" s="7">
        <v>785.65</v>
      </c>
      <c r="G251" s="2" t="s">
        <v>1001</v>
      </c>
      <c r="H251" s="2" t="s">
        <v>1002</v>
      </c>
      <c r="I251" s="2" t="s">
        <v>1003</v>
      </c>
      <c r="K251" s="25" t="str">
        <f>IFERROR(__xludf.DUMMYFUNCTION("IF(ISBLANK(A251),
  """",
  IF(ISNUMBER(A251),
    TEXT(A251,""dd/mm/yyyy""),
    IF(
      REGEXMATCH(TRIM(A251),""^\d{1,2}/\d{1,2}/\d{4}$""),
      TRIM(A251),
      IFERROR(
        TEXT(DATEVALUE(SUBSTITUTE(SUBSTITUTE(TRIM(A251),""-"",""/""),""."",""/"&amp;""")),""dd/mm/yyyy""),
        TRIM(A251)
      )
    )
  )
)
"),"24/10/2024")</f>
        <v>24/10/2024</v>
      </c>
      <c r="L251" s="26">
        <v>45589.0</v>
      </c>
      <c r="M251" s="27" t="str">
        <f>IFERROR(__xludf.DUMMYFUNCTION("PROPER(TRIM(
  REGEXREPLACE(
    REGEXREPLACE(
      SUBSTITUTE(SUBSTITUTE(SUBSTITUTE(SUBSTITUTE(SUBSTITUTE(SUBSTITUTE(SUBSTITUTE(SUBSTITUTE(SUBSTITUTE(SUBSTITUTE(SUBSTITUTE(
        B251,""√©"",""é""),""√°"",""á""),""√±"",""ñ""),""√≥"",""ó""),""√â"",""é"&amp;"""),""√Å"",""á""),""√ç"",""í""),""√Ç"",""Í""),""√Â"",""é""),""√≠"",""í""),""√º"",""ú""),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51" s="28" t="str">
        <f>IFERROR(__xludf.DUMMYFUNCTION("SPLIT(
  TRIM(
    SUBSTITUTE(
      SUBSTITUTE(
        SUBSTITUTE(
          SUBSTITUTE(
            C251,
            ""√©"", ""é""
          ),
          ""√±"", ""ñ""
        ),
        ""√°"", ""á""
      ),
      ""√≥"", ""ó""
    )
  ),
  ""-""
)
"),"Tablet")</f>
        <v>Tablet</v>
      </c>
      <c r="O251" s="28" t="str">
        <f>IFERROR(__xludf.DUMMYFUNCTION("""COMPUTED_VALUE"""),"Pro")</f>
        <v>Pro</v>
      </c>
      <c r="P251" s="28" t="str">
        <f>IFERROR(__xludf.DUMMYFUNCTION("""COMPUTED_VALUE"""),"4GB")</f>
        <v>4GB</v>
      </c>
      <c r="Q251" s="29">
        <f t="shared" si="1"/>
        <v>785.65</v>
      </c>
      <c r="R251" s="28">
        <f t="shared" si="2"/>
        <v>1</v>
      </c>
      <c r="S251" s="29">
        <f t="shared" si="3"/>
        <v>785.65</v>
      </c>
      <c r="T251" s="28" t="str">
        <f>IFERROR(__xludf.DUMMYFUNCTION("PROPER(TRIM(
  LET(
    texto1, REGEXREPLACE(G251,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"),"Tania José Salcedo")</f>
        <v>Tania José Salcedo</v>
      </c>
      <c r="U251" s="28" t="str">
        <f t="shared" si="4"/>
        <v>7c83c051-cdef-4ee9-99b8-ab628e7e0137</v>
      </c>
      <c r="V251" s="30" t="str">
        <f t="shared" si="5"/>
        <v>Tablet Pro 4GB</v>
      </c>
    </row>
    <row r="252" ht="15.75" customHeight="1">
      <c r="A252" s="36">
        <v>45606.0</v>
      </c>
      <c r="B252" s="2" t="s">
        <v>101</v>
      </c>
      <c r="C252" s="2" t="s">
        <v>201</v>
      </c>
      <c r="D252" s="7">
        <v>229.33</v>
      </c>
      <c r="E252" s="2">
        <v>4.0</v>
      </c>
      <c r="F252" s="7">
        <v>917.32</v>
      </c>
      <c r="G252" s="2" t="s">
        <v>1004</v>
      </c>
      <c r="H252" s="2" t="s">
        <v>1005</v>
      </c>
      <c r="I252" s="2" t="s">
        <v>1006</v>
      </c>
      <c r="K252" s="19" t="str">
        <f>IFERROR(__xludf.DUMMYFUNCTION("IF(ISBLANK(A252),
  """",
  IF(ISNUMBER(A252),
    TEXT(A252,""dd/mm/yyyy""),
    IF(
      REGEXMATCH(TRIM(A252),""^\d{1,2}/\d{1,2}/\d{4}$""),
      TRIM(A252),
      IFERROR(
        TEXT(DATEVALUE(SUBSTITUTE(SUBSTITUTE(TRIM(A252),""-"",""/""),""."",""/"&amp;""")),""dd/mm/yyyy""),
        TRIM(A252)
      )
    )
  )
)
"),"10/11/2024")</f>
        <v>10/11/2024</v>
      </c>
      <c r="L252" s="20">
        <v>45606.0</v>
      </c>
      <c r="M252" s="21" t="str">
        <f>IFERROR(__xludf.DUMMYFUNCTION("PROPER(TRIM(
  REGEXREPLACE(
    REGEXREPLACE(
      SUBSTITUTE(SUBSTITUTE(SUBSTITUTE(SUBSTITUTE(SUBSTITUTE(SUBSTITUTE(SUBSTITUTE(SUBSTITUTE(SUBSTITUTE(SUBSTITUTE(SUBSTITUTE(
        B252,""√©"",""é""),""√°"",""á""),""√±"",""ñ""),""√≥"",""ó""),""√â"",""é"&amp;"""),""√Å"",""á""),""√ç"",""í""),""√Ç"",""Í""),""√Â"",""é""),""√≠"",""í""),""√º"",""ú""),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52" s="22" t="str">
        <f>IFERROR(__xludf.DUMMYFUNCTION("SPLIT(
  TRIM(
    SUBSTITUTE(
      SUBSTITUTE(
        SUBSTITUTE(
          SUBSTITUTE(
            C252,
            ""√©"", ""é""
          ),
          ""√±"", ""ñ""
        ),
        ""√°"", ""á""
      ),
      ""√≥"", ""ó""
    )
  ),
  ""-""
)
"),"Laptop")</f>
        <v>Laptop</v>
      </c>
      <c r="O252" s="22" t="str">
        <f>IFERROR(__xludf.DUMMYFUNCTION("""COMPUTED_VALUE"""),"Gaming")</f>
        <v>Gaming</v>
      </c>
      <c r="P252" s="22" t="str">
        <f>IFERROR(__xludf.DUMMYFUNCTION("""COMPUTED_VALUE"""),"4GB")</f>
        <v>4GB</v>
      </c>
      <c r="Q252" s="23">
        <f t="shared" si="1"/>
        <v>229.33</v>
      </c>
      <c r="R252" s="22">
        <f t="shared" si="2"/>
        <v>4</v>
      </c>
      <c r="S252" s="23">
        <f t="shared" si="3"/>
        <v>917.32</v>
      </c>
      <c r="T252" s="22" t="str">
        <f>IFERROR(__xludf.DUMMYFUNCTION("PROPER(TRIM(
  LET(
    texto1, REGEXREPLACE(G252,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Gamez")</f>
        <v>Cristina Gamez</v>
      </c>
      <c r="U252" s="22" t="str">
        <f t="shared" si="4"/>
        <v>4bf38add-780a-44cc-839a-27eadcf0009e</v>
      </c>
      <c r="V252" s="24" t="str">
        <f t="shared" si="5"/>
        <v>Laptop Gaming 4GB</v>
      </c>
    </row>
    <row r="253" ht="15.75" customHeight="1">
      <c r="A253" s="36">
        <v>45393.0</v>
      </c>
      <c r="B253" s="2" t="s">
        <v>85</v>
      </c>
      <c r="C253" s="2" t="s">
        <v>250</v>
      </c>
      <c r="D253" s="7">
        <v>1345.66</v>
      </c>
      <c r="E253" s="2">
        <v>2.0</v>
      </c>
      <c r="F253" s="7">
        <v>2691.32</v>
      </c>
      <c r="G253" s="2" t="s">
        <v>1008</v>
      </c>
      <c r="H253" s="2" t="s">
        <v>1009</v>
      </c>
      <c r="I253" s="2" t="s">
        <v>1010</v>
      </c>
      <c r="K253" s="25" t="str">
        <f>IFERROR(__xludf.DUMMYFUNCTION("IF(ISBLANK(A253),
  """",
  IF(ISNUMBER(A253),
    TEXT(A253,""dd/mm/yyyy""),
    IF(
      REGEXMATCH(TRIM(A253),""^\d{1,2}/\d{1,2}/\d{4}$""),
      TRIM(A253),
      IFERROR(
        TEXT(DATEVALUE(SUBSTITUTE(SUBSTITUTE(TRIM(A253),""-"",""/""),""."",""/"&amp;""")),""dd/mm/yyyy""),
        TRIM(A253)
      )
    )
  )
)
"),"11/04/2024")</f>
        <v>11/04/2024</v>
      </c>
      <c r="L253" s="26">
        <v>45393.0</v>
      </c>
      <c r="M253" s="27" t="str">
        <f>IFERROR(__xludf.DUMMYFUNCTION("PROPER(TRIM(
  REGEXREPLACE(
    REGEXREPLACE(
      SUBSTITUTE(SUBSTITUTE(SUBSTITUTE(SUBSTITUTE(SUBSTITUTE(SUBSTITUTE(SUBSTITUTE(SUBSTITUTE(SUBSTITUTE(SUBSTITUTE(SUBSTITUTE(
        B253,""√©"",""é""),""√°"",""á""),""√±"",""ñ""),""√≥"",""ó""),""√â"",""é"&amp;"""),""√Å"",""á""),""√ç"",""í""),""√Ç"",""Í""),""√Â"",""é""),""√≠"",""í""),""√º"",""ú""),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53" s="28" t="str">
        <f>IFERROR(__xludf.DUMMYFUNCTION("SPLIT(
  TRIM(
    SUBSTITUTE(
      SUBSTITUTE(
        SUBSTITUTE(
          SUBSTITUTE(
            C253,
            ""√©"", ""é""
          ),
          ""√±"", ""ñ""
        ),
        ""√°"", ""á""
      ),
      ""√≥"", ""ó""
    )
  ),
  ""-""
)
"),"Laptop")</f>
        <v>Laptop</v>
      </c>
      <c r="O253" s="28" t="str">
        <f>IFERROR(__xludf.DUMMYFUNCTION("""COMPUTED_VALUE"""),"Oficina")</f>
        <v>Oficina</v>
      </c>
      <c r="P253" s="28" t="str">
        <f>IFERROR(__xludf.DUMMYFUNCTION("""COMPUTED_VALUE"""),"32GB")</f>
        <v>32GB</v>
      </c>
      <c r="Q253" s="29">
        <f t="shared" si="1"/>
        <v>1345.66</v>
      </c>
      <c r="R253" s="28">
        <f t="shared" si="2"/>
        <v>2</v>
      </c>
      <c r="S253" s="29">
        <f t="shared" si="3"/>
        <v>2691.32</v>
      </c>
      <c r="T253" s="28" t="str">
        <f>IFERROR(__xludf.DUMMYFUNCTION("PROPER(TRIM(
  LET(
    texto1, REGEXREPLACE(G253,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"),"Ernesto De La Fuente Lozano")</f>
        <v>Ernesto De La Fuente Lozano</v>
      </c>
      <c r="U253" s="28" t="str">
        <f t="shared" si="4"/>
        <v>b286124b-1bcf-484f-92a1-6fc89c6f74ee</v>
      </c>
      <c r="V253" s="30" t="str">
        <f t="shared" si="5"/>
        <v>Laptop Oficina 32GB</v>
      </c>
    </row>
    <row r="254" ht="15.75" customHeight="1">
      <c r="A254" s="6">
        <v>45581.0</v>
      </c>
      <c r="B254" s="2" t="s">
        <v>101</v>
      </c>
      <c r="C254" s="2" t="s">
        <v>86</v>
      </c>
      <c r="D254" s="7">
        <v>1805.81</v>
      </c>
      <c r="E254" s="2">
        <v>3.0</v>
      </c>
      <c r="F254" s="7">
        <v>5417.43</v>
      </c>
      <c r="G254" s="2" t="s">
        <v>1012</v>
      </c>
      <c r="H254" s="2" t="s">
        <v>1013</v>
      </c>
      <c r="I254" s="2" t="s">
        <v>1014</v>
      </c>
      <c r="K254" s="19" t="str">
        <f>IFERROR(__xludf.DUMMYFUNCTION("IF(ISBLANK(A254),
  """",
  IF(ISNUMBER(A254),
    TEXT(A254,""dd/mm/yyyy""),
    IF(
      REGEXMATCH(TRIM(A254),""^\d{1,2}/\d{1,2}/\d{4}$""),
      TRIM(A254),
      IFERROR(
        TEXT(DATEVALUE(SUBSTITUTE(SUBSTITUTE(TRIM(A254),""-"",""/""),""."",""/"&amp;""")),""dd/mm/yyyy""),
        TRIM(A254)
      )
    )
  )
)
"),"16/10/2024")</f>
        <v>16/10/2024</v>
      </c>
      <c r="L254" s="20">
        <v>45581.0</v>
      </c>
      <c r="M254" s="21" t="str">
        <f>IFERROR(__xludf.DUMMYFUNCTION("PROPER(TRIM(
  REGEXREPLACE(
    REGEXREPLACE(
      SUBSTITUTE(SUBSTITUTE(SUBSTITUTE(SUBSTITUTE(SUBSTITUTE(SUBSTITUTE(SUBSTITUTE(SUBSTITUTE(SUBSTITUTE(SUBSTITUTE(SUBSTITUTE(
        B254,""√©"",""é""),""√°"",""á""),""√±"",""ñ""),""√≥"",""ó""),""√â"",""é"&amp;"""),""√Å"",""á""),""√ç"",""í""),""√Ç"",""Í""),""√Â"",""é""),""√≠"",""í""),""√º"",""ú""),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54" s="22" t="str">
        <f>IFERROR(__xludf.DUMMYFUNCTION("SPLIT(
  TRIM(
    SUBSTITUTE(
      SUBSTITUTE(
        SUBSTITUTE(
          SUBSTITUTE(
            C254,
            ""√©"", ""é""
          ),
          ""√±"", ""ñ""
        ),
        ""√°"", ""á""
      ),
      ""√≥"", ""ó""
    )
  ),
  ""-""
)
"),"Tablet")</f>
        <v>Tablet</v>
      </c>
      <c r="O254" s="22" t="str">
        <f>IFERROR(__xludf.DUMMYFUNCTION("""COMPUTED_VALUE"""),"Pro")</f>
        <v>Pro</v>
      </c>
      <c r="P254" s="22" t="str">
        <f>IFERROR(__xludf.DUMMYFUNCTION("""COMPUTED_VALUE"""),"32GB")</f>
        <v>32GB</v>
      </c>
      <c r="Q254" s="23">
        <f t="shared" si="1"/>
        <v>1805.81</v>
      </c>
      <c r="R254" s="22">
        <f t="shared" si="2"/>
        <v>3</v>
      </c>
      <c r="S254" s="23">
        <f t="shared" si="3"/>
        <v>5417.43</v>
      </c>
      <c r="T254" s="22" t="str">
        <f>IFERROR(__xludf.DUMMYFUNCTION("PROPER(TRIM(
  LET(
    texto1, REGEXREPLACE(G254,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"),"Abraham Guillen")</f>
        <v>Abraham Guillen</v>
      </c>
      <c r="U254" s="22" t="str">
        <f t="shared" si="4"/>
        <v>0a037e7f-e874-4665-a3e4-734c560a30f9</v>
      </c>
      <c r="V254" s="24" t="str">
        <f t="shared" si="5"/>
        <v>Tablet Pro 32GB</v>
      </c>
    </row>
    <row r="255" ht="15.75" customHeight="1">
      <c r="A255" s="36">
        <v>45546.0</v>
      </c>
      <c r="B255" s="2" t="s">
        <v>85</v>
      </c>
      <c r="C255" s="2" t="s">
        <v>1015</v>
      </c>
      <c r="D255" s="7">
        <v>1363.76</v>
      </c>
      <c r="E255" s="2">
        <v>4.0</v>
      </c>
      <c r="F255" s="7">
        <v>5455.04</v>
      </c>
      <c r="G255" s="2" t="s">
        <v>1016</v>
      </c>
      <c r="H255" s="2" t="s">
        <v>1017</v>
      </c>
      <c r="I255" s="2" t="s">
        <v>1018</v>
      </c>
      <c r="K255" s="25" t="str">
        <f>IFERROR(__xludf.DUMMYFUNCTION("IF(ISBLANK(A255),
  """",
  IF(ISNUMBER(A255),
    TEXT(A255,""dd/mm/yyyy""),
    IF(
      REGEXMATCH(TRIM(A255),""^\d{1,2}/\d{1,2}/\d{4}$""),
      TRIM(A255),
      IFERROR(
        TEXT(DATEVALUE(SUBSTITUTE(SUBSTITUTE(TRIM(A255),""-"",""/""),""."",""/"&amp;""")),""dd/mm/yyyy""),
        TRIM(A255)
      )
    )
  )
)
"),"11/09/2024")</f>
        <v>11/09/2024</v>
      </c>
      <c r="L255" s="26">
        <v>45546.0</v>
      </c>
      <c r="M255" s="27" t="str">
        <f>IFERROR(__xludf.DUMMYFUNCTION("PROPER(TRIM(
  REGEXREPLACE(
    REGEXREPLACE(
      SUBSTITUTE(SUBSTITUTE(SUBSTITUTE(SUBSTITUTE(SUBSTITUTE(SUBSTITUTE(SUBSTITUTE(SUBSTITUTE(SUBSTITUTE(SUBSTITUTE(SUBSTITUTE(
        B255,""√©"",""é""),""√°"",""á""),""√±"",""ñ""),""√≥"",""ó""),""√â"",""é"&amp;"""),""√Å"",""á""),""√ç"",""í""),""√Ç"",""Í""),""√Â"",""é""),""√≠"",""í""),""√º"",""ú""),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55" s="28" t="str">
        <f>IFERROR(__xludf.DUMMYFUNCTION("SPLIT(
  TRIM(
    SUBSTITUTE(
      SUBSTITUTE(
        SUBSTITUTE(
          SUBSTITUTE(
            C255,
            ""√©"", ""é""
          ),
          ""√±"", ""ñ""
        ),
        ""√°"", ""á""
      ),
      ""√≥"", ""ó""
    )
  ),
  ""-""
)
"),"Auriculares")</f>
        <v>Auriculares</v>
      </c>
      <c r="O255" s="28" t="str">
        <f>IFERROR(__xludf.DUMMYFUNCTION("""COMPUTED_VALUE"""),"Bluetooth")</f>
        <v>Bluetooth</v>
      </c>
      <c r="P255" s="28" t="str">
        <f>IFERROR(__xludf.DUMMYFUNCTION("""COMPUTED_VALUE"""),"32GB")</f>
        <v>32GB</v>
      </c>
      <c r="Q255" s="29">
        <f t="shared" si="1"/>
        <v>1363.76</v>
      </c>
      <c r="R255" s="28">
        <f t="shared" si="2"/>
        <v>4</v>
      </c>
      <c r="S255" s="29">
        <f t="shared" si="3"/>
        <v>5455.04</v>
      </c>
      <c r="T255" s="28" t="str">
        <f>IFERROR(__xludf.DUMMYFUNCTION("PROPER(TRIM(
  LET(
    texto1, REGEXREPLACE(G255,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"),"Eloisa Ballesteros")</f>
        <v>Eloisa Ballesteros</v>
      </c>
      <c r="U255" s="28" t="str">
        <f t="shared" si="4"/>
        <v>8a9c117c-0931-4ed8-9d8f-3a5c2d9c904f</v>
      </c>
      <c r="V255" s="30" t="str">
        <f t="shared" si="5"/>
        <v>Auriculares Bluetooth 32GB</v>
      </c>
    </row>
    <row r="256" ht="15.75" customHeight="1">
      <c r="A256" s="6">
        <v>45644.0</v>
      </c>
      <c r="B256" s="2" t="s">
        <v>101</v>
      </c>
      <c r="C256" s="2" t="s">
        <v>162</v>
      </c>
      <c r="D256" s="7">
        <v>1405.61</v>
      </c>
      <c r="E256" s="2">
        <v>5.0</v>
      </c>
      <c r="F256" s="7">
        <v>7028.05</v>
      </c>
      <c r="G256" s="2" t="s">
        <v>1019</v>
      </c>
      <c r="H256" s="2" t="s">
        <v>1020</v>
      </c>
      <c r="I256" s="2" t="s">
        <v>1021</v>
      </c>
      <c r="K256" s="19" t="str">
        <f>IFERROR(__xludf.DUMMYFUNCTION("IF(ISBLANK(A256),
  """",
  IF(ISNUMBER(A256),
    TEXT(A256,""dd/mm/yyyy""),
    IF(
      REGEXMATCH(TRIM(A256),""^\d{1,2}/\d{1,2}/\d{4}$""),
      TRIM(A256),
      IFERROR(
        TEXT(DATEVALUE(SUBSTITUTE(SUBSTITUTE(TRIM(A256),""-"",""/""),""."",""/"&amp;""")),""dd/mm/yyyy""),
        TRIM(A256)
      )
    )
  )
)
"),"18/12/2024")</f>
        <v>18/12/2024</v>
      </c>
      <c r="L256" s="20">
        <v>45644.0</v>
      </c>
      <c r="M256" s="21" t="str">
        <f>IFERROR(__xludf.DUMMYFUNCTION("PROPER(TRIM(
  REGEXREPLACE(
    REGEXREPLACE(
      SUBSTITUTE(SUBSTITUTE(SUBSTITUTE(SUBSTITUTE(SUBSTITUTE(SUBSTITUTE(SUBSTITUTE(SUBSTITUTE(SUBSTITUTE(SUBSTITUTE(SUBSTITUTE(
        B256,""√©"",""é""),""√°"",""á""),""√±"",""ñ""),""√≥"",""ó""),""√â"",""é"&amp;"""),""√Å"",""á""),""√ç"",""í""),""√Ç"",""Í""),""√Â"",""é""),""√≠"",""í""),""√º"",""ú""),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56" s="22" t="str">
        <f>IFERROR(__xludf.DUMMYFUNCTION("SPLIT(
  TRIM(
    SUBSTITUTE(
      SUBSTITUTE(
        SUBSTITUTE(
          SUBSTITUTE(
            C256,
            ""√©"", ""é""
          ),
          ""√±"", ""ñ""
        ),
        ""√°"", ""á""
      ),
      ""√≥"", ""ó""
    )
  ),
  ""-""
)
"),"Teléfono")</f>
        <v>Teléfono</v>
      </c>
      <c r="O256" s="22" t="str">
        <f>IFERROR(__xludf.DUMMYFUNCTION("""COMPUTED_VALUE"""),"Gama alta")</f>
        <v>Gama alta</v>
      </c>
      <c r="P256" s="22" t="str">
        <f>IFERROR(__xludf.DUMMYFUNCTION("""COMPUTED_VALUE"""),"16GB")</f>
        <v>16GB</v>
      </c>
      <c r="Q256" s="23">
        <f t="shared" si="1"/>
        <v>1405.61</v>
      </c>
      <c r="R256" s="22">
        <f t="shared" si="2"/>
        <v>5</v>
      </c>
      <c r="S256" s="23">
        <f t="shared" si="3"/>
        <v>7028.05</v>
      </c>
      <c r="T256" s="22" t="str">
        <f>IFERROR(__xludf.DUMMYFUNCTION("PROPER(TRIM(
  LET(
    texto1, REGEXREPLACE(G256,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"),"Hugo Orellana Aguilera")</f>
        <v>Hugo Orellana Aguilera</v>
      </c>
      <c r="U256" s="22" t="str">
        <f t="shared" si="4"/>
        <v>e2689eed-d7a5-4b39-a1e0-7b6894376ce5</v>
      </c>
      <c r="V256" s="24" t="str">
        <f t="shared" si="5"/>
        <v>Teléfono Gama alta 16GB</v>
      </c>
    </row>
    <row r="257" ht="15.75" customHeight="1">
      <c r="A257" s="36">
        <v>45608.0</v>
      </c>
      <c r="B257" s="2" t="s">
        <v>27</v>
      </c>
      <c r="C257" s="2" t="s">
        <v>11</v>
      </c>
      <c r="D257" s="7">
        <v>100.98</v>
      </c>
      <c r="E257" s="2">
        <v>3.0</v>
      </c>
      <c r="F257" s="7">
        <v>302.94</v>
      </c>
      <c r="G257" s="2" t="s">
        <v>1023</v>
      </c>
      <c r="H257" s="2" t="s">
        <v>1024</v>
      </c>
      <c r="I257" s="2" t="s">
        <v>1025</v>
      </c>
      <c r="K257" s="25" t="str">
        <f>IFERROR(__xludf.DUMMYFUNCTION("IF(ISBLANK(A257),
  """",
  IF(ISNUMBER(A257),
    TEXT(A257,""dd/mm/yyyy""),
    IF(
      REGEXMATCH(TRIM(A257),""^\d{1,2}/\d{1,2}/\d{4}$""),
      TRIM(A257),
      IFERROR(
        TEXT(DATEVALUE(SUBSTITUTE(SUBSTITUTE(TRIM(A257),""-"",""/""),""."",""/"&amp;""")),""dd/mm/yyyy""),
        TRIM(A257)
      )
    )
  )
)
"),"12/11/2024")</f>
        <v>12/11/2024</v>
      </c>
      <c r="L257" s="26">
        <v>45608.0</v>
      </c>
      <c r="M257" s="27" t="str">
        <f>IFERROR(__xludf.DUMMYFUNCTION("PROPER(TRIM(
  REGEXREPLACE(
    REGEXREPLACE(
      SUBSTITUTE(SUBSTITUTE(SUBSTITUTE(SUBSTITUTE(SUBSTITUTE(SUBSTITUTE(SUBSTITUTE(SUBSTITUTE(SUBSTITUTE(SUBSTITUTE(SUBSTITUTE(
        B257,""√©"",""é""),""√°"",""á""),""√±"",""ñ""),""√≥"",""ó""),""√â"",""é"&amp;"""),""√Å"",""á""),""√ç"",""í""),""√Ç"",""Í""),""√Â"",""é""),""√≠"",""í""),""√º"",""ú""),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57" s="28" t="str">
        <f>IFERROR(__xludf.DUMMYFUNCTION("SPLIT(
  TRIM(
    SUBSTITUTE(
      SUBSTITUTE(
        SUBSTITUTE(
          SUBSTITUTE(
            C257,
            ""√©"", ""é""
          ),
          ""√±"", ""ñ""
        ),
        ""√°"", ""á""
      ),
      ""√≥"", ""ó""
    )
  ),
  ""-""
)
"),"Auriculares")</f>
        <v>Auriculares</v>
      </c>
      <c r="O257" s="28" t="str">
        <f>IFERROR(__xludf.DUMMYFUNCTION("""COMPUTED_VALUE"""),"Con cable")</f>
        <v>Con cable</v>
      </c>
      <c r="P257" s="28" t="str">
        <f>IFERROR(__xludf.DUMMYFUNCTION("""COMPUTED_VALUE"""),"32GB")</f>
        <v>32GB</v>
      </c>
      <c r="Q257" s="29">
        <f t="shared" si="1"/>
        <v>100.98</v>
      </c>
      <c r="R257" s="28">
        <f t="shared" si="2"/>
        <v>3</v>
      </c>
      <c r="S257" s="29">
        <f t="shared" si="3"/>
        <v>302.94</v>
      </c>
      <c r="T257" s="28" t="str">
        <f>IFERROR(__xludf.DUMMYFUNCTION("PROPER(TRIM(
  LET(
    texto1, REGEXREPLACE(G257,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"),"Fernando Calderón")</f>
        <v>Fernando Calderón</v>
      </c>
      <c r="U257" s="28" t="str">
        <f t="shared" si="4"/>
        <v>0877fac4-86db-45ad-94c8-6b0e1624953f</v>
      </c>
      <c r="V257" s="30" t="str">
        <f t="shared" si="5"/>
        <v>Auriculares Con cable 32GB</v>
      </c>
    </row>
    <row r="258" ht="15.75" customHeight="1">
      <c r="A258" s="6">
        <v>45655.0</v>
      </c>
      <c r="B258" s="2" t="s">
        <v>16</v>
      </c>
      <c r="C258" s="2" t="s">
        <v>152</v>
      </c>
      <c r="D258" s="7">
        <v>401.92</v>
      </c>
      <c r="E258" s="2">
        <v>3.0</v>
      </c>
      <c r="F258" s="7">
        <v>1205.76</v>
      </c>
      <c r="G258" s="2" t="s">
        <v>1026</v>
      </c>
      <c r="H258" s="2" t="s">
        <v>1027</v>
      </c>
      <c r="I258" s="2" t="s">
        <v>1028</v>
      </c>
      <c r="K258" s="19" t="str">
        <f>IFERROR(__xludf.DUMMYFUNCTION("IF(ISBLANK(A258),
  """",
  IF(ISNUMBER(A258),
    TEXT(A258,""dd/mm/yyyy""),
    IF(
      REGEXMATCH(TRIM(A258),""^\d{1,2}/\d{1,2}/\d{4}$""),
      TRIM(A258),
      IFERROR(
        TEXT(DATEVALUE(SUBSTITUTE(SUBSTITUTE(TRIM(A258),""-"",""/""),""."",""/"&amp;""")),""dd/mm/yyyy""),
        TRIM(A258)
      )
    )
  )
)
"),"29/12/2024")</f>
        <v>29/12/2024</v>
      </c>
      <c r="L258" s="20">
        <v>45655.0</v>
      </c>
      <c r="M258" s="21" t="str">
        <f>IFERROR(__xludf.DUMMYFUNCTION("PROPER(TRIM(
  REGEXREPLACE(
    REGEXREPLACE(
      SUBSTITUTE(SUBSTITUTE(SUBSTITUTE(SUBSTITUTE(SUBSTITUTE(SUBSTITUTE(SUBSTITUTE(SUBSTITUTE(SUBSTITUTE(SUBSTITUTE(SUBSTITUTE(
        B258,""√©"",""é""),""√°"",""á""),""√±"",""ñ""),""√≥"",""ó""),""√â"",""é"&amp;"""),""√Å"",""á""),""√ç"",""í""),""√Ç"",""Í""),""√Â"",""é""),""√≠"",""í""),""√º"",""ú""),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58" s="22" t="str">
        <f>IFERROR(__xludf.DUMMYFUNCTION("SPLIT(
  TRIM(
    SUBSTITUTE(
      SUBSTITUTE(
        SUBSTITUTE(
          SUBSTITUTE(
            C258,
            ""√©"", ""é""
          ),
          ""√±"", ""ñ""
        ),
        ""√°"", ""á""
      ),
      ""√≥"", ""ó""
    )
  ),
  ""-""
)
"),"Teléfono")</f>
        <v>Teléfono</v>
      </c>
      <c r="O258" s="22" t="str">
        <f>IFERROR(__xludf.DUMMYFUNCTION("""COMPUTED_VALUE"""),"Gama baja")</f>
        <v>Gama baja</v>
      </c>
      <c r="P258" s="22" t="str">
        <f>IFERROR(__xludf.DUMMYFUNCTION("""COMPUTED_VALUE"""),"4GB")</f>
        <v>4GB</v>
      </c>
      <c r="Q258" s="23">
        <f t="shared" si="1"/>
        <v>401.92</v>
      </c>
      <c r="R258" s="22">
        <f t="shared" si="2"/>
        <v>3</v>
      </c>
      <c r="S258" s="23">
        <f t="shared" si="3"/>
        <v>1205.76</v>
      </c>
      <c r="T258" s="22" t="str">
        <f>IFERROR(__xludf.DUMMYFUNCTION("PROPER(TRIM(
  LET(
    texto1, REGEXREPLACE(G258,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"),"Jorge Luis Blanca Regalado Mora")</f>
        <v>Jorge Luis Blanca Regalado Mora</v>
      </c>
      <c r="U258" s="22" t="str">
        <f t="shared" si="4"/>
        <v>cce81a35-f0aa-40e7-a33d-43e447f74b34</v>
      </c>
      <c r="V258" s="24" t="str">
        <f t="shared" si="5"/>
        <v>Teléfono Gama baja 4GB</v>
      </c>
    </row>
    <row r="259" ht="15.75" customHeight="1">
      <c r="A259" s="6">
        <v>45614.0</v>
      </c>
      <c r="B259" s="2" t="s">
        <v>16</v>
      </c>
      <c r="C259" s="2" t="s">
        <v>698</v>
      </c>
      <c r="D259" s="7">
        <v>890.76</v>
      </c>
      <c r="E259" s="2">
        <v>2.0</v>
      </c>
      <c r="F259" s="7">
        <v>1781.52</v>
      </c>
      <c r="G259" s="2" t="s">
        <v>1029</v>
      </c>
      <c r="H259" s="2" t="s">
        <v>1030</v>
      </c>
      <c r="I259" s="2" t="s">
        <v>1031</v>
      </c>
      <c r="K259" s="25" t="str">
        <f>IFERROR(__xludf.DUMMYFUNCTION("IF(ISBLANK(A259),
  """",
  IF(ISNUMBER(A259),
    TEXT(A259,""dd/mm/yyyy""),
    IF(
      REGEXMATCH(TRIM(A259),""^\d{1,2}/\d{1,2}/\d{4}$""),
      TRIM(A259),
      IFERROR(
        TEXT(DATEVALUE(SUBSTITUTE(SUBSTITUTE(TRIM(A259),""-"",""/""),""."",""/"&amp;""")),""dd/mm/yyyy""),
        TRIM(A259)
      )
    )
  )
)
"),"18/11/2024")</f>
        <v>18/11/2024</v>
      </c>
      <c r="L259" s="26">
        <v>45614.0</v>
      </c>
      <c r="M259" s="27" t="str">
        <f>IFERROR(__xludf.DUMMYFUNCTION("PROPER(TRIM(
  REGEXREPLACE(
    REGEXREPLACE(
      SUBSTITUTE(SUBSTITUTE(SUBSTITUTE(SUBSTITUTE(SUBSTITUTE(SUBSTITUTE(SUBSTITUTE(SUBSTITUTE(SUBSTITUTE(SUBSTITUTE(SUBSTITUTE(
        B259,""√©"",""é""),""√°"",""á""),""√±"",""ñ""),""√≥"",""ó""),""√â"",""é"&amp;"""),""√Å"",""á""),""√ç"",""í""),""√Ç"",""Í""),""√Â"",""é""),""√≠"",""í""),""√º"",""ú""),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59" s="28" t="str">
        <f>IFERROR(__xludf.DUMMYFUNCTION("SPLIT(
  TRIM(
    SUBSTITUTE(
      SUBSTITUTE(
        SUBSTITUTE(
          SUBSTITUTE(
            C259,
            ""√©"", ""é""
          ),
          ""√±"", ""ñ""
        ),
        ""√°"", ""á""
      ),
      ""√≥"", ""ó""
    )
  ),
  ""-""
)
"),"Laptop")</f>
        <v>Laptop</v>
      </c>
      <c r="O259" s="28" t="str">
        <f>IFERROR(__xludf.DUMMYFUNCTION("""COMPUTED_VALUE"""),"Ultraliviana")</f>
        <v>Ultraliviana</v>
      </c>
      <c r="P259" s="28" t="str">
        <f>IFERROR(__xludf.DUMMYFUNCTION("""COMPUTED_VALUE"""),"8GB")</f>
        <v>8GB</v>
      </c>
      <c r="Q259" s="29">
        <f t="shared" si="1"/>
        <v>890.76</v>
      </c>
      <c r="R259" s="28">
        <f t="shared" si="2"/>
        <v>2</v>
      </c>
      <c r="S259" s="29">
        <f t="shared" si="3"/>
        <v>1781.52</v>
      </c>
      <c r="T259" s="28" t="str">
        <f>IFERROR(__xludf.DUMMYFUNCTION("PROPER(TRIM(
  LET(
    texto1, REGEXREPLACE(G259,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"),"Gerardo Elisa Franco")</f>
        <v>Gerardo Elisa Franco</v>
      </c>
      <c r="U259" s="28" t="str">
        <f t="shared" si="4"/>
        <v>50041cfa-9dbe-4a33-855e-dfc293e0392e</v>
      </c>
      <c r="V259" s="30" t="str">
        <f t="shared" si="5"/>
        <v>Laptop Ultraliviana 8GB</v>
      </c>
    </row>
    <row r="260" ht="15.75" customHeight="1">
      <c r="A260" s="6">
        <v>45655.0</v>
      </c>
      <c r="B260" s="2" t="s">
        <v>16</v>
      </c>
      <c r="C260" s="2" t="s">
        <v>348</v>
      </c>
      <c r="D260" s="7">
        <v>989.79</v>
      </c>
      <c r="E260" s="2">
        <v>5.0</v>
      </c>
      <c r="F260" s="7">
        <v>4948.95</v>
      </c>
      <c r="G260" s="2" t="s">
        <v>1032</v>
      </c>
      <c r="H260" s="2" t="s">
        <v>1033</v>
      </c>
      <c r="I260" s="2" t="s">
        <v>1034</v>
      </c>
      <c r="K260" s="19" t="str">
        <f>IFERROR(__xludf.DUMMYFUNCTION("IF(ISBLANK(A260),
  """",
  IF(ISNUMBER(A260),
    TEXT(A260,""dd/mm/yyyy""),
    IF(
      REGEXMATCH(TRIM(A260),""^\d{1,2}/\d{1,2}/\d{4}$""),
      TRIM(A260),
      IFERROR(
        TEXT(DATEVALUE(SUBSTITUTE(SUBSTITUTE(TRIM(A260),""-"",""/""),""."",""/"&amp;""")),""dd/mm/yyyy""),
        TRIM(A260)
      )
    )
  )
)
"),"29/12/2024")</f>
        <v>29/12/2024</v>
      </c>
      <c r="L260" s="20">
        <v>45655.0</v>
      </c>
      <c r="M260" s="21" t="str">
        <f>IFERROR(__xludf.DUMMYFUNCTION("PROPER(TRIM(
  REGEXREPLACE(
    REGEXREPLACE(
      SUBSTITUTE(SUBSTITUTE(SUBSTITUTE(SUBSTITUTE(SUBSTITUTE(SUBSTITUTE(SUBSTITUTE(SUBSTITUTE(SUBSTITUTE(SUBSTITUTE(SUBSTITUTE(
        B260,""√©"",""é""),""√°"",""á""),""√±"",""ñ""),""√≥"",""ó""),""√â"",""é"&amp;"""),""√Å"",""á""),""√ç"",""í""),""√Ç"",""Í""),""√Â"",""é""),""√≠"",""í""),""√º"",""ú""),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60" s="22" t="str">
        <f>IFERROR(__xludf.DUMMYFUNCTION("SPLIT(
  TRIM(
    SUBSTITUTE(
      SUBSTITUTE(
        SUBSTITUTE(
          SUBSTITUTE(
            C260,
            ""√©"", ""é""
          ),
          ""√±"", ""ñ""
        ),
        ""√°"", ""á""
      ),
      ""√≥"", ""ó""
    )
  ),
  ""-""
)
"),"Teléfono")</f>
        <v>Teléfono</v>
      </c>
      <c r="O260" s="22" t="str">
        <f>IFERROR(__xludf.DUMMYFUNCTION("""COMPUTED_VALUE"""),"Gama media")</f>
        <v>Gama media</v>
      </c>
      <c r="P260" s="22" t="str">
        <f>IFERROR(__xludf.DUMMYFUNCTION("""COMPUTED_VALUE"""),"8GB")</f>
        <v>8GB</v>
      </c>
      <c r="Q260" s="23">
        <f t="shared" si="1"/>
        <v>989.79</v>
      </c>
      <c r="R260" s="22">
        <f t="shared" si="2"/>
        <v>5</v>
      </c>
      <c r="S260" s="23">
        <f t="shared" si="3"/>
        <v>4948.95</v>
      </c>
      <c r="T260" s="22" t="str">
        <f>IFERROR(__xludf.DUMMYFUNCTION("PROPER(TRIM(
  LET(
    texto1, REGEXREPLACE(G260,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"),"Beatriz Virginia Duarte Flores")</f>
        <v>Beatriz Virginia Duarte Flores</v>
      </c>
      <c r="U260" s="22" t="str">
        <f t="shared" si="4"/>
        <v>d2226fcc-944b-4300-a358-816d2b168c5f</v>
      </c>
      <c r="V260" s="24" t="str">
        <f t="shared" si="5"/>
        <v>Teléfono Gama media 8GB</v>
      </c>
    </row>
    <row r="261" ht="15.75" customHeight="1">
      <c r="A261" s="6">
        <v>45612.0</v>
      </c>
      <c r="B261" s="2" t="s">
        <v>50</v>
      </c>
      <c r="C261" s="2" t="s">
        <v>235</v>
      </c>
      <c r="D261" s="7">
        <v>1137.01</v>
      </c>
      <c r="E261" s="2">
        <v>3.0</v>
      </c>
      <c r="F261" s="7">
        <v>3411.03</v>
      </c>
      <c r="G261" s="2" t="s">
        <v>1036</v>
      </c>
      <c r="H261" s="2" t="s">
        <v>1037</v>
      </c>
      <c r="I261" s="2" t="s">
        <v>1038</v>
      </c>
      <c r="K261" s="25" t="str">
        <f>IFERROR(__xludf.DUMMYFUNCTION("IF(ISBLANK(A261),
  """",
  IF(ISNUMBER(A261),
    TEXT(A261,""dd/mm/yyyy""),
    IF(
      REGEXMATCH(TRIM(A261),""^\d{1,2}/\d{1,2}/\d{4}$""),
      TRIM(A261),
      IFERROR(
        TEXT(DATEVALUE(SUBSTITUTE(SUBSTITUTE(TRIM(A261),""-"",""/""),""."",""/"&amp;""")),""dd/mm/yyyy""),
        TRIM(A261)
      )
    )
  )
)
"),"16/11/2024")</f>
        <v>16/11/2024</v>
      </c>
      <c r="L261" s="26">
        <v>45612.0</v>
      </c>
      <c r="M261" s="27" t="str">
        <f>IFERROR(__xludf.DUMMYFUNCTION("PROPER(TRIM(
  REGEXREPLACE(
    REGEXREPLACE(
      SUBSTITUTE(SUBSTITUTE(SUBSTITUTE(SUBSTITUTE(SUBSTITUTE(SUBSTITUTE(SUBSTITUTE(SUBSTITUTE(SUBSTITUTE(SUBSTITUTE(SUBSTITUTE(
        B261,""√©"",""é""),""√°"",""á""),""√±"",""ñ""),""√≥"",""ó""),""√â"",""é"&amp;"""),""√Å"",""á""),""√ç"",""í""),""√Ç"",""Í""),""√Â"",""é""),""√≠"",""í""),""√º"",""ú""),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61" s="28" t="str">
        <f>IFERROR(__xludf.DUMMYFUNCTION("SPLIT(
  TRIM(
    SUBSTITUTE(
      SUBSTITUTE(
        SUBSTITUTE(
          SUBSTITUTE(
            C261,
            ""√©"", ""é""
          ),
          ""√±"", ""ñ""
        ),
        ""√°"", ""á""
      ),
      ""√≥"", ""ó""
    )
  ),
  ""-""
)
"),"Tablet")</f>
        <v>Tablet</v>
      </c>
      <c r="O261" s="28" t="str">
        <f>IFERROR(__xludf.DUMMYFUNCTION("""COMPUTED_VALUE"""),"Estándar")</f>
        <v>Estándar</v>
      </c>
      <c r="P261" s="28" t="str">
        <f>IFERROR(__xludf.DUMMYFUNCTION("""COMPUTED_VALUE"""),"4GB")</f>
        <v>4GB</v>
      </c>
      <c r="Q261" s="29">
        <f t="shared" si="1"/>
        <v>1137.01</v>
      </c>
      <c r="R261" s="28">
        <f t="shared" si="2"/>
        <v>3</v>
      </c>
      <c r="S261" s="29">
        <f t="shared" si="3"/>
        <v>3411.03</v>
      </c>
      <c r="T261" s="28" t="str">
        <f>IFERROR(__xludf.DUMMYFUNCTION("PROPER(TRIM(
  LET(
    texto1, REGEXREPLACE(G261,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"),"Arturo Barraza")</f>
        <v>Arturo Barraza</v>
      </c>
      <c r="U261" s="28" t="str">
        <f t="shared" si="4"/>
        <v>0a5787f4-b611-4db3-9a36-d6bd45f0ce8e</v>
      </c>
      <c r="V261" s="30" t="str">
        <f t="shared" si="5"/>
        <v>Tablet Estándar 4GB</v>
      </c>
    </row>
    <row r="262" ht="15.75" customHeight="1">
      <c r="A262" s="36">
        <v>45637.0</v>
      </c>
      <c r="B262" s="2" t="s">
        <v>16</v>
      </c>
      <c r="C262" s="2" t="s">
        <v>369</v>
      </c>
      <c r="D262" s="7">
        <v>273.29</v>
      </c>
      <c r="E262" s="2">
        <v>5.0</v>
      </c>
      <c r="F262" s="7">
        <v>1366.45</v>
      </c>
      <c r="G262" s="2" t="s">
        <v>1039</v>
      </c>
      <c r="H262" s="2" t="s">
        <v>1040</v>
      </c>
      <c r="I262" s="2" t="s">
        <v>1041</v>
      </c>
      <c r="K262" s="19" t="str">
        <f>IFERROR(__xludf.DUMMYFUNCTION("IF(ISBLANK(A262),
  """",
  IF(ISNUMBER(A262),
    TEXT(A262,""dd/mm/yyyy""),
    IF(
      REGEXMATCH(TRIM(A262),""^\d{1,2}/\d{1,2}/\d{4}$""),
      TRIM(A262),
      IFERROR(
        TEXT(DATEVALUE(SUBSTITUTE(SUBSTITUTE(TRIM(A262),""-"",""/""),""."",""/"&amp;""")),""dd/mm/yyyy""),
        TRIM(A262)
      )
    )
  )
)
"),"11/12/2024")</f>
        <v>11/12/2024</v>
      </c>
      <c r="L262" s="20">
        <v>45637.0</v>
      </c>
      <c r="M262" s="21" t="str">
        <f>IFERROR(__xludf.DUMMYFUNCTION("PROPER(TRIM(
  REGEXREPLACE(
    REGEXREPLACE(
      SUBSTITUTE(SUBSTITUTE(SUBSTITUTE(SUBSTITUTE(SUBSTITUTE(SUBSTITUTE(SUBSTITUTE(SUBSTITUTE(SUBSTITUTE(SUBSTITUTE(SUBSTITUTE(
        B262,""√©"",""é""),""√°"",""á""),""√±"",""ñ""),""√≥"",""ó""),""√â"",""é"&amp;"""),""√Å"",""á""),""√ç"",""í""),""√Ç"",""Í""),""√Â"",""é""),""√≠"",""í""),""√º"",""ú""),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62" s="22" t="str">
        <f>IFERROR(__xludf.DUMMYFUNCTION("SPLIT(
  TRIM(
    SUBSTITUTE(
      SUBSTITUTE(
        SUBSTITUTE(
          SUBSTITUTE(
            C262,
            ""√©"", ""é""
          ),
          ""√±"", ""ñ""
        ),
        ""√°"", ""á""
      ),
      ""√≥"", ""ó""
    )
  ),
  ""-""
)
"),"Tablet")</f>
        <v>Tablet</v>
      </c>
      <c r="O262" s="22" t="str">
        <f>IFERROR(__xludf.DUMMYFUNCTION("""COMPUTED_VALUE"""),"Pro")</f>
        <v>Pro</v>
      </c>
      <c r="P262" s="22" t="str">
        <f>IFERROR(__xludf.DUMMYFUNCTION("""COMPUTED_VALUE"""),"16GB")</f>
        <v>16GB</v>
      </c>
      <c r="Q262" s="23">
        <f t="shared" si="1"/>
        <v>273.29</v>
      </c>
      <c r="R262" s="22">
        <f t="shared" si="2"/>
        <v>5</v>
      </c>
      <c r="S262" s="23">
        <f t="shared" si="3"/>
        <v>1366.45</v>
      </c>
      <c r="T262" s="22" t="str">
        <f>IFERROR(__xludf.DUMMYFUNCTION("PROPER(TRIM(
  LET(
    texto1, REGEXREPLACE(G262,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"),"Nicolás Martín Báez")</f>
        <v>Nicolás Martín Báez</v>
      </c>
      <c r="U262" s="22" t="str">
        <f t="shared" si="4"/>
        <v>3be08974-31f2-40c3-afb9-3a240fd500b5</v>
      </c>
      <c r="V262" s="24" t="str">
        <f t="shared" si="5"/>
        <v>Tablet Pro 16GB</v>
      </c>
    </row>
    <row r="263" ht="15.75" customHeight="1">
      <c r="A263" s="36">
        <v>45424.0</v>
      </c>
      <c r="B263" s="2" t="s">
        <v>50</v>
      </c>
      <c r="C263" s="2" t="s">
        <v>348</v>
      </c>
      <c r="D263" s="7">
        <v>233.33</v>
      </c>
      <c r="E263" s="2">
        <v>3.0</v>
      </c>
      <c r="F263" s="7">
        <v>699.99</v>
      </c>
      <c r="G263" s="2" t="s">
        <v>1042</v>
      </c>
      <c r="H263" s="2" t="s">
        <v>1043</v>
      </c>
      <c r="I263" s="2" t="s">
        <v>1044</v>
      </c>
      <c r="K263" s="25" t="str">
        <f>IFERROR(__xludf.DUMMYFUNCTION("IF(ISBLANK(A263),
  """",
  IF(ISNUMBER(A263),
    TEXT(A263,""dd/mm/yyyy""),
    IF(
      REGEXMATCH(TRIM(A263),""^\d{1,2}/\d{1,2}/\d{4}$""),
      TRIM(A263),
      IFERROR(
        TEXT(DATEVALUE(SUBSTITUTE(SUBSTITUTE(TRIM(A263),""-"",""/""),""."",""/"&amp;""")),""dd/mm/yyyy""),
        TRIM(A263)
      )
    )
  )
)
"),"12/05/2024")</f>
        <v>12/05/2024</v>
      </c>
      <c r="L263" s="26">
        <v>45424.0</v>
      </c>
      <c r="M263" s="27" t="str">
        <f>IFERROR(__xludf.DUMMYFUNCTION("PROPER(TRIM(
  REGEXREPLACE(
    REGEXREPLACE(
      SUBSTITUTE(SUBSTITUTE(SUBSTITUTE(SUBSTITUTE(SUBSTITUTE(SUBSTITUTE(SUBSTITUTE(SUBSTITUTE(SUBSTITUTE(SUBSTITUTE(SUBSTITUTE(
        B263,""√©"",""é""),""√°"",""á""),""√±"",""ñ""),""√≥"",""ó""),""√â"",""é"&amp;"""),""√Å"",""á""),""√ç"",""í""),""√Ç"",""Í""),""√Â"",""é""),""√≠"",""í""),""√º"",""ú""),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63" s="28" t="str">
        <f>IFERROR(__xludf.DUMMYFUNCTION("SPLIT(
  TRIM(
    SUBSTITUTE(
      SUBSTITUTE(
        SUBSTITUTE(
          SUBSTITUTE(
            C263,
            ""√©"", ""é""
          ),
          ""√±"", ""ñ""
        ),
        ""√°"", ""á""
      ),
      ""√≥"", ""ó""
    )
  ),
  ""-""
)
"),"Teléfono")</f>
        <v>Teléfono</v>
      </c>
      <c r="O263" s="28" t="str">
        <f>IFERROR(__xludf.DUMMYFUNCTION("""COMPUTED_VALUE"""),"Gama media")</f>
        <v>Gama media</v>
      </c>
      <c r="P263" s="28" t="str">
        <f>IFERROR(__xludf.DUMMYFUNCTION("""COMPUTED_VALUE"""),"8GB")</f>
        <v>8GB</v>
      </c>
      <c r="Q263" s="29">
        <f t="shared" si="1"/>
        <v>233.33</v>
      </c>
      <c r="R263" s="28">
        <f t="shared" si="2"/>
        <v>3</v>
      </c>
      <c r="S263" s="29">
        <f t="shared" si="3"/>
        <v>699.99</v>
      </c>
      <c r="T263" s="28" t="str">
        <f>IFERROR(__xludf.DUMMYFUNCTION("PROPER(TRIM(
  LET(
    texto1, REGEXREPLACE(G263,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"),"Yuridia Nayeli Armas Aragón")</f>
        <v>Yuridia Nayeli Armas Aragón</v>
      </c>
      <c r="U263" s="28" t="str">
        <f t="shared" si="4"/>
        <v>9b9cbe9b-905b-4b17-a60a-f42b5800d911</v>
      </c>
      <c r="V263" s="30" t="str">
        <f t="shared" si="5"/>
        <v>Teléfono Gama media 8GB</v>
      </c>
    </row>
    <row r="264" ht="15.75" customHeight="1">
      <c r="A264" s="6">
        <v>45651.0</v>
      </c>
      <c r="B264" s="2" t="s">
        <v>38</v>
      </c>
      <c r="C264" s="2" t="s">
        <v>70</v>
      </c>
      <c r="D264" s="7">
        <v>228.56</v>
      </c>
      <c r="E264" s="2">
        <v>3.0</v>
      </c>
      <c r="F264" s="7">
        <v>685.68</v>
      </c>
      <c r="G264" s="2" t="s">
        <v>1046</v>
      </c>
      <c r="H264" s="2" t="s">
        <v>1047</v>
      </c>
      <c r="I264" s="2" t="s">
        <v>1048</v>
      </c>
      <c r="K264" s="19" t="str">
        <f>IFERROR(__xludf.DUMMYFUNCTION("IF(ISBLANK(A264),
  """",
  IF(ISNUMBER(A264),
    TEXT(A264,""dd/mm/yyyy""),
    IF(
      REGEXMATCH(TRIM(A264),""^\d{1,2}/\d{1,2}/\d{4}$""),
      TRIM(A264),
      IFERROR(
        TEXT(DATEVALUE(SUBSTITUTE(SUBSTITUTE(TRIM(A264),""-"",""/""),""."",""/"&amp;""")),""dd/mm/yyyy""),
        TRIM(A264)
      )
    )
  )
)
"),"25/12/2024")</f>
        <v>25/12/2024</v>
      </c>
      <c r="L264" s="20">
        <v>45651.0</v>
      </c>
      <c r="M264" s="21" t="str">
        <f>IFERROR(__xludf.DUMMYFUNCTION("PROPER(TRIM(
  REGEXREPLACE(
    REGEXREPLACE(
      SUBSTITUTE(SUBSTITUTE(SUBSTITUTE(SUBSTITUTE(SUBSTITUTE(SUBSTITUTE(SUBSTITUTE(SUBSTITUTE(SUBSTITUTE(SUBSTITUTE(SUBSTITUTE(
        B264,""√©"",""é""),""√°"",""á""),""√±"",""ñ""),""√≥"",""ó""),""√â"",""é"&amp;"""),""√Å"",""á""),""√ç"",""í""),""√Ç"",""Í""),""√Â"",""é""),""√≠"",""í""),""√º"",""ú""),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64" s="22" t="str">
        <f>IFERROR(__xludf.DUMMYFUNCTION("SPLIT(
  TRIM(
    SUBSTITUTE(
      SUBSTITUTE(
        SUBSTITUTE(
          SUBSTITUTE(
            C264,
            ""√©"", ""é""
          ),
          ""√±"", ""ñ""
        ),
        ""√°"", ""á""
      ),
      ""√≥"", ""ó""
    )
  ),
  ""-""
)
"),"Auriculares")</f>
        <v>Auriculares</v>
      </c>
      <c r="O264" s="22" t="str">
        <f>IFERROR(__xludf.DUMMYFUNCTION("""COMPUTED_VALUE"""),"Con cable")</f>
        <v>Con cable</v>
      </c>
      <c r="P264" s="22" t="str">
        <f>IFERROR(__xludf.DUMMYFUNCTION("""COMPUTED_VALUE"""),"16GB")</f>
        <v>16GB</v>
      </c>
      <c r="Q264" s="23">
        <f t="shared" si="1"/>
        <v>228.56</v>
      </c>
      <c r="R264" s="22">
        <f t="shared" si="2"/>
        <v>3</v>
      </c>
      <c r="S264" s="23">
        <f t="shared" si="3"/>
        <v>685.68</v>
      </c>
      <c r="T264" s="22" t="str">
        <f>IFERROR(__xludf.DUMMYFUNCTION("PROPER(TRIM(
  LET(
    texto1, REGEXREPLACE(G264,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"),"Esteban José Emilio Polanco Valentín")</f>
        <v>Esteban José Emilio Polanco Valentín</v>
      </c>
      <c r="U264" s="22" t="str">
        <f t="shared" si="4"/>
        <v>7c10c6c6-9acd-42a2-b74c-041e173a74ff</v>
      </c>
      <c r="V264" s="24" t="str">
        <f t="shared" si="5"/>
        <v>Auriculares Con cable 16GB</v>
      </c>
    </row>
    <row r="265" ht="15.75" customHeight="1">
      <c r="A265" s="36">
        <v>45577.0</v>
      </c>
      <c r="B265" s="2" t="s">
        <v>38</v>
      </c>
      <c r="C265" s="2" t="s">
        <v>1015</v>
      </c>
      <c r="D265" s="7">
        <v>1277.75</v>
      </c>
      <c r="E265" s="2">
        <v>1.0</v>
      </c>
      <c r="F265" s="7">
        <v>1277.75</v>
      </c>
      <c r="G265" s="2" t="s">
        <v>1049</v>
      </c>
      <c r="H265" s="2" t="s">
        <v>1050</v>
      </c>
      <c r="I265" s="2" t="s">
        <v>1051</v>
      </c>
      <c r="K265" s="25" t="str">
        <f>IFERROR(__xludf.DUMMYFUNCTION("IF(ISBLANK(A265),
  """",
  IF(ISNUMBER(A265),
    TEXT(A265,""dd/mm/yyyy""),
    IF(
      REGEXMATCH(TRIM(A265),""^\d{1,2}/\d{1,2}/\d{4}$""),
      TRIM(A265),
      IFERROR(
        TEXT(DATEVALUE(SUBSTITUTE(SUBSTITUTE(TRIM(A265),""-"",""/""),""."",""/"&amp;""")),""dd/mm/yyyy""),
        TRIM(A265)
      )
    )
  )
)
"),"12/10/2024")</f>
        <v>12/10/2024</v>
      </c>
      <c r="L265" s="26">
        <v>45577.0</v>
      </c>
      <c r="M265" s="27" t="str">
        <f>IFERROR(__xludf.DUMMYFUNCTION("PROPER(TRIM(
  REGEXREPLACE(
    REGEXREPLACE(
      SUBSTITUTE(SUBSTITUTE(SUBSTITUTE(SUBSTITUTE(SUBSTITUTE(SUBSTITUTE(SUBSTITUTE(SUBSTITUTE(SUBSTITUTE(SUBSTITUTE(SUBSTITUTE(
        B265,""√©"",""é""),""√°"",""á""),""√±"",""ñ""),""√≥"",""ó""),""√â"",""é"&amp;"""),""√Å"",""á""),""√ç"",""í""),""√Ç"",""Í""),""√Â"",""é""),""√≠"",""í""),""√º"",""ú""),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65" s="28" t="str">
        <f>IFERROR(__xludf.DUMMYFUNCTION("SPLIT(
  TRIM(
    SUBSTITUTE(
      SUBSTITUTE(
        SUBSTITUTE(
          SUBSTITUTE(
            C265,
            ""√©"", ""é""
          ),
          ""√±"", ""ñ""
        ),
        ""√°"", ""á""
      ),
      ""√≥"", ""ó""
    )
  ),
  ""-""
)
"),"Auriculares")</f>
        <v>Auriculares</v>
      </c>
      <c r="O265" s="28" t="str">
        <f>IFERROR(__xludf.DUMMYFUNCTION("""COMPUTED_VALUE"""),"Bluetooth")</f>
        <v>Bluetooth</v>
      </c>
      <c r="P265" s="28" t="str">
        <f>IFERROR(__xludf.DUMMYFUNCTION("""COMPUTED_VALUE"""),"32GB")</f>
        <v>32GB</v>
      </c>
      <c r="Q265" s="29">
        <f t="shared" si="1"/>
        <v>1277.75</v>
      </c>
      <c r="R265" s="28">
        <f t="shared" si="2"/>
        <v>1</v>
      </c>
      <c r="S265" s="29">
        <f t="shared" si="3"/>
        <v>1277.75</v>
      </c>
      <c r="T265" s="28" t="str">
        <f>IFERROR(__xludf.DUMMYFUNCTION("PROPER(TRIM(
  LET(
    texto1, REGEXREPLACE(G265,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"),"Karina Jerónimo Pérez Mojica")</f>
        <v>Karina Jerónimo Pérez Mojica</v>
      </c>
      <c r="U265" s="28" t="str">
        <f t="shared" si="4"/>
        <v>581770ae-84a5-4fc3-ba77-826c11cb3e70</v>
      </c>
      <c r="V265" s="30" t="str">
        <f t="shared" si="5"/>
        <v>Auriculares Bluetooth 32GB</v>
      </c>
    </row>
    <row r="266" ht="15.75" customHeight="1">
      <c r="A266" s="6">
        <v>45624.0</v>
      </c>
      <c r="B266" s="2" t="s">
        <v>50</v>
      </c>
      <c r="C266" s="2" t="s">
        <v>196</v>
      </c>
      <c r="D266" s="7">
        <v>2087.73</v>
      </c>
      <c r="E266" s="2">
        <v>1.0</v>
      </c>
      <c r="F266" s="32"/>
      <c r="G266" s="2" t="s">
        <v>1052</v>
      </c>
      <c r="H266" s="2" t="s">
        <v>1053</v>
      </c>
      <c r="I266" s="2" t="s">
        <v>1054</v>
      </c>
      <c r="K266" s="19" t="str">
        <f>IFERROR(__xludf.DUMMYFUNCTION("IF(ISBLANK(A266),
  """",
  IF(ISNUMBER(A266),
    TEXT(A266,""dd/mm/yyyy""),
    IF(
      REGEXMATCH(TRIM(A266),""^\d{1,2}/\d{1,2}/\d{4}$""),
      TRIM(A266),
      IFERROR(
        TEXT(DATEVALUE(SUBSTITUTE(SUBSTITUTE(TRIM(A266),""-"",""/""),""."",""/"&amp;""")),""dd/mm/yyyy""),
        TRIM(A266)
      )
    )
  )
)
"),"28/11/2024")</f>
        <v>28/11/2024</v>
      </c>
      <c r="L266" s="20">
        <v>45624.0</v>
      </c>
      <c r="M266" s="21" t="str">
        <f>IFERROR(__xludf.DUMMYFUNCTION("PROPER(TRIM(
  REGEXREPLACE(
    REGEXREPLACE(
      SUBSTITUTE(SUBSTITUTE(SUBSTITUTE(SUBSTITUTE(SUBSTITUTE(SUBSTITUTE(SUBSTITUTE(SUBSTITUTE(SUBSTITUTE(SUBSTITUTE(SUBSTITUTE(
        B266,""√©"",""é""),""√°"",""á""),""√±"",""ñ""),""√≥"",""ó""),""√â"",""é"&amp;"""),""√Å"",""á""),""√ç"",""í""),""√Ç"",""Í""),""√Â"",""é""),""√≠"",""í""),""√º"",""ú""),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66" s="22" t="str">
        <f>IFERROR(__xludf.DUMMYFUNCTION("SPLIT(
  TRIM(
    SUBSTITUTE(
      SUBSTITUTE(
        SUBSTITUTE(
          SUBSTITUTE(
            C266,
            ""√©"", ""é""
          ),
          ""√±"", ""ñ""
        ),
        ""√°"", ""á""
      ),
      ""√≥"", ""ó""
    )
  ),
  ""-""
)
"),"Auriculares")</f>
        <v>Auriculares</v>
      </c>
      <c r="O266" s="22" t="str">
        <f>IFERROR(__xludf.DUMMYFUNCTION("""COMPUTED_VALUE"""),"Cancelación de ruido")</f>
        <v>Cancelación de ruido</v>
      </c>
      <c r="P266" s="22" t="str">
        <f>IFERROR(__xludf.DUMMYFUNCTION("""COMPUTED_VALUE"""),"8GB")</f>
        <v>8GB</v>
      </c>
      <c r="Q266" s="23">
        <f t="shared" si="1"/>
        <v>2087.73</v>
      </c>
      <c r="R266" s="22">
        <f t="shared" si="2"/>
        <v>1</v>
      </c>
      <c r="S266" s="23" t="str">
        <f t="shared" si="3"/>
        <v>0</v>
      </c>
      <c r="T266" s="22" t="str">
        <f>IFERROR(__xludf.DUMMYFUNCTION("PROPER(TRIM(
  LET(
    texto1, REGEXREPLACE(G266,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"),"Inés Griego Lemus")</f>
        <v>Inés Griego Lemus</v>
      </c>
      <c r="U266" s="22" t="str">
        <f t="shared" si="4"/>
        <v>14ad0f9b-ea8e-437c-b3d9-d3b4ddd90518</v>
      </c>
      <c r="V266" s="24" t="str">
        <f t="shared" si="5"/>
        <v>Auriculares Cancelación de ruido 8GB</v>
      </c>
    </row>
    <row r="267" ht="15.75" customHeight="1">
      <c r="A267" s="6">
        <v>45582.0</v>
      </c>
      <c r="B267" s="2" t="s">
        <v>101</v>
      </c>
      <c r="C267" s="2" t="s">
        <v>397</v>
      </c>
      <c r="D267" s="7">
        <v>1937.4</v>
      </c>
      <c r="E267" s="2">
        <v>2.0</v>
      </c>
      <c r="F267" s="7">
        <v>3874.8</v>
      </c>
      <c r="G267" s="2" t="s">
        <v>1055</v>
      </c>
      <c r="H267" s="2" t="s">
        <v>1056</v>
      </c>
      <c r="I267" s="2" t="s">
        <v>1057</v>
      </c>
      <c r="K267" s="25" t="str">
        <f>IFERROR(__xludf.DUMMYFUNCTION("IF(ISBLANK(A267),
  """",
  IF(ISNUMBER(A267),
    TEXT(A267,""dd/mm/yyyy""),
    IF(
      REGEXMATCH(TRIM(A267),""^\d{1,2}/\d{1,2}/\d{4}$""),
      TRIM(A267),
      IFERROR(
        TEXT(DATEVALUE(SUBSTITUTE(SUBSTITUTE(TRIM(A267),""-"",""/""),""."",""/"&amp;""")),""dd/mm/yyyy""),
        TRIM(A267)
      )
    )
  )
)
"),"17/10/2024")</f>
        <v>17/10/2024</v>
      </c>
      <c r="L267" s="26">
        <v>45582.0</v>
      </c>
      <c r="M267" s="27" t="str">
        <f>IFERROR(__xludf.DUMMYFUNCTION("PROPER(TRIM(
  REGEXREPLACE(
    REGEXREPLACE(
      SUBSTITUTE(SUBSTITUTE(SUBSTITUTE(SUBSTITUTE(SUBSTITUTE(SUBSTITUTE(SUBSTITUTE(SUBSTITUTE(SUBSTITUTE(SUBSTITUTE(SUBSTITUTE(
        B267,""√©"",""é""),""√°"",""á""),""√±"",""ñ""),""√≥"",""ó""),""√â"",""é"&amp;"""),""√Å"",""á""),""√ç"",""í""),""√Ç"",""Í""),""√Â"",""é""),""√≠"",""í""),""√º"",""ú""),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67" s="28" t="str">
        <f>IFERROR(__xludf.DUMMYFUNCTION("SPLIT(
  TRIM(
    SUBSTITUTE(
      SUBSTITUTE(
        SUBSTITUTE(
          SUBSTITUTE(
            C267,
            ""√©"", ""é""
          ),
          ""√±"", ""ñ""
        ),
        ""√°"", ""á""
      ),
      ""√≥"", ""ó""
    )
  ),
  ""-""
)
"),"Teléfono")</f>
        <v>Teléfono</v>
      </c>
      <c r="O267" s="28" t="str">
        <f>IFERROR(__xludf.DUMMYFUNCTION("""COMPUTED_VALUE"""),"Gama media")</f>
        <v>Gama media</v>
      </c>
      <c r="P267" s="28" t="str">
        <f>IFERROR(__xludf.DUMMYFUNCTION("""COMPUTED_VALUE"""),"32GB")</f>
        <v>32GB</v>
      </c>
      <c r="Q267" s="29">
        <f t="shared" si="1"/>
        <v>1937.4</v>
      </c>
      <c r="R267" s="28">
        <f t="shared" si="2"/>
        <v>2</v>
      </c>
      <c r="S267" s="29">
        <f t="shared" si="3"/>
        <v>3874.8</v>
      </c>
      <c r="T267" s="28" t="str">
        <f>IFERROR(__xludf.DUMMYFUNCTION("PROPER(TRIM(
  LET(
    texto1, REGEXREPLACE(G267,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"),"Fabiola Angélica Bravo")</f>
        <v>Fabiola Angélica Bravo</v>
      </c>
      <c r="U267" s="28" t="str">
        <f t="shared" si="4"/>
        <v>76fde716-641c-4ff4-848c-ade7a38970de</v>
      </c>
      <c r="V267" s="30" t="str">
        <f t="shared" si="5"/>
        <v>Teléfono Gama media 32GB</v>
      </c>
    </row>
    <row r="268" ht="15.75" customHeight="1">
      <c r="A268" s="6">
        <v>45620.0</v>
      </c>
      <c r="B268" s="2" t="s">
        <v>101</v>
      </c>
      <c r="C268" s="2" t="s">
        <v>311</v>
      </c>
      <c r="D268" s="7">
        <v>1628.77</v>
      </c>
      <c r="E268" s="2">
        <v>4.0</v>
      </c>
      <c r="F268" s="7">
        <v>6515.08</v>
      </c>
      <c r="G268" s="2" t="s">
        <v>1059</v>
      </c>
      <c r="H268" s="2" t="s">
        <v>1060</v>
      </c>
      <c r="I268" s="2" t="s">
        <v>1061</v>
      </c>
      <c r="K268" s="19" t="str">
        <f>IFERROR(__xludf.DUMMYFUNCTION("IF(ISBLANK(A268),
  """",
  IF(ISNUMBER(A268),
    TEXT(A268,""dd/mm/yyyy""),
    IF(
      REGEXMATCH(TRIM(A268),""^\d{1,2}/\d{1,2}/\d{4}$""),
      TRIM(A268),
      IFERROR(
        TEXT(DATEVALUE(SUBSTITUTE(SUBSTITUTE(TRIM(A268),""-"",""/""),""."",""/"&amp;""")),""dd/mm/yyyy""),
        TRIM(A268)
      )
    )
  )
)
"),"24/11/2024")</f>
        <v>24/11/2024</v>
      </c>
      <c r="L268" s="20">
        <v>45620.0</v>
      </c>
      <c r="M268" s="21" t="str">
        <f>IFERROR(__xludf.DUMMYFUNCTION("PROPER(TRIM(
  REGEXREPLACE(
    REGEXREPLACE(
      SUBSTITUTE(SUBSTITUTE(SUBSTITUTE(SUBSTITUTE(SUBSTITUTE(SUBSTITUTE(SUBSTITUTE(SUBSTITUTE(SUBSTITUTE(SUBSTITUTE(SUBSTITUTE(
        B268,""√©"",""é""),""√°"",""á""),""√±"",""ñ""),""√≥"",""ó""),""√â"",""é"&amp;"""),""√Å"",""á""),""√ç"",""í""),""√Ç"",""Í""),""√Â"",""é""),""√≠"",""í""),""√º"",""ú""),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68" s="22" t="str">
        <f>IFERROR(__xludf.DUMMYFUNCTION("SPLIT(
  TRIM(
    SUBSTITUTE(
      SUBSTITUTE(
        SUBSTITUTE(
          SUBSTITUTE(
            C268,
            ""√©"", ""é""
          ),
          ""√±"", ""ñ""
        ),
        ""√°"", ""á""
      ),
      ""√≥"", ""ó""
    )
  ),
  ""-""
)
"),"Laptop")</f>
        <v>Laptop</v>
      </c>
      <c r="O268" s="22" t="str">
        <f>IFERROR(__xludf.DUMMYFUNCTION("""COMPUTED_VALUE"""),"Oficina")</f>
        <v>Oficina</v>
      </c>
      <c r="P268" s="22" t="str">
        <f>IFERROR(__xludf.DUMMYFUNCTION("""COMPUTED_VALUE"""),"4GB")</f>
        <v>4GB</v>
      </c>
      <c r="Q268" s="23">
        <f t="shared" si="1"/>
        <v>1628.77</v>
      </c>
      <c r="R268" s="22">
        <f t="shared" si="2"/>
        <v>4</v>
      </c>
      <c r="S268" s="23">
        <f t="shared" si="3"/>
        <v>6515.08</v>
      </c>
      <c r="T268" s="22" t="str">
        <f>IFERROR(__xludf.DUMMYFUNCTION("PROPER(TRIM(
  LET(
    texto1, REGEXREPLACE(G268,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"),"Nadia Pérez Medina")</f>
        <v>Nadia Pérez Medina</v>
      </c>
      <c r="U268" s="22" t="str">
        <f t="shared" si="4"/>
        <v>a5740e45-38d1-421a-8d38-8a6d427463c6</v>
      </c>
      <c r="V268" s="24" t="str">
        <f t="shared" si="5"/>
        <v>Laptop Oficina 4GB</v>
      </c>
    </row>
    <row r="269" ht="15.75" customHeight="1">
      <c r="A269" s="6">
        <v>45589.0</v>
      </c>
      <c r="B269" s="2" t="s">
        <v>27</v>
      </c>
      <c r="C269" s="2" t="s">
        <v>452</v>
      </c>
      <c r="D269" s="7">
        <v>747.11</v>
      </c>
      <c r="E269" s="2">
        <v>5.0</v>
      </c>
      <c r="F269" s="7">
        <v>3735.55</v>
      </c>
      <c r="G269" s="2" t="s">
        <v>1062</v>
      </c>
      <c r="H269" s="2" t="s">
        <v>1063</v>
      </c>
      <c r="I269" s="2" t="s">
        <v>1064</v>
      </c>
      <c r="K269" s="25" t="str">
        <f>IFERROR(__xludf.DUMMYFUNCTION("IF(ISBLANK(A269),
  """",
  IF(ISNUMBER(A269),
    TEXT(A269,""dd/mm/yyyy""),
    IF(
      REGEXMATCH(TRIM(A269),""^\d{1,2}/\d{1,2}/\d{4}$""),
      TRIM(A269),
      IFERROR(
        TEXT(DATEVALUE(SUBSTITUTE(SUBSTITUTE(TRIM(A269),""-"",""/""),""."",""/"&amp;""")),""dd/mm/yyyy""),
        TRIM(A269)
      )
    )
  )
)
"),"24/10/2024")</f>
        <v>24/10/2024</v>
      </c>
      <c r="L269" s="26">
        <v>45589.0</v>
      </c>
      <c r="M269" s="27" t="str">
        <f>IFERROR(__xludf.DUMMYFUNCTION("PROPER(TRIM(
  REGEXREPLACE(
    REGEXREPLACE(
      SUBSTITUTE(SUBSTITUTE(SUBSTITUTE(SUBSTITUTE(SUBSTITUTE(SUBSTITUTE(SUBSTITUTE(SUBSTITUTE(SUBSTITUTE(SUBSTITUTE(SUBSTITUTE(
        B269,""√©"",""é""),""√°"",""á""),""√±"",""ñ""),""√≥"",""ó""),""√â"",""é"&amp;"""),""√Å"",""á""),""√ç"",""í""),""√Ç"",""Í""),""√Â"",""é""),""√≠"",""í""),""√º"",""ú""),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69" s="28" t="str">
        <f>IFERROR(__xludf.DUMMYFUNCTION("SPLIT(
  TRIM(
    SUBSTITUTE(
      SUBSTITUTE(
        SUBSTITUTE(
          SUBSTITUTE(
            C269,
            ""√©"", ""é""
          ),
          ""√±"", ""ñ""
        ),
        ""√°"", ""á""
      ),
      ""√≥"", ""ó""
    )
  ),
  ""-""
)
"),"Teléfono")</f>
        <v>Teléfono</v>
      </c>
      <c r="O269" s="28" t="str">
        <f>IFERROR(__xludf.DUMMYFUNCTION("""COMPUTED_VALUE"""),"Gama media")</f>
        <v>Gama media</v>
      </c>
      <c r="P269" s="28" t="str">
        <f>IFERROR(__xludf.DUMMYFUNCTION("""COMPUTED_VALUE"""),"16GB")</f>
        <v>16GB</v>
      </c>
      <c r="Q269" s="29">
        <f t="shared" si="1"/>
        <v>747.11</v>
      </c>
      <c r="R269" s="28">
        <f t="shared" si="2"/>
        <v>5</v>
      </c>
      <c r="S269" s="29">
        <f t="shared" si="3"/>
        <v>3735.55</v>
      </c>
      <c r="T269" s="28" t="str">
        <f>IFERROR(__xludf.DUMMYFUNCTION("PROPER(TRIM(
  LET(
    texto1, REGEXREPLACE(G269,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"),"Ignacio Leonor Guajardo")</f>
        <v>Ignacio Leonor Guajardo</v>
      </c>
      <c r="U269" s="28" t="str">
        <f t="shared" si="4"/>
        <v>2ecd07a3-c49e-486f-a9f0-9a7b1dc20737</v>
      </c>
      <c r="V269" s="30" t="str">
        <f t="shared" si="5"/>
        <v>Teléfono Gama media 16GB</v>
      </c>
    </row>
    <row r="270" ht="15.75" customHeight="1">
      <c r="A270" s="36">
        <v>45606.0</v>
      </c>
      <c r="B270" s="2" t="s">
        <v>16</v>
      </c>
      <c r="C270" s="2" t="s">
        <v>65</v>
      </c>
      <c r="D270" s="7">
        <v>596.93</v>
      </c>
      <c r="E270" s="2">
        <v>5.0</v>
      </c>
      <c r="F270" s="7">
        <v>2984.65</v>
      </c>
      <c r="G270" s="2" t="s">
        <v>1065</v>
      </c>
      <c r="H270" s="2" t="s">
        <v>1066</v>
      </c>
      <c r="I270" s="2" t="s">
        <v>1067</v>
      </c>
      <c r="K270" s="19" t="str">
        <f>IFERROR(__xludf.DUMMYFUNCTION("IF(ISBLANK(A270),
  """",
  IF(ISNUMBER(A270),
    TEXT(A270,""dd/mm/yyyy""),
    IF(
      REGEXMATCH(TRIM(A270),""^\d{1,2}/\d{1,2}/\d{4}$""),
      TRIM(A270),
      IFERROR(
        TEXT(DATEVALUE(SUBSTITUTE(SUBSTITUTE(TRIM(A270),""-"",""/""),""."",""/"&amp;""")),""dd/mm/yyyy""),
        TRIM(A270)
      )
    )
  )
)
"),"10/11/2024")</f>
        <v>10/11/2024</v>
      </c>
      <c r="L270" s="20">
        <v>45606.0</v>
      </c>
      <c r="M270" s="21" t="str">
        <f>IFERROR(__xludf.DUMMYFUNCTION("PROPER(TRIM(
  REGEXREPLACE(
    REGEXREPLACE(
      SUBSTITUTE(SUBSTITUTE(SUBSTITUTE(SUBSTITUTE(SUBSTITUTE(SUBSTITUTE(SUBSTITUTE(SUBSTITUTE(SUBSTITUTE(SUBSTITUTE(SUBSTITUTE(
        B270,""√©"",""é""),""√°"",""á""),""√±"",""ñ""),""√≥"",""ó""),""√â"",""é"&amp;"""),""√Å"",""á""),""√ç"",""í""),""√Ç"",""Í""),""√Â"",""é""),""√≠"",""í""),""√º"",""ú""),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70" s="22" t="str">
        <f>IFERROR(__xludf.DUMMYFUNCTION("SPLIT(
  TRIM(
    SUBSTITUTE(
      SUBSTITUTE(
        SUBSTITUTE(
          SUBSTITUTE(
            C270,
            ""√©"", ""é""
          ),
          ""√±"", ""ñ""
        ),
        ""√°"", ""á""
      ),
      ""√≥"", ""ó""
    )
  ),
  ""-""
)
"),"Auriculares")</f>
        <v>Auriculares</v>
      </c>
      <c r="O270" s="22" t="str">
        <f>IFERROR(__xludf.DUMMYFUNCTION("""COMPUTED_VALUE"""),"Bluetooth")</f>
        <v>Bluetooth</v>
      </c>
      <c r="P270" s="22" t="str">
        <f>IFERROR(__xludf.DUMMYFUNCTION("""COMPUTED_VALUE"""),"16GB")</f>
        <v>16GB</v>
      </c>
      <c r="Q270" s="23">
        <f t="shared" si="1"/>
        <v>596.93</v>
      </c>
      <c r="R270" s="22">
        <f t="shared" si="2"/>
        <v>5</v>
      </c>
      <c r="S270" s="23">
        <f t="shared" si="3"/>
        <v>2984.65</v>
      </c>
      <c r="T270" s="22" t="str">
        <f>IFERROR(__xludf.DUMMYFUNCTION("PROPER(TRIM(
  LET(
    texto1, REGEXREPLACE(G270,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"),"Zeferino Oquendo")</f>
        <v>Zeferino Oquendo</v>
      </c>
      <c r="U270" s="22" t="str">
        <f t="shared" si="4"/>
        <v>8a06b4fc-26f2-4b8b-827b-2c6a1f537edf</v>
      </c>
      <c r="V270" s="24" t="str">
        <f t="shared" si="5"/>
        <v>Auriculares Bluetooth 16GB</v>
      </c>
    </row>
    <row r="271" ht="15.75" customHeight="1">
      <c r="A271" s="36">
        <v>45362.0</v>
      </c>
      <c r="B271" s="2" t="s">
        <v>101</v>
      </c>
      <c r="C271" s="2" t="s">
        <v>176</v>
      </c>
      <c r="D271" s="7">
        <v>1691.93</v>
      </c>
      <c r="E271" s="2">
        <v>1.0</v>
      </c>
      <c r="F271" s="7">
        <v>1691.93</v>
      </c>
      <c r="G271" s="2" t="s">
        <v>1069</v>
      </c>
      <c r="H271" s="2" t="s">
        <v>1070</v>
      </c>
      <c r="I271" s="2" t="s">
        <v>1071</v>
      </c>
      <c r="K271" s="25" t="str">
        <f>IFERROR(__xludf.DUMMYFUNCTION("IF(ISBLANK(A271),
  """",
  IF(ISNUMBER(A271),
    TEXT(A271,""dd/mm/yyyy""),
    IF(
      REGEXMATCH(TRIM(A271),""^\d{1,2}/\d{1,2}/\d{4}$""),
      TRIM(A271),
      IFERROR(
        TEXT(DATEVALUE(SUBSTITUTE(SUBSTITUTE(TRIM(A271),""-"",""/""),""."",""/"&amp;""")),""dd/mm/yyyy""),
        TRIM(A271)
      )
    )
  )
)
"),"11/03/2024")</f>
        <v>11/03/2024</v>
      </c>
      <c r="L271" s="26">
        <v>45362.0</v>
      </c>
      <c r="M271" s="27" t="str">
        <f>IFERROR(__xludf.DUMMYFUNCTION("PROPER(TRIM(
  REGEXREPLACE(
    REGEXREPLACE(
      SUBSTITUTE(SUBSTITUTE(SUBSTITUTE(SUBSTITUTE(SUBSTITUTE(SUBSTITUTE(SUBSTITUTE(SUBSTITUTE(SUBSTITUTE(SUBSTITUTE(SUBSTITUTE(
        B271,""√©"",""é""),""√°"",""á""),""√±"",""ñ""),""√≥"",""ó""),""√â"",""é"&amp;"""),""√Å"",""á""),""√ç"",""í""),""√Ç"",""Í""),""√Â"",""é""),""√≠"",""í""),""√º"",""ú""),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71" s="28" t="str">
        <f>IFERROR(__xludf.DUMMYFUNCTION("SPLIT(
  TRIM(
    SUBSTITUTE(
      SUBSTITUTE(
        SUBSTITUTE(
          SUBSTITUTE(
            C271,
            ""√©"", ""é""
          ),
          ""√±"", ""ñ""
        ),
        ""√°"", ""á""
      ),
      ""√≥"", ""ó""
    )
  ),
  ""-""
)
"),"Auriculares")</f>
        <v>Auriculares</v>
      </c>
      <c r="O271" s="28" t="str">
        <f>IFERROR(__xludf.DUMMYFUNCTION("""COMPUTED_VALUE"""),"Con cable")</f>
        <v>Con cable</v>
      </c>
      <c r="P271" s="28" t="str">
        <f>IFERROR(__xludf.DUMMYFUNCTION("""COMPUTED_VALUE"""),"8GB")</f>
        <v>8GB</v>
      </c>
      <c r="Q271" s="29">
        <f t="shared" si="1"/>
        <v>1691.93</v>
      </c>
      <c r="R271" s="28">
        <f t="shared" si="2"/>
        <v>1</v>
      </c>
      <c r="S271" s="29">
        <f t="shared" si="3"/>
        <v>1691.93</v>
      </c>
      <c r="T271" s="28" t="str">
        <f>IFERROR(__xludf.DUMMYFUNCTION("PROPER(TRIM(
  LET(
    texto1, REGEXREPLACE(G271,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"),"Hernán Samuel Colón")</f>
        <v>Hernán Samuel Colón</v>
      </c>
      <c r="U271" s="28" t="str">
        <f t="shared" si="4"/>
        <v>ca1cb20b-c27e-4a80-abe5-5c61f19ada3a</v>
      </c>
      <c r="V271" s="30" t="str">
        <f t="shared" si="5"/>
        <v>Auriculares Con cable 8GB</v>
      </c>
    </row>
    <row r="272" ht="15.75" customHeight="1">
      <c r="A272" s="36">
        <v>45485.0</v>
      </c>
      <c r="B272" s="2" t="s">
        <v>16</v>
      </c>
      <c r="C272" s="2" t="s">
        <v>22</v>
      </c>
      <c r="D272" s="7">
        <v>2043.06</v>
      </c>
      <c r="E272" s="2">
        <v>2.0</v>
      </c>
      <c r="F272" s="7">
        <v>4086.12</v>
      </c>
      <c r="G272" s="2" t="s">
        <v>1072</v>
      </c>
      <c r="H272" s="2" t="s">
        <v>1073</v>
      </c>
      <c r="I272" s="2" t="s">
        <v>1074</v>
      </c>
      <c r="K272" s="19" t="str">
        <f>IFERROR(__xludf.DUMMYFUNCTION("IF(ISBLANK(A272),
  """",
  IF(ISNUMBER(A272),
    TEXT(A272,""dd/mm/yyyy""),
    IF(
      REGEXMATCH(TRIM(A272),""^\d{1,2}/\d{1,2}/\d{4}$""),
      TRIM(A272),
      IFERROR(
        TEXT(DATEVALUE(SUBSTITUTE(SUBSTITUTE(TRIM(A272),""-"",""/""),""."",""/"&amp;""")),""dd/mm/yyyy""),
        TRIM(A272)
      )
    )
  )
)
"),"12/07/2024")</f>
        <v>12/07/2024</v>
      </c>
      <c r="L272" s="20">
        <v>45485.0</v>
      </c>
      <c r="M272" s="21" t="str">
        <f>IFERROR(__xludf.DUMMYFUNCTION("PROPER(TRIM(
  REGEXREPLACE(
    REGEXREPLACE(
      SUBSTITUTE(SUBSTITUTE(SUBSTITUTE(SUBSTITUTE(SUBSTITUTE(SUBSTITUTE(SUBSTITUTE(SUBSTITUTE(SUBSTITUTE(SUBSTITUTE(SUBSTITUTE(
        B272,""√©"",""é""),""√°"",""á""),""√±"",""ñ""),""√≥"",""ó""),""√â"",""é"&amp;"""),""√Å"",""á""),""√ç"",""í""),""√Ç"",""Í""),""√Â"",""é""),""√≠"",""í""),""√º"",""ú""),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72" s="22" t="str">
        <f>IFERROR(__xludf.DUMMYFUNCTION("SPLIT(
  TRIM(
    SUBSTITUTE(
      SUBSTITUTE(
        SUBSTITUTE(
          SUBSTITUTE(
            C272,
            ""√©"", ""é""
          ),
          ""√±"", ""ñ""
        ),
        ""√°"", ""á""
      ),
      ""√≥"", ""ó""
    )
  ),
  ""-""
)
"),"Laptop")</f>
        <v>Laptop</v>
      </c>
      <c r="O272" s="22" t="str">
        <f>IFERROR(__xludf.DUMMYFUNCTION("""COMPUTED_VALUE"""),"Gaming")</f>
        <v>Gaming</v>
      </c>
      <c r="P272" s="22" t="str">
        <f>IFERROR(__xludf.DUMMYFUNCTION("""COMPUTED_VALUE"""),"32GB")</f>
        <v>32GB</v>
      </c>
      <c r="Q272" s="23">
        <f t="shared" si="1"/>
        <v>2043.06</v>
      </c>
      <c r="R272" s="22">
        <f t="shared" si="2"/>
        <v>2</v>
      </c>
      <c r="S272" s="23">
        <f t="shared" si="3"/>
        <v>4086.12</v>
      </c>
      <c r="T272" s="22" t="str">
        <f>IFERROR(__xludf.DUMMYFUNCTION("PROPER(TRIM(
  LET(
    texto1, REGEXREPLACE(G272,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"),"Evelio Luz Herrera Melgar")</f>
        <v>Evelio Luz Herrera Melgar</v>
      </c>
      <c r="U272" s="22" t="str">
        <f t="shared" si="4"/>
        <v>2198c786-f1c8-4272-9619-35fe62fbf3c5</v>
      </c>
      <c r="V272" s="24" t="str">
        <f t="shared" si="5"/>
        <v>Laptop Gaming 32GB</v>
      </c>
    </row>
    <row r="273" ht="15.75" customHeight="1">
      <c r="A273" s="37">
        <v>45601.0</v>
      </c>
      <c r="B273" s="2" t="s">
        <v>161</v>
      </c>
      <c r="C273" s="2" t="s">
        <v>593</v>
      </c>
      <c r="D273" s="7">
        <v>808.32</v>
      </c>
      <c r="E273" s="2">
        <v>4.0</v>
      </c>
      <c r="F273" s="7">
        <v>3233.28</v>
      </c>
      <c r="G273" s="2" t="s">
        <v>1076</v>
      </c>
      <c r="H273" s="2" t="s">
        <v>1077</v>
      </c>
      <c r="I273" s="2" t="s">
        <v>1078</v>
      </c>
      <c r="K273" s="25" t="str">
        <f>IFERROR(__xludf.DUMMYFUNCTION("IF(ISBLANK(A273),
  """",
  IF(ISNUMBER(A273),
    TEXT(A273,""dd/mm/yyyy""),
    IF(
      REGEXMATCH(TRIM(A273),""^\d{1,2}/\d{1,2}/\d{4}$""),
      TRIM(A273),
      IFERROR(
        TEXT(DATEVALUE(SUBSTITUTE(SUBSTITUTE(TRIM(A273),""-"",""/""),""."",""/"&amp;""")),""dd/mm/yyyy""),
        TRIM(A273)
      )
    )
  )
)
"),"05/11/2024")</f>
        <v>05/11/2024</v>
      </c>
      <c r="L273" s="26">
        <v>45601.0</v>
      </c>
      <c r="M273" s="27" t="str">
        <f>IFERROR(__xludf.DUMMYFUNCTION("PROPER(TRIM(
  REGEXREPLACE(
    REGEXREPLACE(
      SUBSTITUTE(SUBSTITUTE(SUBSTITUTE(SUBSTITUTE(SUBSTITUTE(SUBSTITUTE(SUBSTITUTE(SUBSTITUTE(SUBSTITUTE(SUBSTITUTE(SUBSTITUTE(
        B273,""√©"",""é""),""√°"",""á""),""√±"",""ñ""),""√≥"",""ó""),""√â"",""é"&amp;"""),""√Å"",""á""),""√ç"",""í""),""√Ç"",""Í""),""√Â"",""é""),""√≠"",""í""),""√º"",""ú""),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273" s="28" t="str">
        <f>IFERROR(__xludf.DUMMYFUNCTION("SPLIT(
  TRIM(
    SUBSTITUTE(
      SUBSTITUTE(
        SUBSTITUTE(
          SUBSTITUTE(
            C273,
            ""√©"", ""é""
          ),
          ""√±"", ""ñ""
        ),
        ""√°"", ""á""
      ),
      ""√≥"", ""ó""
    )
  ),
  ""-""
)
"),"Laptop")</f>
        <v>Laptop</v>
      </c>
      <c r="O273" s="28" t="str">
        <f>IFERROR(__xludf.DUMMYFUNCTION("""COMPUTED_VALUE"""),"Gaming")</f>
        <v>Gaming</v>
      </c>
      <c r="P273" s="28" t="str">
        <f>IFERROR(__xludf.DUMMYFUNCTION("""COMPUTED_VALUE"""),"16GB")</f>
        <v>16GB</v>
      </c>
      <c r="Q273" s="29">
        <f t="shared" si="1"/>
        <v>808.32</v>
      </c>
      <c r="R273" s="28">
        <f t="shared" si="2"/>
        <v>4</v>
      </c>
      <c r="S273" s="29">
        <f t="shared" si="3"/>
        <v>3233.28</v>
      </c>
      <c r="T273" s="28" t="str">
        <f>IFERROR(__xludf.DUMMYFUNCTION("PROPER(TRIM(
  LET(
    texto1, REGEXREPLACE(G273,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"),"Eloisa Octavio Quintero")</f>
        <v>Eloisa Octavio Quintero</v>
      </c>
      <c r="U273" s="28" t="str">
        <f t="shared" si="4"/>
        <v>80c340bc-bd50-477d-a7dc-27237bf10b22</v>
      </c>
      <c r="V273" s="30" t="str">
        <f t="shared" si="5"/>
        <v>Laptop Gaming 16GB</v>
      </c>
    </row>
    <row r="274" ht="15.75" customHeight="1">
      <c r="A274" s="6">
        <v>45579.0</v>
      </c>
      <c r="B274" s="2" t="s">
        <v>16</v>
      </c>
      <c r="C274" s="2" t="s">
        <v>116</v>
      </c>
      <c r="D274" s="7">
        <v>2092.55</v>
      </c>
      <c r="E274" s="2">
        <v>5.0</v>
      </c>
      <c r="F274" s="7">
        <v>10462.75</v>
      </c>
      <c r="G274" s="2" t="s">
        <v>1079</v>
      </c>
      <c r="H274" s="2" t="s">
        <v>1080</v>
      </c>
      <c r="I274" s="2" t="s">
        <v>1081</v>
      </c>
      <c r="K274" s="19" t="str">
        <f>IFERROR(__xludf.DUMMYFUNCTION("IF(ISBLANK(A274),
  """",
  IF(ISNUMBER(A274),
    TEXT(A274,""dd/mm/yyyy""),
    IF(
      REGEXMATCH(TRIM(A274),""^\d{1,2}/\d{1,2}/\d{4}$""),
      TRIM(A274),
      IFERROR(
        TEXT(DATEVALUE(SUBSTITUTE(SUBSTITUTE(TRIM(A274),""-"",""/""),""."",""/"&amp;""")),""dd/mm/yyyy""),
        TRIM(A274)
      )
    )
  )
)
"),"14/10/2024")</f>
        <v>14/10/2024</v>
      </c>
      <c r="L274" s="20">
        <v>45579.0</v>
      </c>
      <c r="M274" s="21" t="str">
        <f>IFERROR(__xludf.DUMMYFUNCTION("PROPER(TRIM(
  REGEXREPLACE(
    REGEXREPLACE(
      SUBSTITUTE(SUBSTITUTE(SUBSTITUTE(SUBSTITUTE(SUBSTITUTE(SUBSTITUTE(SUBSTITUTE(SUBSTITUTE(SUBSTITUTE(SUBSTITUTE(SUBSTITUTE(
        B274,""√©"",""é""),""√°"",""á""),""√±"",""ñ""),""√≥"",""ó""),""√â"",""é"&amp;"""),""√Å"",""á""),""√ç"",""í""),""√Ç"",""Í""),""√Â"",""é""),""√≠"",""í""),""√º"",""ú""),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74" s="22" t="str">
        <f>IFERROR(__xludf.DUMMYFUNCTION("SPLIT(
  TRIM(
    SUBSTITUTE(
      SUBSTITUTE(
        SUBSTITUTE(
          SUBSTITUTE(
            C274,
            ""√©"", ""é""
          ),
          ""√±"", ""ñ""
        ),
        ""√°"", ""á""
      ),
      ""√≥"", ""ó""
    )
  ),
  ""-""
)
"),"Teléfono")</f>
        <v>Teléfono</v>
      </c>
      <c r="O274" s="22" t="str">
        <f>IFERROR(__xludf.DUMMYFUNCTION("""COMPUTED_VALUE"""),"Gama media")</f>
        <v>Gama media</v>
      </c>
      <c r="P274" s="22" t="str">
        <f>IFERROR(__xludf.DUMMYFUNCTION("""COMPUTED_VALUE"""),"4GB")</f>
        <v>4GB</v>
      </c>
      <c r="Q274" s="23">
        <f t="shared" si="1"/>
        <v>2092.55</v>
      </c>
      <c r="R274" s="22">
        <f t="shared" si="2"/>
        <v>5</v>
      </c>
      <c r="S274" s="23">
        <f t="shared" si="3"/>
        <v>10462.75</v>
      </c>
      <c r="T274" s="22" t="str">
        <f>IFERROR(__xludf.DUMMYFUNCTION("PROPER(TRIM(
  LET(
    texto1, REGEXREPLACE(G274,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"),"Roberto Casárez Lozada")</f>
        <v>Roberto Casárez Lozada</v>
      </c>
      <c r="U274" s="22" t="str">
        <f t="shared" si="4"/>
        <v>890c4fe3-a2aa-473b-a2ff-9c2704d3ac14</v>
      </c>
      <c r="V274" s="24" t="str">
        <f t="shared" si="5"/>
        <v>Teléfono Gama media 4GB</v>
      </c>
    </row>
    <row r="275" ht="15.75" customHeight="1">
      <c r="A275" s="6">
        <v>45642.0</v>
      </c>
      <c r="B275" s="2" t="s">
        <v>27</v>
      </c>
      <c r="C275" s="2" t="s">
        <v>116</v>
      </c>
      <c r="D275" s="7">
        <v>785.82</v>
      </c>
      <c r="E275" s="2">
        <v>2.0</v>
      </c>
      <c r="F275" s="7">
        <v>1571.64</v>
      </c>
      <c r="G275" s="2" t="s">
        <v>1082</v>
      </c>
      <c r="H275" s="2" t="s">
        <v>1083</v>
      </c>
      <c r="I275" s="2" t="s">
        <v>1084</v>
      </c>
      <c r="K275" s="25" t="str">
        <f>IFERROR(__xludf.DUMMYFUNCTION("IF(ISBLANK(A275),
  """",
  IF(ISNUMBER(A275),
    TEXT(A275,""dd/mm/yyyy""),
    IF(
      REGEXMATCH(TRIM(A275),""^\d{1,2}/\d{1,2}/\d{4}$""),
      TRIM(A275),
      IFERROR(
        TEXT(DATEVALUE(SUBSTITUTE(SUBSTITUTE(TRIM(A275),""-"",""/""),""."",""/"&amp;""")),""dd/mm/yyyy""),
        TRIM(A275)
      )
    )
  )
)
"),"16/12/2024")</f>
        <v>16/12/2024</v>
      </c>
      <c r="L275" s="26">
        <v>45642.0</v>
      </c>
      <c r="M275" s="27" t="str">
        <f>IFERROR(__xludf.DUMMYFUNCTION("PROPER(TRIM(
  REGEXREPLACE(
    REGEXREPLACE(
      SUBSTITUTE(SUBSTITUTE(SUBSTITUTE(SUBSTITUTE(SUBSTITUTE(SUBSTITUTE(SUBSTITUTE(SUBSTITUTE(SUBSTITUTE(SUBSTITUTE(SUBSTITUTE(
        B275,""√©"",""é""),""√°"",""á""),""√±"",""ñ""),""√≥"",""ó""),""√â"",""é"&amp;"""),""√Å"",""á""),""√ç"",""í""),""√Ç"",""Í""),""√Â"",""é""),""√≠"",""í""),""√º"",""ú""),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75" s="28" t="str">
        <f>IFERROR(__xludf.DUMMYFUNCTION("SPLIT(
  TRIM(
    SUBSTITUTE(
      SUBSTITUTE(
        SUBSTITUTE(
          SUBSTITUTE(
            C275,
            ""√©"", ""é""
          ),
          ""√±"", ""ñ""
        ),
        ""√°"", ""á""
      ),
      ""√≥"", ""ó""
    )
  ),
  ""-""
)
"),"Teléfono")</f>
        <v>Teléfono</v>
      </c>
      <c r="O275" s="28" t="str">
        <f>IFERROR(__xludf.DUMMYFUNCTION("""COMPUTED_VALUE"""),"Gama media")</f>
        <v>Gama media</v>
      </c>
      <c r="P275" s="28" t="str">
        <f>IFERROR(__xludf.DUMMYFUNCTION("""COMPUTED_VALUE"""),"4GB")</f>
        <v>4GB</v>
      </c>
      <c r="Q275" s="29">
        <f t="shared" si="1"/>
        <v>785.82</v>
      </c>
      <c r="R275" s="28">
        <f t="shared" si="2"/>
        <v>2</v>
      </c>
      <c r="S275" s="29">
        <f t="shared" si="3"/>
        <v>1571.64</v>
      </c>
      <c r="T275" s="28" t="str">
        <f>IFERROR(__xludf.DUMMYFUNCTION("PROPER(TRIM(
  LET(
    texto1, REGEXREPLACE(G275,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"),"Cynthia Oswaldo Olvera")</f>
        <v>Cynthia Oswaldo Olvera</v>
      </c>
      <c r="U275" s="28" t="str">
        <f t="shared" si="4"/>
        <v>496f9895-2148-475d-9da8-8846db1a0d2e</v>
      </c>
      <c r="V275" s="30" t="str">
        <f t="shared" si="5"/>
        <v>Teléfono Gama media 4GB</v>
      </c>
    </row>
    <row r="276" ht="15.75" customHeight="1">
      <c r="A276" s="6">
        <v>45623.0</v>
      </c>
      <c r="B276" s="2" t="s">
        <v>101</v>
      </c>
      <c r="C276" s="2" t="s">
        <v>360</v>
      </c>
      <c r="D276" s="7">
        <v>2014.33</v>
      </c>
      <c r="E276" s="2">
        <v>4.0</v>
      </c>
      <c r="F276" s="7">
        <v>8057.32</v>
      </c>
      <c r="G276" s="2" t="s">
        <v>1085</v>
      </c>
      <c r="H276" s="2" t="s">
        <v>1086</v>
      </c>
      <c r="I276" s="2" t="s">
        <v>1087</v>
      </c>
      <c r="K276" s="19" t="str">
        <f>IFERROR(__xludf.DUMMYFUNCTION("IF(ISBLANK(A276),
  """",
  IF(ISNUMBER(A276),
    TEXT(A276,""dd/mm/yyyy""),
    IF(
      REGEXMATCH(TRIM(A276),""^\d{1,2}/\d{1,2}/\d{4}$""),
      TRIM(A276),
      IFERROR(
        TEXT(DATEVALUE(SUBSTITUTE(SUBSTITUTE(TRIM(A276),""-"",""/""),""."",""/"&amp;""")),""dd/mm/yyyy""),
        TRIM(A276)
      )
    )
  )
)
"),"27/11/2024")</f>
        <v>27/11/2024</v>
      </c>
      <c r="L276" s="20">
        <v>45623.0</v>
      </c>
      <c r="M276" s="21" t="str">
        <f>IFERROR(__xludf.DUMMYFUNCTION("PROPER(TRIM(
  REGEXREPLACE(
    REGEXREPLACE(
      SUBSTITUTE(SUBSTITUTE(SUBSTITUTE(SUBSTITUTE(SUBSTITUTE(SUBSTITUTE(SUBSTITUTE(SUBSTITUTE(SUBSTITUTE(SUBSTITUTE(SUBSTITUTE(
        B276,""√©"",""é""),""√°"",""á""),""√±"",""ñ""),""√≥"",""ó""),""√â"",""é"&amp;"""),""√Å"",""á""),""√ç"",""í""),""√Ç"",""Í""),""√Â"",""é""),""√≠"",""í""),""√º"",""ú""),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76" s="22" t="str">
        <f>IFERROR(__xludf.DUMMYFUNCTION("SPLIT(
  TRIM(
    SUBSTITUTE(
      SUBSTITUTE(
        SUBSTITUTE(
          SUBSTITUTE(
            C276,
            ""√©"", ""é""
          ),
          ""√±"", ""ñ""
        ),
        ""√°"", ""á""
      ),
      ""√≥"", ""ó""
    )
  ),
  ""-""
)
"),"Tablet")</f>
        <v>Tablet</v>
      </c>
      <c r="O276" s="22" t="str">
        <f>IFERROR(__xludf.DUMMYFUNCTION("""COMPUTED_VALUE"""),"Estándar")</f>
        <v>Estándar</v>
      </c>
      <c r="P276" s="22" t="str">
        <f>IFERROR(__xludf.DUMMYFUNCTION("""COMPUTED_VALUE"""),"8GB")</f>
        <v>8GB</v>
      </c>
      <c r="Q276" s="23">
        <f t="shared" si="1"/>
        <v>2014.33</v>
      </c>
      <c r="R276" s="22">
        <f t="shared" si="2"/>
        <v>4</v>
      </c>
      <c r="S276" s="23">
        <f t="shared" si="3"/>
        <v>8057.32</v>
      </c>
      <c r="T276" s="22" t="str">
        <f>IFERROR(__xludf.DUMMYFUNCTION("PROPER(TRIM(
  LET(
    texto1, REGEXREPLACE(G276,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"),"Iván Fuentes Fierro")</f>
        <v>Iván Fuentes Fierro</v>
      </c>
      <c r="U276" s="22" t="str">
        <f t="shared" si="4"/>
        <v>94019fc0-5f8a-4f46-b07d-b18f9ed2fb2d</v>
      </c>
      <c r="V276" s="24" t="str">
        <f t="shared" si="5"/>
        <v>Tablet Estándar 8GB</v>
      </c>
    </row>
    <row r="277" ht="15.75" customHeight="1">
      <c r="A277" s="6">
        <v>45589.0</v>
      </c>
      <c r="B277" s="2" t="s">
        <v>50</v>
      </c>
      <c r="C277" s="2" t="s">
        <v>360</v>
      </c>
      <c r="D277" s="7">
        <v>1030.99</v>
      </c>
      <c r="E277" s="2">
        <v>1.0</v>
      </c>
      <c r="F277" s="7">
        <v>1030.99</v>
      </c>
      <c r="G277" s="2" t="s">
        <v>1088</v>
      </c>
      <c r="H277" s="2" t="s">
        <v>1089</v>
      </c>
      <c r="I277" s="2" t="s">
        <v>1090</v>
      </c>
      <c r="K277" s="25" t="str">
        <f>IFERROR(__xludf.DUMMYFUNCTION("IF(ISBLANK(A277),
  """",
  IF(ISNUMBER(A277),
    TEXT(A277,""dd/mm/yyyy""),
    IF(
      REGEXMATCH(TRIM(A277),""^\d{1,2}/\d{1,2}/\d{4}$""),
      TRIM(A277),
      IFERROR(
        TEXT(DATEVALUE(SUBSTITUTE(SUBSTITUTE(TRIM(A277),""-"",""/""),""."",""/"&amp;""")),""dd/mm/yyyy""),
        TRIM(A277)
      )
    )
  )
)
"),"24/10/2024")</f>
        <v>24/10/2024</v>
      </c>
      <c r="L277" s="26">
        <v>45589.0</v>
      </c>
      <c r="M277" s="27" t="str">
        <f>IFERROR(__xludf.DUMMYFUNCTION("PROPER(TRIM(
  REGEXREPLACE(
    REGEXREPLACE(
      SUBSTITUTE(SUBSTITUTE(SUBSTITUTE(SUBSTITUTE(SUBSTITUTE(SUBSTITUTE(SUBSTITUTE(SUBSTITUTE(SUBSTITUTE(SUBSTITUTE(SUBSTITUTE(
        B277,""√©"",""é""),""√°"",""á""),""√±"",""ñ""),""√≥"",""ó""),""√â"",""é"&amp;"""),""√Å"",""á""),""√ç"",""í""),""√Ç"",""Í""),""√Â"",""é""),""√≠"",""í""),""√º"",""ú""),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77" s="28" t="str">
        <f>IFERROR(__xludf.DUMMYFUNCTION("SPLIT(
  TRIM(
    SUBSTITUTE(
      SUBSTITUTE(
        SUBSTITUTE(
          SUBSTITUTE(
            C277,
            ""√©"", ""é""
          ),
          ""√±"", ""ñ""
        ),
        ""√°"", ""á""
      ),
      ""√≥"", ""ó""
    )
  ),
  ""-""
)
"),"Tablet")</f>
        <v>Tablet</v>
      </c>
      <c r="O277" s="28" t="str">
        <f>IFERROR(__xludf.DUMMYFUNCTION("""COMPUTED_VALUE"""),"Estándar")</f>
        <v>Estándar</v>
      </c>
      <c r="P277" s="28" t="str">
        <f>IFERROR(__xludf.DUMMYFUNCTION("""COMPUTED_VALUE"""),"8GB")</f>
        <v>8GB</v>
      </c>
      <c r="Q277" s="29">
        <f t="shared" si="1"/>
        <v>1030.99</v>
      </c>
      <c r="R277" s="28">
        <f t="shared" si="2"/>
        <v>1</v>
      </c>
      <c r="S277" s="29">
        <f t="shared" si="3"/>
        <v>1030.99</v>
      </c>
      <c r="T277" s="28" t="str">
        <f>IFERROR(__xludf.DUMMYFUNCTION("PROPER(TRIM(
  LET(
    texto1, REGEXREPLACE(G277,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Bustos")</f>
        <v>Vanesa Bustos</v>
      </c>
      <c r="U277" s="28" t="str">
        <f t="shared" si="4"/>
        <v>7973d01c-f337-48a1-8f89-e3be9acd41ae</v>
      </c>
      <c r="V277" s="30" t="str">
        <f t="shared" si="5"/>
        <v>Tablet Estándar 8GB</v>
      </c>
    </row>
    <row r="278" ht="15.75" customHeight="1">
      <c r="A278" s="6">
        <v>45652.0</v>
      </c>
      <c r="B278" s="2" t="s">
        <v>50</v>
      </c>
      <c r="C278" s="2" t="s">
        <v>111</v>
      </c>
      <c r="D278" s="7">
        <v>658.24</v>
      </c>
      <c r="E278" s="2">
        <v>3.0</v>
      </c>
      <c r="F278" s="7">
        <v>1974.72</v>
      </c>
      <c r="G278" s="2" t="s">
        <v>1092</v>
      </c>
      <c r="H278" s="2" t="s">
        <v>1093</v>
      </c>
      <c r="I278" s="2" t="s">
        <v>1094</v>
      </c>
      <c r="K278" s="19" t="str">
        <f>IFERROR(__xludf.DUMMYFUNCTION("IF(ISBLANK(A278),
  """",
  IF(ISNUMBER(A278),
    TEXT(A278,""dd/mm/yyyy""),
    IF(
      REGEXMATCH(TRIM(A278),""^\d{1,2}/\d{1,2}/\d{4}$""),
      TRIM(A278),
      IFERROR(
        TEXT(DATEVALUE(SUBSTITUTE(SUBSTITUTE(TRIM(A278),""-"",""/""),""."",""/"&amp;""")),""dd/mm/yyyy""),
        TRIM(A278)
      )
    )
  )
)
"),"26/12/2024")</f>
        <v>26/12/2024</v>
      </c>
      <c r="L278" s="20">
        <v>45652.0</v>
      </c>
      <c r="M278" s="21" t="str">
        <f>IFERROR(__xludf.DUMMYFUNCTION("PROPER(TRIM(
  REGEXREPLACE(
    REGEXREPLACE(
      SUBSTITUTE(SUBSTITUTE(SUBSTITUTE(SUBSTITUTE(SUBSTITUTE(SUBSTITUTE(SUBSTITUTE(SUBSTITUTE(SUBSTITUTE(SUBSTITUTE(SUBSTITUTE(
        B278,""√©"",""é""),""√°"",""á""),""√±"",""ñ""),""√≥"",""ó""),""√â"",""é"&amp;"""),""√Å"",""á""),""√ç"",""í""),""√Ç"",""Í""),""√Â"",""é""),""√≠"",""í""),""√º"",""ú""),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78" s="22" t="str">
        <f>IFERROR(__xludf.DUMMYFUNCTION("SPLIT(
  TRIM(
    SUBSTITUTE(
      SUBSTITUTE(
        SUBSTITUTE(
          SUBSTITUTE(
            C278,
            ""√©"", ""é""
          ),
          ""√±"", ""ñ""
        ),
        ""√°"", ""á""
      ),
      ""√≥"", ""ó""
    )
  ),
  ""-""
)
"),"Tablet")</f>
        <v>Tablet</v>
      </c>
      <c r="O278" s="22" t="str">
        <f>IFERROR(__xludf.DUMMYFUNCTION("""COMPUTED_VALUE"""),"Estándar")</f>
        <v>Estándar</v>
      </c>
      <c r="P278" s="22" t="str">
        <f>IFERROR(__xludf.DUMMYFUNCTION("""COMPUTED_VALUE"""),"16GB")</f>
        <v>16GB</v>
      </c>
      <c r="Q278" s="23">
        <f t="shared" si="1"/>
        <v>658.24</v>
      </c>
      <c r="R278" s="22">
        <f t="shared" si="2"/>
        <v>3</v>
      </c>
      <c r="S278" s="23">
        <f t="shared" si="3"/>
        <v>1974.72</v>
      </c>
      <c r="T278" s="22" t="str">
        <f>IFERROR(__xludf.DUMMYFUNCTION("PROPER(TRIM(
  LET(
    texto1, REGEXREPLACE(G278,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"),"Patricia Candelaria Ramón")</f>
        <v>Patricia Candelaria Ramón</v>
      </c>
      <c r="U278" s="22" t="str">
        <f t="shared" si="4"/>
        <v>791a6835-1e53-4dab-9537-f28d07071087</v>
      </c>
      <c r="V278" s="24" t="str">
        <f t="shared" si="5"/>
        <v>Tablet Estándar 16GB</v>
      </c>
    </row>
    <row r="279" ht="15.75" customHeight="1">
      <c r="A279" s="6">
        <v>45647.0</v>
      </c>
      <c r="B279" s="2" t="s">
        <v>130</v>
      </c>
      <c r="C279" s="2" t="s">
        <v>96</v>
      </c>
      <c r="D279" s="7">
        <v>1019.73</v>
      </c>
      <c r="E279" s="2">
        <v>2.0</v>
      </c>
      <c r="F279" s="7">
        <v>2039.46</v>
      </c>
      <c r="G279" s="2" t="s">
        <v>1095</v>
      </c>
      <c r="H279" s="2" t="s">
        <v>1096</v>
      </c>
      <c r="I279" s="2" t="s">
        <v>1097</v>
      </c>
      <c r="K279" s="25" t="str">
        <f>IFERROR(__xludf.DUMMYFUNCTION("IF(ISBLANK(A279),
  """",
  IF(ISNUMBER(A279),
    TEXT(A279,""dd/mm/yyyy""),
    IF(
      REGEXMATCH(TRIM(A279),""^\d{1,2}/\d{1,2}/\d{4}$""),
      TRIM(A279),
      IFERROR(
        TEXT(DATEVALUE(SUBSTITUTE(SUBSTITUTE(TRIM(A279),""-"",""/""),""."",""/"&amp;""")),""dd/mm/yyyy""),
        TRIM(A279)
      )
    )
  )
)
"),"21/12/2024")</f>
        <v>21/12/2024</v>
      </c>
      <c r="L279" s="26">
        <v>45647.0</v>
      </c>
      <c r="M279" s="27" t="str">
        <f>IFERROR(__xludf.DUMMYFUNCTION("PROPER(TRIM(
  REGEXREPLACE(
    REGEXREPLACE(
      SUBSTITUTE(SUBSTITUTE(SUBSTITUTE(SUBSTITUTE(SUBSTITUTE(SUBSTITUTE(SUBSTITUTE(SUBSTITUTE(SUBSTITUTE(SUBSTITUTE(SUBSTITUTE(
        B279,""√©"",""é""),""√°"",""á""),""√±"",""ñ""),""√≥"",""ó""),""√â"",""é"&amp;"""),""√Å"",""á""),""√ç"",""í""),""√Ç"",""Í""),""√Â"",""é""),""√≠"",""í""),""√º"",""ú""),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79" s="28" t="str">
        <f>IFERROR(__xludf.DUMMYFUNCTION("SPLIT(
  TRIM(
    SUBSTITUTE(
      SUBSTITUTE(
        SUBSTITUTE(
          SUBSTITUTE(
            C279,
            ""√©"", ""é""
          ),
          ""√±"", ""ñ""
        ),
        ""√°"", ""á""
      ),
      ""√≥"", ""ó""
    )
  ),
  ""-""
)
"),"Auriculares")</f>
        <v>Auriculares</v>
      </c>
      <c r="O279" s="28" t="str">
        <f>IFERROR(__xludf.DUMMYFUNCTION("""COMPUTED_VALUE"""),"Cancelación de ruido")</f>
        <v>Cancelación de ruido</v>
      </c>
      <c r="P279" s="28" t="str">
        <f>IFERROR(__xludf.DUMMYFUNCTION("""COMPUTED_VALUE"""),"4GB")</f>
        <v>4GB</v>
      </c>
      <c r="Q279" s="29">
        <f t="shared" si="1"/>
        <v>1019.73</v>
      </c>
      <c r="R279" s="28">
        <f t="shared" si="2"/>
        <v>2</v>
      </c>
      <c r="S279" s="29">
        <f t="shared" si="3"/>
        <v>2039.46</v>
      </c>
      <c r="T279" s="28" t="str">
        <f>IFERROR(__xludf.DUMMYFUNCTION("PROPER(TRIM(
  LET(
    texto1, REGEXREPLACE(G279,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"),"Evelio Rosario")</f>
        <v>Evelio Rosario</v>
      </c>
      <c r="U279" s="28" t="str">
        <f t="shared" si="4"/>
        <v>c6fe3646-36da-4379-b9d4-1237b3932c67</v>
      </c>
      <c r="V279" s="30" t="str">
        <f t="shared" si="5"/>
        <v>Auriculares Cancelación de ruido 4GB</v>
      </c>
    </row>
    <row r="280" ht="15.75" customHeight="1">
      <c r="A280" s="6">
        <v>45622.0</v>
      </c>
      <c r="B280" s="2" t="s">
        <v>38</v>
      </c>
      <c r="C280" s="2" t="s">
        <v>28</v>
      </c>
      <c r="D280" s="7">
        <v>664.21</v>
      </c>
      <c r="E280" s="2">
        <v>1.0</v>
      </c>
      <c r="F280" s="7">
        <v>664.21</v>
      </c>
      <c r="G280" s="2" t="s">
        <v>1098</v>
      </c>
      <c r="H280" s="2" t="s">
        <v>1099</v>
      </c>
      <c r="I280" s="2" t="s">
        <v>1100</v>
      </c>
      <c r="K280" s="19" t="str">
        <f>IFERROR(__xludf.DUMMYFUNCTION("IF(ISBLANK(A280),
  """",
  IF(ISNUMBER(A280),
    TEXT(A280,""dd/mm/yyyy""),
    IF(
      REGEXMATCH(TRIM(A280),""^\d{1,2}/\d{1,2}/\d{4}$""),
      TRIM(A280),
      IFERROR(
        TEXT(DATEVALUE(SUBSTITUTE(SUBSTITUTE(TRIM(A280),""-"",""/""),""."",""/"&amp;""")),""dd/mm/yyyy""),
        TRIM(A280)
      )
    )
  )
)
"),"26/11/2024")</f>
        <v>26/11/2024</v>
      </c>
      <c r="L280" s="20">
        <v>45622.0</v>
      </c>
      <c r="M280" s="21" t="str">
        <f>IFERROR(__xludf.DUMMYFUNCTION("PROPER(TRIM(
  REGEXREPLACE(
    REGEXREPLACE(
      SUBSTITUTE(SUBSTITUTE(SUBSTITUTE(SUBSTITUTE(SUBSTITUTE(SUBSTITUTE(SUBSTITUTE(SUBSTITUTE(SUBSTITUTE(SUBSTITUTE(SUBSTITUTE(
        B280,""√©"",""é""),""√°"",""á""),""√±"",""ñ""),""√≥"",""ó""),""√â"",""é"&amp;"""),""√Å"",""á""),""√ç"",""í""),""√Ç"",""Í""),""√Â"",""é""),""√≠"",""í""),""√º"",""ú""),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80" s="22" t="str">
        <f>IFERROR(__xludf.DUMMYFUNCTION("SPLIT(
  TRIM(
    SUBSTITUTE(
      SUBSTITUTE(
        SUBSTITUTE(
          SUBSTITUTE(
            C280,
            ""√©"", ""é""
          ),
          ""√±"", ""ñ""
        ),
        ""√°"", ""á""
      ),
      ""√≥"", ""ó""
    )
  ),
  ""-""
)
"),"Tablet")</f>
        <v>Tablet</v>
      </c>
      <c r="O280" s="22" t="str">
        <f>IFERROR(__xludf.DUMMYFUNCTION("""COMPUTED_VALUE"""),"Pro")</f>
        <v>Pro</v>
      </c>
      <c r="P280" s="22" t="str">
        <f>IFERROR(__xludf.DUMMYFUNCTION("""COMPUTED_VALUE"""),"8GB")</f>
        <v>8GB</v>
      </c>
      <c r="Q280" s="23">
        <f t="shared" si="1"/>
        <v>664.21</v>
      </c>
      <c r="R280" s="22">
        <f t="shared" si="2"/>
        <v>1</v>
      </c>
      <c r="S280" s="23">
        <f t="shared" si="3"/>
        <v>664.21</v>
      </c>
      <c r="T280" s="22" t="str">
        <f>IFERROR(__xludf.DUMMYFUNCTION("PROPER(TRIM(
  LET(
    texto1, REGEXREPLACE(G280,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"),"Silvano Alvaro Enríquez Pineda")</f>
        <v>Silvano Alvaro Enríquez Pineda</v>
      </c>
      <c r="U280" s="22" t="str">
        <f t="shared" si="4"/>
        <v>9643a7f2-7f1e-4f3a-b67a-e4db4ac513f7</v>
      </c>
      <c r="V280" s="24" t="str">
        <f t="shared" si="5"/>
        <v>Tablet Pro 8GB</v>
      </c>
    </row>
    <row r="281" ht="15.75" customHeight="1">
      <c r="A281" s="6">
        <v>45614.0</v>
      </c>
      <c r="B281" s="2" t="s">
        <v>101</v>
      </c>
      <c r="C281" s="2" t="s">
        <v>191</v>
      </c>
      <c r="D281" s="7">
        <v>1307.54</v>
      </c>
      <c r="E281" s="2">
        <v>1.0</v>
      </c>
      <c r="F281" s="7">
        <v>1307.54</v>
      </c>
      <c r="G281" s="2" t="s">
        <v>1101</v>
      </c>
      <c r="H281" s="2" t="s">
        <v>1102</v>
      </c>
      <c r="I281" s="2" t="s">
        <v>1103</v>
      </c>
      <c r="K281" s="25" t="str">
        <f>IFERROR(__xludf.DUMMYFUNCTION("IF(ISBLANK(A281),
  """",
  IF(ISNUMBER(A281),
    TEXT(A281,""dd/mm/yyyy""),
    IF(
      REGEXMATCH(TRIM(A281),""^\d{1,2}/\d{1,2}/\d{4}$""),
      TRIM(A281),
      IFERROR(
        TEXT(DATEVALUE(SUBSTITUTE(SUBSTITUTE(TRIM(A281),""-"",""/""),""."",""/"&amp;""")),""dd/mm/yyyy""),
        TRIM(A281)
      )
    )
  )
)
"),"18/11/2024")</f>
        <v>18/11/2024</v>
      </c>
      <c r="L281" s="26">
        <v>45614.0</v>
      </c>
      <c r="M281" s="27" t="str">
        <f>IFERROR(__xludf.DUMMYFUNCTION("PROPER(TRIM(
  REGEXREPLACE(
    REGEXREPLACE(
      SUBSTITUTE(SUBSTITUTE(SUBSTITUTE(SUBSTITUTE(SUBSTITUTE(SUBSTITUTE(SUBSTITUTE(SUBSTITUTE(SUBSTITUTE(SUBSTITUTE(SUBSTITUTE(
        B281,""√©"",""é""),""√°"",""á""),""√±"",""ñ""),""√≥"",""ó""),""√â"",""é"&amp;"""),""√Å"",""á""),""√ç"",""í""),""√Ç"",""Í""),""√Â"",""é""),""√≠"",""í""),""√º"",""ú""),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81" s="28" t="str">
        <f>IFERROR(__xludf.DUMMYFUNCTION("SPLIT(
  TRIM(
    SUBSTITUTE(
      SUBSTITUTE(
        SUBSTITUTE(
          SUBSTITUTE(
            C281,
            ""√©"", ""é""
          ),
          ""√±"", ""ñ""
        ),
        ""√°"", ""á""
      ),
      ""√≥"", ""ó""
    )
  ),
  ""-""
)
"),"Auriculares")</f>
        <v>Auriculares</v>
      </c>
      <c r="O281" s="28" t="str">
        <f>IFERROR(__xludf.DUMMYFUNCTION("""COMPUTED_VALUE"""),"Cancelación de ruido")</f>
        <v>Cancelación de ruido</v>
      </c>
      <c r="P281" s="28" t="str">
        <f>IFERROR(__xludf.DUMMYFUNCTION("""COMPUTED_VALUE"""),"32GB")</f>
        <v>32GB</v>
      </c>
      <c r="Q281" s="29">
        <f t="shared" si="1"/>
        <v>1307.54</v>
      </c>
      <c r="R281" s="28">
        <f t="shared" si="2"/>
        <v>1</v>
      </c>
      <c r="S281" s="29">
        <f t="shared" si="3"/>
        <v>1307.54</v>
      </c>
      <c r="T281" s="28" t="str">
        <f>IFERROR(__xludf.DUMMYFUNCTION("PROPER(TRIM(
  LET(
    texto1, REGEXREPLACE(G281,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"),"Uriel José María Mercado")</f>
        <v>Uriel José María Mercado</v>
      </c>
      <c r="U281" s="28" t="str">
        <f t="shared" si="4"/>
        <v>7d923bc2-e260-42ce-af34-40f80a5bb97e</v>
      </c>
      <c r="V281" s="30" t="str">
        <f t="shared" si="5"/>
        <v>Auriculares Cancelación de ruido 32GB</v>
      </c>
    </row>
    <row r="282" ht="15.75" customHeight="1">
      <c r="A282" s="36">
        <v>45392.0</v>
      </c>
      <c r="B282" s="2" t="s">
        <v>38</v>
      </c>
      <c r="C282" s="2" t="s">
        <v>196</v>
      </c>
      <c r="D282" s="7">
        <v>1711.63</v>
      </c>
      <c r="E282" s="2">
        <v>4.0</v>
      </c>
      <c r="F282" s="7">
        <v>6846.52</v>
      </c>
      <c r="G282" s="2" t="s">
        <v>1105</v>
      </c>
      <c r="H282" s="2" t="s">
        <v>1106</v>
      </c>
      <c r="I282" s="2" t="s">
        <v>1107</v>
      </c>
      <c r="K282" s="19" t="str">
        <f>IFERROR(__xludf.DUMMYFUNCTION("IF(ISBLANK(A282),
  """",
  IF(ISNUMBER(A282),
    TEXT(A282,""dd/mm/yyyy""),
    IF(
      REGEXMATCH(TRIM(A282),""^\d{1,2}/\d{1,2}/\d{4}$""),
      TRIM(A282),
      IFERROR(
        TEXT(DATEVALUE(SUBSTITUTE(SUBSTITUTE(TRIM(A282),""-"",""/""),""."",""/"&amp;""")),""dd/mm/yyyy""),
        TRIM(A282)
      )
    )
  )
)
"),"10/04/2024")</f>
        <v>10/04/2024</v>
      </c>
      <c r="L282" s="20">
        <v>45392.0</v>
      </c>
      <c r="M282" s="21" t="str">
        <f>IFERROR(__xludf.DUMMYFUNCTION("PROPER(TRIM(
  REGEXREPLACE(
    REGEXREPLACE(
      SUBSTITUTE(SUBSTITUTE(SUBSTITUTE(SUBSTITUTE(SUBSTITUTE(SUBSTITUTE(SUBSTITUTE(SUBSTITUTE(SUBSTITUTE(SUBSTITUTE(SUBSTITUTE(
        B282,""√©"",""é""),""√°"",""á""),""√±"",""ñ""),""√≥"",""ó""),""√â"",""é"&amp;"""),""√Å"",""á""),""√ç"",""í""),""√Ç"",""Í""),""√Â"",""é""),""√≠"",""í""),""√º"",""ú""),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82" s="22" t="str">
        <f>IFERROR(__xludf.DUMMYFUNCTION("SPLIT(
  TRIM(
    SUBSTITUTE(
      SUBSTITUTE(
        SUBSTITUTE(
          SUBSTITUTE(
            C282,
            ""√©"", ""é""
          ),
          ""√±"", ""ñ""
        ),
        ""√°"", ""á""
      ),
      ""√≥"", ""ó""
    )
  ),
  ""-""
)
"),"Auriculares")</f>
        <v>Auriculares</v>
      </c>
      <c r="O282" s="22" t="str">
        <f>IFERROR(__xludf.DUMMYFUNCTION("""COMPUTED_VALUE"""),"Cancelación de ruido")</f>
        <v>Cancelación de ruido</v>
      </c>
      <c r="P282" s="22" t="str">
        <f>IFERROR(__xludf.DUMMYFUNCTION("""COMPUTED_VALUE"""),"8GB")</f>
        <v>8GB</v>
      </c>
      <c r="Q282" s="23">
        <f t="shared" si="1"/>
        <v>1711.63</v>
      </c>
      <c r="R282" s="22">
        <f t="shared" si="2"/>
        <v>4</v>
      </c>
      <c r="S282" s="23">
        <f t="shared" si="3"/>
        <v>6846.52</v>
      </c>
      <c r="T282" s="22" t="str">
        <f>IFERROR(__xludf.DUMMYFUNCTION("PROPER(TRIM(
  LET(
    texto1, REGEXREPLACE(G282,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José Carrera")</f>
        <v>María José Carrera</v>
      </c>
      <c r="U282" s="22" t="str">
        <f t="shared" si="4"/>
        <v>7fdbc1e6-947e-4174-a90b-3e6fa8d1770d</v>
      </c>
      <c r="V282" s="24" t="str">
        <f t="shared" si="5"/>
        <v>Auriculares Cancelación de ruido 8GB</v>
      </c>
    </row>
    <row r="283" ht="15.75" customHeight="1">
      <c r="A283" s="6">
        <v>45647.0</v>
      </c>
      <c r="B283" s="2" t="s">
        <v>50</v>
      </c>
      <c r="C283" s="2" t="s">
        <v>245</v>
      </c>
      <c r="D283" s="7">
        <v>1670.11</v>
      </c>
      <c r="E283" s="2">
        <v>3.0</v>
      </c>
      <c r="F283" s="7">
        <v>5010.33</v>
      </c>
      <c r="G283" s="2" t="s">
        <v>1108</v>
      </c>
      <c r="H283" s="2" t="s">
        <v>1109</v>
      </c>
      <c r="I283" s="2" t="s">
        <v>1110</v>
      </c>
      <c r="K283" s="25" t="str">
        <f>IFERROR(__xludf.DUMMYFUNCTION("IF(ISBLANK(A283),
  """",
  IF(ISNUMBER(A283),
    TEXT(A283,""dd/mm/yyyy""),
    IF(
      REGEXMATCH(TRIM(A283),""^\d{1,2}/\d{1,2}/\d{4}$""),
      TRIM(A283),
      IFERROR(
        TEXT(DATEVALUE(SUBSTITUTE(SUBSTITUTE(TRIM(A283),""-"",""/""),""."",""/"&amp;""")),""dd/mm/yyyy""),
        TRIM(A283)
      )
    )
  )
)
"),"21/12/2024")</f>
        <v>21/12/2024</v>
      </c>
      <c r="L283" s="26">
        <v>45647.0</v>
      </c>
      <c r="M283" s="27" t="str">
        <f>IFERROR(__xludf.DUMMYFUNCTION("PROPER(TRIM(
  REGEXREPLACE(
    REGEXREPLACE(
      SUBSTITUTE(SUBSTITUTE(SUBSTITUTE(SUBSTITUTE(SUBSTITUTE(SUBSTITUTE(SUBSTITUTE(SUBSTITUTE(SUBSTITUTE(SUBSTITUTE(SUBSTITUTE(
        B283,""√©"",""é""),""√°"",""á""),""√±"",""ñ""),""√≥"",""ó""),""√â"",""é"&amp;"""),""√Å"",""á""),""√ç"",""í""),""√Ç"",""Í""),""√Â"",""é""),""√≠"",""í""),""√º"",""ú""),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83" s="28" t="str">
        <f>IFERROR(__xludf.DUMMYFUNCTION("SPLIT(
  TRIM(
    SUBSTITUTE(
      SUBSTITUTE(
        SUBSTITUTE(
          SUBSTITUTE(
            C283,
            ""√©"", ""é""
          ),
          ""√±"", ""ñ""
        ),
        ""√°"", ""á""
      ),
      ""√≥"", ""ó""
    )
  ),
  ""-""
)
"),"Teléfono")</f>
        <v>Teléfono</v>
      </c>
      <c r="O283" s="28" t="str">
        <f>IFERROR(__xludf.DUMMYFUNCTION("""COMPUTED_VALUE"""),"Gama baja")</f>
        <v>Gama baja</v>
      </c>
      <c r="P283" s="28" t="str">
        <f>IFERROR(__xludf.DUMMYFUNCTION("""COMPUTED_VALUE"""),"32GB")</f>
        <v>32GB</v>
      </c>
      <c r="Q283" s="29">
        <f t="shared" si="1"/>
        <v>1670.11</v>
      </c>
      <c r="R283" s="28">
        <f t="shared" si="2"/>
        <v>3</v>
      </c>
      <c r="S283" s="29">
        <f t="shared" si="3"/>
        <v>5010.33</v>
      </c>
      <c r="T283" s="28" t="str">
        <f>IFERROR(__xludf.DUMMYFUNCTION("PROPER(TRIM(
  LET(
    texto1, REGEXREPLACE(G283,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"),"Genaro Paz")</f>
        <v>Genaro Paz</v>
      </c>
      <c r="U283" s="28" t="str">
        <f t="shared" si="4"/>
        <v>b8257a06-d0a6-4198-b8a6-7c4130b98420</v>
      </c>
      <c r="V283" s="30" t="str">
        <f t="shared" si="5"/>
        <v>Teléfono Gama baja 32GB</v>
      </c>
    </row>
    <row r="284" ht="15.75" customHeight="1">
      <c r="A284" s="36">
        <v>45607.0</v>
      </c>
      <c r="B284" s="2" t="s">
        <v>16</v>
      </c>
      <c r="C284" s="2" t="s">
        <v>250</v>
      </c>
      <c r="D284" s="7">
        <v>1492.73</v>
      </c>
      <c r="E284" s="2">
        <v>5.0</v>
      </c>
      <c r="F284" s="7">
        <v>7463.65</v>
      </c>
      <c r="G284" s="2" t="s">
        <v>1111</v>
      </c>
      <c r="H284" s="2" t="s">
        <v>1112</v>
      </c>
      <c r="I284" s="2" t="s">
        <v>1113</v>
      </c>
      <c r="K284" s="19" t="str">
        <f>IFERROR(__xludf.DUMMYFUNCTION("IF(ISBLANK(A284),
  """",
  IF(ISNUMBER(A284),
    TEXT(A284,""dd/mm/yyyy""),
    IF(
      REGEXMATCH(TRIM(A284),""^\d{1,2}/\d{1,2}/\d{4}$""),
      TRIM(A284),
      IFERROR(
        TEXT(DATEVALUE(SUBSTITUTE(SUBSTITUTE(TRIM(A284),""-"",""/""),""."",""/"&amp;""")),""dd/mm/yyyy""),
        TRIM(A284)
      )
    )
  )
)
"),"11/11/2024")</f>
        <v>11/11/2024</v>
      </c>
      <c r="L284" s="20">
        <v>45607.0</v>
      </c>
      <c r="M284" s="21" t="str">
        <f>IFERROR(__xludf.DUMMYFUNCTION("PROPER(TRIM(
  REGEXREPLACE(
    REGEXREPLACE(
      SUBSTITUTE(SUBSTITUTE(SUBSTITUTE(SUBSTITUTE(SUBSTITUTE(SUBSTITUTE(SUBSTITUTE(SUBSTITUTE(SUBSTITUTE(SUBSTITUTE(SUBSTITUTE(
        B284,""√©"",""é""),""√°"",""á""),""√±"",""ñ""),""√≥"",""ó""),""√â"",""é"&amp;"""),""√Å"",""á""),""√ç"",""í""),""√Ç"",""Í""),""√Â"",""é""),""√≠"",""í""),""√º"",""ú""),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84" s="22" t="str">
        <f>IFERROR(__xludf.DUMMYFUNCTION("SPLIT(
  TRIM(
    SUBSTITUTE(
      SUBSTITUTE(
        SUBSTITUTE(
          SUBSTITUTE(
            C284,
            ""√©"", ""é""
          ),
          ""√±"", ""ñ""
        ),
        ""√°"", ""á""
      ),
      ""√≥"", ""ó""
    )
  ),
  ""-""
)
"),"Laptop")</f>
        <v>Laptop</v>
      </c>
      <c r="O284" s="22" t="str">
        <f>IFERROR(__xludf.DUMMYFUNCTION("""COMPUTED_VALUE"""),"Oficina")</f>
        <v>Oficina</v>
      </c>
      <c r="P284" s="22" t="str">
        <f>IFERROR(__xludf.DUMMYFUNCTION("""COMPUTED_VALUE"""),"32GB")</f>
        <v>32GB</v>
      </c>
      <c r="Q284" s="23">
        <f t="shared" si="1"/>
        <v>1492.73</v>
      </c>
      <c r="R284" s="22">
        <f t="shared" si="2"/>
        <v>5</v>
      </c>
      <c r="S284" s="23">
        <f t="shared" si="3"/>
        <v>7463.65</v>
      </c>
      <c r="T284" s="22" t="str">
        <f>IFERROR(__xludf.DUMMYFUNCTION("PROPER(TRIM(
  LET(
    texto1, REGEXREPLACE(G284,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"),"Eva Julio Corrales")</f>
        <v>Eva Julio Corrales</v>
      </c>
      <c r="U284" s="22" t="str">
        <f t="shared" si="4"/>
        <v>d8feecfb-981d-4008-b113-8a7aba34e4b1</v>
      </c>
      <c r="V284" s="24" t="str">
        <f t="shared" si="5"/>
        <v>Laptop Oficina 32GB</v>
      </c>
    </row>
    <row r="285" ht="15.75" customHeight="1">
      <c r="A285" s="36">
        <v>45362.0</v>
      </c>
      <c r="B285" s="2" t="s">
        <v>85</v>
      </c>
      <c r="C285" s="2" t="s">
        <v>250</v>
      </c>
      <c r="D285" s="7">
        <v>617.79</v>
      </c>
      <c r="E285" s="2">
        <v>3.0</v>
      </c>
      <c r="F285" s="7">
        <v>1853.37</v>
      </c>
      <c r="G285" s="2" t="s">
        <v>1114</v>
      </c>
      <c r="H285" s="2" t="s">
        <v>1115</v>
      </c>
      <c r="I285" s="2" t="s">
        <v>1116</v>
      </c>
      <c r="K285" s="25" t="str">
        <f>IFERROR(__xludf.DUMMYFUNCTION("IF(ISBLANK(A285),
  """",
  IF(ISNUMBER(A285),
    TEXT(A285,""dd/mm/yyyy""),
    IF(
      REGEXMATCH(TRIM(A285),""^\d{1,2}/\d{1,2}/\d{4}$""),
      TRIM(A285),
      IFERROR(
        TEXT(DATEVALUE(SUBSTITUTE(SUBSTITUTE(TRIM(A285),""-"",""/""),""."",""/"&amp;""")),""dd/mm/yyyy""),
        TRIM(A285)
      )
    )
  )
)
"),"11/03/2024")</f>
        <v>11/03/2024</v>
      </c>
      <c r="L285" s="26">
        <v>45362.0</v>
      </c>
      <c r="M285" s="27" t="str">
        <f>IFERROR(__xludf.DUMMYFUNCTION("PROPER(TRIM(
  REGEXREPLACE(
    REGEXREPLACE(
      SUBSTITUTE(SUBSTITUTE(SUBSTITUTE(SUBSTITUTE(SUBSTITUTE(SUBSTITUTE(SUBSTITUTE(SUBSTITUTE(SUBSTITUTE(SUBSTITUTE(SUBSTITUTE(
        B285,""√©"",""é""),""√°"",""á""),""√±"",""ñ""),""√≥"",""ó""),""√â"",""é"&amp;"""),""√Å"",""á""),""√ç"",""í""),""√Ç"",""Í""),""√Â"",""é""),""√≠"",""í""),""√º"",""ú""),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85" s="28" t="str">
        <f>IFERROR(__xludf.DUMMYFUNCTION("SPLIT(
  TRIM(
    SUBSTITUTE(
      SUBSTITUTE(
        SUBSTITUTE(
          SUBSTITUTE(
            C285,
            ""√©"", ""é""
          ),
          ""√±"", ""ñ""
        ),
        ""√°"", ""á""
      ),
      ""√≥"", ""ó""
    )
  ),
  ""-""
)
"),"Laptop")</f>
        <v>Laptop</v>
      </c>
      <c r="O285" s="28" t="str">
        <f>IFERROR(__xludf.DUMMYFUNCTION("""COMPUTED_VALUE"""),"Oficina")</f>
        <v>Oficina</v>
      </c>
      <c r="P285" s="28" t="str">
        <f>IFERROR(__xludf.DUMMYFUNCTION("""COMPUTED_VALUE"""),"32GB")</f>
        <v>32GB</v>
      </c>
      <c r="Q285" s="29">
        <f t="shared" si="1"/>
        <v>617.79</v>
      </c>
      <c r="R285" s="28">
        <f t="shared" si="2"/>
        <v>3</v>
      </c>
      <c r="S285" s="29">
        <f t="shared" si="3"/>
        <v>1853.37</v>
      </c>
      <c r="T285" s="28" t="str">
        <f>IFERROR(__xludf.DUMMYFUNCTION("PROPER(TRIM(
  LET(
    texto1, REGEXREPLACE(G285,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María Cruz Montero")</f>
        <v>Ana María Cruz Montero</v>
      </c>
      <c r="U285" s="28" t="str">
        <f t="shared" si="4"/>
        <v>1bd0c57b-8184-4850-859c-b8ff7197c553</v>
      </c>
      <c r="V285" s="30" t="str">
        <f t="shared" si="5"/>
        <v>Laptop Oficina 32GB</v>
      </c>
    </row>
    <row r="286" ht="15.75" customHeight="1">
      <c r="A286" s="36">
        <v>45424.0</v>
      </c>
      <c r="B286" s="2" t="s">
        <v>16</v>
      </c>
      <c r="C286" s="2" t="s">
        <v>121</v>
      </c>
      <c r="D286" s="7">
        <v>2211.26</v>
      </c>
      <c r="E286" s="2">
        <v>3.0</v>
      </c>
      <c r="F286" s="7">
        <v>6633.78</v>
      </c>
      <c r="G286" s="2" t="s">
        <v>1117</v>
      </c>
      <c r="H286" s="2" t="s">
        <v>1118</v>
      </c>
      <c r="I286" s="2" t="s">
        <v>1119</v>
      </c>
      <c r="K286" s="19" t="str">
        <f>IFERROR(__xludf.DUMMYFUNCTION("IF(ISBLANK(A286),
  """",
  IF(ISNUMBER(A286),
    TEXT(A286,""dd/mm/yyyy""),
    IF(
      REGEXMATCH(TRIM(A286),""^\d{1,2}/\d{1,2}/\d{4}$""),
      TRIM(A286),
      IFERROR(
        TEXT(DATEVALUE(SUBSTITUTE(SUBSTITUTE(TRIM(A286),""-"",""/""),""."",""/"&amp;""")),""dd/mm/yyyy""),
        TRIM(A286)
      )
    )
  )
)
"),"12/05/2024")</f>
        <v>12/05/2024</v>
      </c>
      <c r="L286" s="20">
        <v>45424.0</v>
      </c>
      <c r="M286" s="21" t="str">
        <f>IFERROR(__xludf.DUMMYFUNCTION("PROPER(TRIM(
  REGEXREPLACE(
    REGEXREPLACE(
      SUBSTITUTE(SUBSTITUTE(SUBSTITUTE(SUBSTITUTE(SUBSTITUTE(SUBSTITUTE(SUBSTITUTE(SUBSTITUTE(SUBSTITUTE(SUBSTITUTE(SUBSTITUTE(
        B286,""√©"",""é""),""√°"",""á""),""√±"",""ñ""),""√≥"",""ó""),""√â"",""é"&amp;"""),""√Å"",""á""),""√ç"",""í""),""√Ç"",""Í""),""√Â"",""é""),""√≠"",""í""),""√º"",""ú""),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86" s="22" t="str">
        <f>IFERROR(__xludf.DUMMYFUNCTION("SPLIT(
  TRIM(
    SUBSTITUTE(
      SUBSTITUTE(
        SUBSTITUTE(
          SUBSTITUTE(
            C286,
            ""√©"", ""é""
          ),
          ""√±"", ""ñ""
        ),
        ""√°"", ""á""
      ),
      ""√≥"", ""ó""
    )
  ),
  ""-""
)
"),"Teléfono")</f>
        <v>Teléfono</v>
      </c>
      <c r="O286" s="22" t="str">
        <f>IFERROR(__xludf.DUMMYFUNCTION("""COMPUTED_VALUE"""),"Gama baja")</f>
        <v>Gama baja</v>
      </c>
      <c r="P286" s="22" t="str">
        <f>IFERROR(__xludf.DUMMYFUNCTION("""COMPUTED_VALUE"""),"8GB")</f>
        <v>8GB</v>
      </c>
      <c r="Q286" s="23">
        <f t="shared" si="1"/>
        <v>2211.26</v>
      </c>
      <c r="R286" s="22">
        <f t="shared" si="2"/>
        <v>3</v>
      </c>
      <c r="S286" s="23">
        <f t="shared" si="3"/>
        <v>6633.78</v>
      </c>
      <c r="T286" s="22" t="str">
        <f>IFERROR(__xludf.DUMMYFUNCTION("PROPER(TRIM(
  LET(
    texto1, REGEXREPLACE(G286,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"),"Nicolás Guevara")</f>
        <v>Nicolás Guevara</v>
      </c>
      <c r="U286" s="22" t="str">
        <f t="shared" si="4"/>
        <v>ec13955e-4ae5-4e40-93e4-236b0eaab336</v>
      </c>
      <c r="V286" s="24" t="str">
        <f t="shared" si="5"/>
        <v>Teléfono Gama baja 8GB</v>
      </c>
    </row>
    <row r="287" ht="15.75" customHeight="1">
      <c r="A287" s="6">
        <v>45634.0</v>
      </c>
      <c r="B287" s="2" t="s">
        <v>101</v>
      </c>
      <c r="C287" s="2" t="s">
        <v>369</v>
      </c>
      <c r="D287" s="7">
        <v>1397.7</v>
      </c>
      <c r="E287" s="2">
        <v>3.0</v>
      </c>
      <c r="F287" s="7">
        <v>4193.1</v>
      </c>
      <c r="G287" s="2" t="s">
        <v>1121</v>
      </c>
      <c r="H287" s="2" t="s">
        <v>1122</v>
      </c>
      <c r="I287" s="2" t="s">
        <v>1123</v>
      </c>
      <c r="K287" s="25" t="str">
        <f>IFERROR(__xludf.DUMMYFUNCTION("IF(ISBLANK(A287),
  """",
  IF(ISNUMBER(A287),
    TEXT(A287,""dd/mm/yyyy""),
    IF(
      REGEXMATCH(TRIM(A287),""^\d{1,2}/\d{1,2}/\d{4}$""),
      TRIM(A287),
      IFERROR(
        TEXT(DATEVALUE(SUBSTITUTE(SUBSTITUTE(TRIM(A287),""-"",""/""),""."",""/"&amp;""")),""dd/mm/yyyy""),
        TRIM(A287)
      )
    )
  )
)
"),"08/12/2024")</f>
        <v>08/12/2024</v>
      </c>
      <c r="L287" s="26">
        <v>45634.0</v>
      </c>
      <c r="M287" s="27" t="str">
        <f>IFERROR(__xludf.DUMMYFUNCTION("PROPER(TRIM(
  REGEXREPLACE(
    REGEXREPLACE(
      SUBSTITUTE(SUBSTITUTE(SUBSTITUTE(SUBSTITUTE(SUBSTITUTE(SUBSTITUTE(SUBSTITUTE(SUBSTITUTE(SUBSTITUTE(SUBSTITUTE(SUBSTITUTE(
        B287,""√©"",""é""),""√°"",""á""),""√±"",""ñ""),""√≥"",""ó""),""√â"",""é"&amp;"""),""√Å"",""á""),""√ç"",""í""),""√Ç"",""Í""),""√Â"",""é""),""√≠"",""í""),""√º"",""ú""),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87" s="28" t="str">
        <f>IFERROR(__xludf.DUMMYFUNCTION("SPLIT(
  TRIM(
    SUBSTITUTE(
      SUBSTITUTE(
        SUBSTITUTE(
          SUBSTITUTE(
            C287,
            ""√©"", ""é""
          ),
          ""√±"", ""ñ""
        ),
        ""√°"", ""á""
      ),
      ""√≥"", ""ó""
    )
  ),
  ""-""
)
"),"Tablet")</f>
        <v>Tablet</v>
      </c>
      <c r="O287" s="28" t="str">
        <f>IFERROR(__xludf.DUMMYFUNCTION("""COMPUTED_VALUE"""),"Pro")</f>
        <v>Pro</v>
      </c>
      <c r="P287" s="28" t="str">
        <f>IFERROR(__xludf.DUMMYFUNCTION("""COMPUTED_VALUE"""),"16GB")</f>
        <v>16GB</v>
      </c>
      <c r="Q287" s="29">
        <f t="shared" si="1"/>
        <v>1397.7</v>
      </c>
      <c r="R287" s="28">
        <f t="shared" si="2"/>
        <v>3</v>
      </c>
      <c r="S287" s="29">
        <f t="shared" si="3"/>
        <v>4193.1</v>
      </c>
      <c r="T287" s="28" t="str">
        <f>IFERROR(__xludf.DUMMYFUNCTION("PROPER(TRIM(
  LET(
    texto1, REGEXREPLACE(G287,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"),"Araceli Ulloa Blanco")</f>
        <v>Araceli Ulloa Blanco</v>
      </c>
      <c r="U287" s="28" t="str">
        <f t="shared" si="4"/>
        <v>a5a9edd5-c2b3-4542-ac87-c882564547e6</v>
      </c>
      <c r="V287" s="30" t="str">
        <f t="shared" si="5"/>
        <v>Tablet Pro 16GB</v>
      </c>
    </row>
    <row r="288" ht="15.75" customHeight="1">
      <c r="A288" s="6">
        <v>45566.0</v>
      </c>
      <c r="B288" s="2" t="s">
        <v>101</v>
      </c>
      <c r="C288" s="2" t="s">
        <v>360</v>
      </c>
      <c r="D288" s="7">
        <v>1339.17</v>
      </c>
      <c r="E288" s="2">
        <v>2.0</v>
      </c>
      <c r="F288" s="7">
        <v>2678.34</v>
      </c>
      <c r="G288" s="2" t="s">
        <v>1125</v>
      </c>
      <c r="H288" s="2" t="s">
        <v>1126</v>
      </c>
      <c r="I288" s="2" t="s">
        <v>1127</v>
      </c>
      <c r="K288" s="19" t="str">
        <f>IFERROR(__xludf.DUMMYFUNCTION("IF(ISBLANK(A288),
  """",
  IF(ISNUMBER(A288),
    TEXT(A288,""dd/mm/yyyy""),
    IF(
      REGEXMATCH(TRIM(A288),""^\d{1,2}/\d{1,2}/\d{4}$""),
      TRIM(A288),
      IFERROR(
        TEXT(DATEVALUE(SUBSTITUTE(SUBSTITUTE(TRIM(A288),""-"",""/""),""."",""/"&amp;""")),""dd/mm/yyyy""),
        TRIM(A288)
      )
    )
  )
)
"),"01/10/2024")</f>
        <v>01/10/2024</v>
      </c>
      <c r="L288" s="20">
        <v>45566.0</v>
      </c>
      <c r="M288" s="21" t="str">
        <f>IFERROR(__xludf.DUMMYFUNCTION("PROPER(TRIM(
  REGEXREPLACE(
    REGEXREPLACE(
      SUBSTITUTE(SUBSTITUTE(SUBSTITUTE(SUBSTITUTE(SUBSTITUTE(SUBSTITUTE(SUBSTITUTE(SUBSTITUTE(SUBSTITUTE(SUBSTITUTE(SUBSTITUTE(
        B288,""√©"",""é""),""√°"",""á""),""√±"",""ñ""),""√≥"",""ó""),""√â"",""é"&amp;"""),""√Å"",""á""),""√ç"",""í""),""√Ç"",""Í""),""√Â"",""é""),""√≠"",""í""),""√º"",""ú""),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88" s="22" t="str">
        <f>IFERROR(__xludf.DUMMYFUNCTION("SPLIT(
  TRIM(
    SUBSTITUTE(
      SUBSTITUTE(
        SUBSTITUTE(
          SUBSTITUTE(
            C288,
            ""√©"", ""é""
          ),
          ""√±"", ""ñ""
        ),
        ""√°"", ""á""
      ),
      ""√≥"", ""ó""
    )
  ),
  ""-""
)
"),"Tablet")</f>
        <v>Tablet</v>
      </c>
      <c r="O288" s="22" t="str">
        <f>IFERROR(__xludf.DUMMYFUNCTION("""COMPUTED_VALUE"""),"Estándar")</f>
        <v>Estándar</v>
      </c>
      <c r="P288" s="22" t="str">
        <f>IFERROR(__xludf.DUMMYFUNCTION("""COMPUTED_VALUE"""),"8GB")</f>
        <v>8GB</v>
      </c>
      <c r="Q288" s="23">
        <f t="shared" si="1"/>
        <v>1339.17</v>
      </c>
      <c r="R288" s="22">
        <f t="shared" si="2"/>
        <v>2</v>
      </c>
      <c r="S288" s="23">
        <f t="shared" si="3"/>
        <v>2678.34</v>
      </c>
      <c r="T288" s="22" t="str">
        <f>IFERROR(__xludf.DUMMYFUNCTION("PROPER(TRIM(
  LET(
    texto1, REGEXREPLACE(G288,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"),"Rebeca Salvador Gamez García")</f>
        <v>Rebeca Salvador Gamez García</v>
      </c>
      <c r="U288" s="22" t="str">
        <f t="shared" si="4"/>
        <v>53a9e98d-d57a-488e-bcec-701bc4e1ec3e</v>
      </c>
      <c r="V288" s="24" t="str">
        <f t="shared" si="5"/>
        <v>Tablet Estándar 8GB</v>
      </c>
    </row>
    <row r="289" ht="15.75" customHeight="1">
      <c r="A289" s="6">
        <v>45578.0</v>
      </c>
      <c r="B289" s="2" t="s">
        <v>1128</v>
      </c>
      <c r="C289" s="2" t="s">
        <v>45</v>
      </c>
      <c r="D289" s="7">
        <v>992.68</v>
      </c>
      <c r="E289" s="2">
        <v>5.0</v>
      </c>
      <c r="F289" s="7">
        <v>4963.4</v>
      </c>
      <c r="G289" s="2" t="s">
        <v>1129</v>
      </c>
      <c r="H289" s="2" t="s">
        <v>1130</v>
      </c>
      <c r="I289" s="2" t="s">
        <v>1131</v>
      </c>
      <c r="K289" s="25" t="str">
        <f>IFERROR(__xludf.DUMMYFUNCTION("IF(ISBLANK(A289),
  """",
  IF(ISNUMBER(A289),
    TEXT(A289,""dd/mm/yyyy""),
    IF(
      REGEXMATCH(TRIM(A289),""^\d{1,2}/\d{1,2}/\d{4}$""),
      TRIM(A289),
      IFERROR(
        TEXT(DATEVALUE(SUBSTITUTE(SUBSTITUTE(TRIM(A289),""-"",""/""),""."",""/"&amp;""")),""dd/mm/yyyy""),
        TRIM(A289)
      )
    )
  )
)
"),"13/10/2024")</f>
        <v>13/10/2024</v>
      </c>
      <c r="L289" s="26">
        <v>45578.0</v>
      </c>
      <c r="M289" s="27" t="str">
        <f>IFERROR(__xludf.DUMMYFUNCTION("PROPER(TRIM(
  REGEXREPLACE(
    REGEXREPLACE(
      SUBSTITUTE(SUBSTITUTE(SUBSTITUTE(SUBSTITUTE(SUBSTITUTE(SUBSTITUTE(SUBSTITUTE(SUBSTITUTE(SUBSTITUTE(SUBSTITUTE(SUBSTITUTE(
        B289,""√©"",""é""),""√°"",""á""),""√±"",""ñ""),""√≥"",""ó""),""√â"",""é"&amp;"""),""√Å"",""á""),""√ç"",""í""),""√Ç"",""Í""),""√Â"",""é""),""√≠"",""í""),""√º"",""ú""),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89" s="28" t="str">
        <f>IFERROR(__xludf.DUMMYFUNCTION("SPLIT(
  TRIM(
    SUBSTITUTE(
      SUBSTITUTE(
        SUBSTITUTE(
          SUBSTITUTE(
            C289,
            ""√©"", ""é""
          ),
          ""√±"", ""ñ""
        ),
        ""√°"", ""á""
      ),
      ""√≥"", ""ó""
    )
  ),
  ""-""
)
"),"Tablet")</f>
        <v>Tablet</v>
      </c>
      <c r="O289" s="28" t="str">
        <f>IFERROR(__xludf.DUMMYFUNCTION("""COMPUTED_VALUE"""),"Mini")</f>
        <v>Mini</v>
      </c>
      <c r="P289" s="28" t="str">
        <f>IFERROR(__xludf.DUMMYFUNCTION("""COMPUTED_VALUE"""),"4GB")</f>
        <v>4GB</v>
      </c>
      <c r="Q289" s="29">
        <f t="shared" si="1"/>
        <v>992.68</v>
      </c>
      <c r="R289" s="28">
        <f t="shared" si="2"/>
        <v>5</v>
      </c>
      <c r="S289" s="29">
        <f t="shared" si="3"/>
        <v>4963.4</v>
      </c>
      <c r="T289" s="28" t="str">
        <f>IFERROR(__xludf.DUMMYFUNCTION("PROPER(TRIM(
  LET(
    texto1, REGEXREPLACE(G289,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"),"Marcela Páez")</f>
        <v>Marcela Páez</v>
      </c>
      <c r="U289" s="28" t="str">
        <f t="shared" si="4"/>
        <v>e98e23f8-e415-4062-bdbb-4e90ecd252c4</v>
      </c>
      <c r="V289" s="30" t="str">
        <f t="shared" si="5"/>
        <v>Tablet Mini 4GB</v>
      </c>
    </row>
    <row r="290" ht="15.75" customHeight="1">
      <c r="A290" s="6">
        <v>45597.0</v>
      </c>
      <c r="B290" s="2" t="s">
        <v>27</v>
      </c>
      <c r="C290" s="2" t="s">
        <v>65</v>
      </c>
      <c r="D290" s="7">
        <v>2196.83</v>
      </c>
      <c r="E290" s="2">
        <v>5.0</v>
      </c>
      <c r="F290" s="7">
        <v>10984.15</v>
      </c>
      <c r="G290" s="2" t="s">
        <v>1132</v>
      </c>
      <c r="H290" s="2" t="s">
        <v>1133</v>
      </c>
      <c r="I290" s="2" t="s">
        <v>1134</v>
      </c>
      <c r="K290" s="19" t="str">
        <f>IFERROR(__xludf.DUMMYFUNCTION("IF(ISBLANK(A290),
  """",
  IF(ISNUMBER(A290),
    TEXT(A290,""dd/mm/yyyy""),
    IF(
      REGEXMATCH(TRIM(A290),""^\d{1,2}/\d{1,2}/\d{4}$""),
      TRIM(A290),
      IFERROR(
        TEXT(DATEVALUE(SUBSTITUTE(SUBSTITUTE(TRIM(A290),""-"",""/""),""."",""/"&amp;""")),""dd/mm/yyyy""),
        TRIM(A290)
      )
    )
  )
)
"),"01/11/2024")</f>
        <v>01/11/2024</v>
      </c>
      <c r="L290" s="20">
        <v>45597.0</v>
      </c>
      <c r="M290" s="21" t="str">
        <f>IFERROR(__xludf.DUMMYFUNCTION("PROPER(TRIM(
  REGEXREPLACE(
    REGEXREPLACE(
      SUBSTITUTE(SUBSTITUTE(SUBSTITUTE(SUBSTITUTE(SUBSTITUTE(SUBSTITUTE(SUBSTITUTE(SUBSTITUTE(SUBSTITUTE(SUBSTITUTE(SUBSTITUTE(
        B290,""√©"",""é""),""√°"",""á""),""√±"",""ñ""),""√≥"",""ó""),""√â"",""é"&amp;"""),""√Å"",""á""),""√ç"",""í""),""√Ç"",""Í""),""√Â"",""é""),""√≠"",""í""),""√º"",""ú""),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90" s="22" t="str">
        <f>IFERROR(__xludf.DUMMYFUNCTION("SPLIT(
  TRIM(
    SUBSTITUTE(
      SUBSTITUTE(
        SUBSTITUTE(
          SUBSTITUTE(
            C290,
            ""√©"", ""é""
          ),
          ""√±"", ""ñ""
        ),
        ""√°"", ""á""
      ),
      ""√≥"", ""ó""
    )
  ),
  ""-""
)
"),"Auriculares")</f>
        <v>Auriculares</v>
      </c>
      <c r="O290" s="22" t="str">
        <f>IFERROR(__xludf.DUMMYFUNCTION("""COMPUTED_VALUE"""),"Bluetooth")</f>
        <v>Bluetooth</v>
      </c>
      <c r="P290" s="22" t="str">
        <f>IFERROR(__xludf.DUMMYFUNCTION("""COMPUTED_VALUE"""),"16GB")</f>
        <v>16GB</v>
      </c>
      <c r="Q290" s="23">
        <f t="shared" si="1"/>
        <v>2196.83</v>
      </c>
      <c r="R290" s="22">
        <f t="shared" si="2"/>
        <v>5</v>
      </c>
      <c r="S290" s="23">
        <f t="shared" si="3"/>
        <v>10984.15</v>
      </c>
      <c r="T290" s="22" t="str">
        <f>IFERROR(__xludf.DUMMYFUNCTION("PROPER(TRIM(
  LET(
    texto1, REGEXREPLACE(G290,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"),"Frida Alba")</f>
        <v>Frida Alba</v>
      </c>
      <c r="U290" s="22" t="str">
        <f t="shared" si="4"/>
        <v>817537ef-9729-49a5-8458-d7108a639dab</v>
      </c>
      <c r="V290" s="24" t="str">
        <f t="shared" si="5"/>
        <v>Auriculares Bluetooth 16GB</v>
      </c>
    </row>
    <row r="291" ht="15.75" customHeight="1">
      <c r="A291" s="6">
        <v>45656.0</v>
      </c>
      <c r="B291" s="2" t="s">
        <v>85</v>
      </c>
      <c r="C291" s="2" t="s">
        <v>385</v>
      </c>
      <c r="D291" s="7">
        <v>895.6</v>
      </c>
      <c r="E291" s="2">
        <v>3.0</v>
      </c>
      <c r="F291" s="7">
        <v>2686.8</v>
      </c>
      <c r="G291" s="2" t="s">
        <v>1136</v>
      </c>
      <c r="H291" s="2" t="s">
        <v>1137</v>
      </c>
      <c r="I291" s="2" t="s">
        <v>1138</v>
      </c>
      <c r="K291" s="25" t="str">
        <f>IFERROR(__xludf.DUMMYFUNCTION("IF(ISBLANK(A291),
  """",
  IF(ISNUMBER(A291),
    TEXT(A291,""dd/mm/yyyy""),
    IF(
      REGEXMATCH(TRIM(A291),""^\d{1,2}/\d{1,2}/\d{4}$""),
      TRIM(A291),
      IFERROR(
        TEXT(DATEVALUE(SUBSTITUTE(SUBSTITUTE(TRIM(A291),""-"",""/""),""."",""/"&amp;""")),""dd/mm/yyyy""),
        TRIM(A291)
      )
    )
  )
)
"),"30/12/2024")</f>
        <v>30/12/2024</v>
      </c>
      <c r="L291" s="26">
        <v>45656.0</v>
      </c>
      <c r="M291" s="27" t="str">
        <f>IFERROR(__xludf.DUMMYFUNCTION("PROPER(TRIM(
  REGEXREPLACE(
    REGEXREPLACE(
      SUBSTITUTE(SUBSTITUTE(SUBSTITUTE(SUBSTITUTE(SUBSTITUTE(SUBSTITUTE(SUBSTITUTE(SUBSTITUTE(SUBSTITUTE(SUBSTITUTE(SUBSTITUTE(
        B291,""√©"",""é""),""√°"",""á""),""√±"",""ñ""),""√≥"",""ó""),""√â"",""é"&amp;"""),""√Å"",""á""),""√ç"",""í""),""√Ç"",""Í""),""√Â"",""é""),""√≠"",""í""),""√º"",""ú""),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291" s="28" t="str">
        <f>IFERROR(__xludf.DUMMYFUNCTION("SPLIT(
  TRIM(
    SUBSTITUTE(
      SUBSTITUTE(
        SUBSTITUTE(
          SUBSTITUTE(
            C291,
            ""√©"", ""é""
          ),
          ""√±"", ""ñ""
        ),
        ""√°"", ""á""
      ),
      ""√≥"", ""ó""
    )
  ),
  ""-""
)
"),"Tablet")</f>
        <v>Tablet</v>
      </c>
      <c r="O291" s="28" t="str">
        <f>IFERROR(__xludf.DUMMYFUNCTION("""COMPUTED_VALUE"""),"Estándar")</f>
        <v>Estándar</v>
      </c>
      <c r="P291" s="28" t="str">
        <f>IFERROR(__xludf.DUMMYFUNCTION("""COMPUTED_VALUE"""),"32GB")</f>
        <v>32GB</v>
      </c>
      <c r="Q291" s="29">
        <f t="shared" si="1"/>
        <v>895.6</v>
      </c>
      <c r="R291" s="28">
        <f t="shared" si="2"/>
        <v>3</v>
      </c>
      <c r="S291" s="29">
        <f t="shared" si="3"/>
        <v>2686.8</v>
      </c>
      <c r="T291" s="28" t="str">
        <f>IFERROR(__xludf.DUMMYFUNCTION("PROPER(TRIM(
  LET(
    texto1, REGEXREPLACE(G291,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"),"Guillermina Otero")</f>
        <v>Guillermina Otero</v>
      </c>
      <c r="U291" s="28" t="str">
        <f t="shared" si="4"/>
        <v>6b2a6d67-9ca9-4751-9892-59fbd4257856</v>
      </c>
      <c r="V291" s="30" t="str">
        <f t="shared" si="5"/>
        <v>Tablet Estándar 32GB</v>
      </c>
    </row>
    <row r="292" ht="15.75" customHeight="1">
      <c r="A292" s="6">
        <v>45571.0</v>
      </c>
      <c r="B292" s="2" t="s">
        <v>101</v>
      </c>
      <c r="C292" s="2" t="s">
        <v>360</v>
      </c>
      <c r="D292" s="7">
        <v>1280.61</v>
      </c>
      <c r="E292" s="2">
        <v>5.0</v>
      </c>
      <c r="F292" s="7">
        <v>6403.05</v>
      </c>
      <c r="G292" s="2" t="s">
        <v>1140</v>
      </c>
      <c r="H292" s="2" t="s">
        <v>1141</v>
      </c>
      <c r="I292" s="2" t="s">
        <v>1142</v>
      </c>
      <c r="K292" s="19" t="str">
        <f>IFERROR(__xludf.DUMMYFUNCTION("IF(ISBLANK(A292),
  """",
  IF(ISNUMBER(A292),
    TEXT(A292,""dd/mm/yyyy""),
    IF(
      REGEXMATCH(TRIM(A292),""^\d{1,2}/\d{1,2}/\d{4}$""),
      TRIM(A292),
      IFERROR(
        TEXT(DATEVALUE(SUBSTITUTE(SUBSTITUTE(TRIM(A292),""-"",""/""),""."",""/"&amp;""")),""dd/mm/yyyy""),
        TRIM(A292)
      )
    )
  )
)
"),"06/10/2024")</f>
        <v>06/10/2024</v>
      </c>
      <c r="L292" s="20">
        <v>45571.0</v>
      </c>
      <c r="M292" s="21" t="str">
        <f>IFERROR(__xludf.DUMMYFUNCTION("PROPER(TRIM(
  REGEXREPLACE(
    REGEXREPLACE(
      SUBSTITUTE(SUBSTITUTE(SUBSTITUTE(SUBSTITUTE(SUBSTITUTE(SUBSTITUTE(SUBSTITUTE(SUBSTITUTE(SUBSTITUTE(SUBSTITUTE(SUBSTITUTE(
        B292,""√©"",""é""),""√°"",""á""),""√±"",""ñ""),""√≥"",""ó""),""√â"",""é"&amp;"""),""√Å"",""á""),""√ç"",""í""),""√Ç"",""Í""),""√Â"",""é""),""√≠"",""í""),""√º"",""ú""),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292" s="22" t="str">
        <f>IFERROR(__xludf.DUMMYFUNCTION("SPLIT(
  TRIM(
    SUBSTITUTE(
      SUBSTITUTE(
        SUBSTITUTE(
          SUBSTITUTE(
            C292,
            ""√©"", ""é""
          ),
          ""√±"", ""ñ""
        ),
        ""√°"", ""á""
      ),
      ""√≥"", ""ó""
    )
  ),
  ""-""
)
"),"Tablet")</f>
        <v>Tablet</v>
      </c>
      <c r="O292" s="22" t="str">
        <f>IFERROR(__xludf.DUMMYFUNCTION("""COMPUTED_VALUE"""),"Estándar")</f>
        <v>Estándar</v>
      </c>
      <c r="P292" s="22" t="str">
        <f>IFERROR(__xludf.DUMMYFUNCTION("""COMPUTED_VALUE"""),"8GB")</f>
        <v>8GB</v>
      </c>
      <c r="Q292" s="23">
        <f t="shared" si="1"/>
        <v>1280.61</v>
      </c>
      <c r="R292" s="22">
        <f t="shared" si="2"/>
        <v>5</v>
      </c>
      <c r="S292" s="23">
        <f t="shared" si="3"/>
        <v>6403.05</v>
      </c>
      <c r="T292" s="22" t="str">
        <f>IFERROR(__xludf.DUMMYFUNCTION("PROPER(TRIM(
  LET(
    texto1, REGEXREPLACE(G292,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"),"Elena Zepeda")</f>
        <v>Elena Zepeda</v>
      </c>
      <c r="U292" s="22" t="str">
        <f t="shared" si="4"/>
        <v>7424e9fb-eb47-4eb6-b0ee-330eb470b214</v>
      </c>
      <c r="V292" s="24" t="str">
        <f t="shared" si="5"/>
        <v>Tablet Estándar 8GB</v>
      </c>
    </row>
    <row r="293" ht="15.75" customHeight="1">
      <c r="A293" s="6">
        <v>45639.0</v>
      </c>
      <c r="B293" s="2" t="s">
        <v>27</v>
      </c>
      <c r="C293" s="2" t="s">
        <v>250</v>
      </c>
      <c r="D293" s="7">
        <v>288.64</v>
      </c>
      <c r="E293" s="2">
        <v>1.0</v>
      </c>
      <c r="F293" s="7">
        <v>288.64</v>
      </c>
      <c r="G293" s="2" t="s">
        <v>1143</v>
      </c>
      <c r="H293" s="2" t="s">
        <v>1144</v>
      </c>
      <c r="I293" s="2" t="s">
        <v>1145</v>
      </c>
      <c r="K293" s="25" t="str">
        <f>IFERROR(__xludf.DUMMYFUNCTION("IF(ISBLANK(A293),
  """",
  IF(ISNUMBER(A293),
    TEXT(A293,""dd/mm/yyyy""),
    IF(
      REGEXMATCH(TRIM(A293),""^\d{1,2}/\d{1,2}/\d{4}$""),
      TRIM(A293),
      IFERROR(
        TEXT(DATEVALUE(SUBSTITUTE(SUBSTITUTE(TRIM(A293),""-"",""/""),""."",""/"&amp;""")),""dd/mm/yyyy""),
        TRIM(A293)
      )
    )
  )
)
"),"13/12/2024")</f>
        <v>13/12/2024</v>
      </c>
      <c r="L293" s="26">
        <v>45639.0</v>
      </c>
      <c r="M293" s="27" t="str">
        <f>IFERROR(__xludf.DUMMYFUNCTION("PROPER(TRIM(
  REGEXREPLACE(
    REGEXREPLACE(
      SUBSTITUTE(SUBSTITUTE(SUBSTITUTE(SUBSTITUTE(SUBSTITUTE(SUBSTITUTE(SUBSTITUTE(SUBSTITUTE(SUBSTITUTE(SUBSTITUTE(SUBSTITUTE(
        B293,""√©"",""é""),""√°"",""á""),""√±"",""ñ""),""√≥"",""ó""),""√â"",""é"&amp;"""),""√Å"",""á""),""√ç"",""í""),""√Ç"",""Í""),""√Â"",""é""),""√≠"",""í""),""√º"",""ú""),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293" s="28" t="str">
        <f>IFERROR(__xludf.DUMMYFUNCTION("SPLIT(
  TRIM(
    SUBSTITUTE(
      SUBSTITUTE(
        SUBSTITUTE(
          SUBSTITUTE(
            C293,
            ""√©"", ""é""
          ),
          ""√±"", ""ñ""
        ),
        ""√°"", ""á""
      ),
      ""√≥"", ""ó""
    )
  ),
  ""-""
)
"),"Laptop")</f>
        <v>Laptop</v>
      </c>
      <c r="O293" s="28" t="str">
        <f>IFERROR(__xludf.DUMMYFUNCTION("""COMPUTED_VALUE"""),"Oficina")</f>
        <v>Oficina</v>
      </c>
      <c r="P293" s="28" t="str">
        <f>IFERROR(__xludf.DUMMYFUNCTION("""COMPUTED_VALUE"""),"32GB")</f>
        <v>32GB</v>
      </c>
      <c r="Q293" s="29">
        <f t="shared" si="1"/>
        <v>288.64</v>
      </c>
      <c r="R293" s="28">
        <f t="shared" si="2"/>
        <v>1</v>
      </c>
      <c r="S293" s="29">
        <f t="shared" si="3"/>
        <v>288.64</v>
      </c>
      <c r="T293" s="28" t="str">
        <f>IFERROR(__xludf.DUMMYFUNCTION("PROPER(TRIM(
  LET(
    texto1, REGEXREPLACE(G293,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"),"Karina Nñez")</f>
        <v>Karina Nñez</v>
      </c>
      <c r="U293" s="28" t="str">
        <f t="shared" si="4"/>
        <v>650656a9-a043-47bc-ae91-0380ba19f6d1</v>
      </c>
      <c r="V293" s="30" t="str">
        <f t="shared" si="5"/>
        <v>Laptop Oficina 32GB</v>
      </c>
    </row>
    <row r="294" ht="15.75" customHeight="1">
      <c r="A294" s="6">
        <v>45601.0</v>
      </c>
      <c r="B294" s="2" t="s">
        <v>50</v>
      </c>
      <c r="C294" s="2" t="s">
        <v>162</v>
      </c>
      <c r="D294" s="7">
        <v>2092.87</v>
      </c>
      <c r="E294" s="2">
        <v>4.0</v>
      </c>
      <c r="F294" s="7">
        <v>8371.48</v>
      </c>
      <c r="G294" s="2" t="s">
        <v>1146</v>
      </c>
      <c r="H294" s="2" t="s">
        <v>1147</v>
      </c>
      <c r="I294" s="2" t="s">
        <v>1148</v>
      </c>
      <c r="K294" s="19" t="str">
        <f>IFERROR(__xludf.DUMMYFUNCTION("IF(ISBLANK(A294),
  """",
  IF(ISNUMBER(A294),
    TEXT(A294,""dd/mm/yyyy""),
    IF(
      REGEXMATCH(TRIM(A294),""^\d{1,2}/\d{1,2}/\d{4}$""),
      TRIM(A294),
      IFERROR(
        TEXT(DATEVALUE(SUBSTITUTE(SUBSTITUTE(TRIM(A294),""-"",""/""),""."",""/"&amp;""")),""dd/mm/yyyy""),
        TRIM(A294)
      )
    )
  )
)
"),"05/11/2024")</f>
        <v>05/11/2024</v>
      </c>
      <c r="L294" s="20">
        <v>45601.0</v>
      </c>
      <c r="M294" s="21" t="str">
        <f>IFERROR(__xludf.DUMMYFUNCTION("PROPER(TRIM(
  REGEXREPLACE(
    REGEXREPLACE(
      SUBSTITUTE(SUBSTITUTE(SUBSTITUTE(SUBSTITUTE(SUBSTITUTE(SUBSTITUTE(SUBSTITUTE(SUBSTITUTE(SUBSTITUTE(SUBSTITUTE(SUBSTITUTE(
        B294,""√©"",""é""),""√°"",""á""),""√±"",""ñ""),""√≥"",""ó""),""√â"",""é"&amp;"""),""√Å"",""á""),""√ç"",""í""),""√Ç"",""Í""),""√Â"",""é""),""√≠"",""í""),""√º"",""ú""),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94" s="22" t="str">
        <f>IFERROR(__xludf.DUMMYFUNCTION("SPLIT(
  TRIM(
    SUBSTITUTE(
      SUBSTITUTE(
        SUBSTITUTE(
          SUBSTITUTE(
            C294,
            ""√©"", ""é""
          ),
          ""√±"", ""ñ""
        ),
        ""√°"", ""á""
      ),
      ""√≥"", ""ó""
    )
  ),
  ""-""
)
"),"Teléfono")</f>
        <v>Teléfono</v>
      </c>
      <c r="O294" s="22" t="str">
        <f>IFERROR(__xludf.DUMMYFUNCTION("""COMPUTED_VALUE"""),"Gama alta")</f>
        <v>Gama alta</v>
      </c>
      <c r="P294" s="22" t="str">
        <f>IFERROR(__xludf.DUMMYFUNCTION("""COMPUTED_VALUE"""),"16GB")</f>
        <v>16GB</v>
      </c>
      <c r="Q294" s="23">
        <f t="shared" si="1"/>
        <v>2092.87</v>
      </c>
      <c r="R294" s="22">
        <f t="shared" si="2"/>
        <v>4</v>
      </c>
      <c r="S294" s="23">
        <f t="shared" si="3"/>
        <v>8371.48</v>
      </c>
      <c r="T294" s="22" t="str">
        <f>IFERROR(__xludf.DUMMYFUNCTION("PROPER(TRIM(
  LET(
    texto1, REGEXREPLACE(G294,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"),"Reynaldo Darío Rivas")</f>
        <v>Reynaldo Darío Rivas</v>
      </c>
      <c r="U294" s="22" t="str">
        <f t="shared" si="4"/>
        <v>357c27a8-d03f-45e6-be30-3565ec6d4ff5</v>
      </c>
      <c r="V294" s="24" t="str">
        <f t="shared" si="5"/>
        <v>Teléfono Gama alta 16GB</v>
      </c>
    </row>
    <row r="295" ht="15.75" customHeight="1">
      <c r="A295" s="6">
        <v>45591.0</v>
      </c>
      <c r="B295" s="2" t="s">
        <v>16</v>
      </c>
      <c r="C295" s="2" t="s">
        <v>807</v>
      </c>
      <c r="D295" s="7">
        <v>1631.22</v>
      </c>
      <c r="E295" s="2">
        <v>5.0</v>
      </c>
      <c r="F295" s="7">
        <v>8156.1</v>
      </c>
      <c r="G295" s="2" t="s">
        <v>1149</v>
      </c>
      <c r="H295" s="2" t="s">
        <v>1150</v>
      </c>
      <c r="I295" s="2" t="s">
        <v>1151</v>
      </c>
      <c r="K295" s="25" t="str">
        <f>IFERROR(__xludf.DUMMYFUNCTION("IF(ISBLANK(A295),
  """",
  IF(ISNUMBER(A295),
    TEXT(A295,""dd/mm/yyyy""),
    IF(
      REGEXMATCH(TRIM(A295),""^\d{1,2}/\d{1,2}/\d{4}$""),
      TRIM(A295),
      IFERROR(
        TEXT(DATEVALUE(SUBSTITUTE(SUBSTITUTE(TRIM(A295),""-"",""/""),""."",""/"&amp;""")),""dd/mm/yyyy""),
        TRIM(A295)
      )
    )
  )
)
"),"26/10/2024")</f>
        <v>26/10/2024</v>
      </c>
      <c r="L295" s="26">
        <v>45591.0</v>
      </c>
      <c r="M295" s="27" t="str">
        <f>IFERROR(__xludf.DUMMYFUNCTION("PROPER(TRIM(
  REGEXREPLACE(
    REGEXREPLACE(
      SUBSTITUTE(SUBSTITUTE(SUBSTITUTE(SUBSTITUTE(SUBSTITUTE(SUBSTITUTE(SUBSTITUTE(SUBSTITUTE(SUBSTITUTE(SUBSTITUTE(SUBSTITUTE(
        B295,""√©"",""é""),""√°"",""á""),""√±"",""ñ""),""√≥"",""ó""),""√â"",""é"&amp;"""),""√Å"",""á""),""√ç"",""í""),""√Ç"",""Í""),""√Â"",""é""),""√≠"",""í""),""√º"",""ú""),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295" s="28" t="str">
        <f>IFERROR(__xludf.DUMMYFUNCTION("SPLIT(
  TRIM(
    SUBSTITUTE(
      SUBSTITUTE(
        SUBSTITUTE(
          SUBSTITUTE(
            C295,
            ""√©"", ""é""
          ),
          ""√±"", ""ñ""
        ),
        ""√°"", ""á""
      ),
      ""√≥"", ""ó""
    )
  ),
  ""-""
)
"),"Auriculares")</f>
        <v>Auriculares</v>
      </c>
      <c r="O295" s="28" t="str">
        <f>IFERROR(__xludf.DUMMYFUNCTION("""COMPUTED_VALUE"""),"Con cable")</f>
        <v>Con cable</v>
      </c>
      <c r="P295" s="28" t="str">
        <f>IFERROR(__xludf.DUMMYFUNCTION("""COMPUTED_VALUE"""),"4GB")</f>
        <v>4GB</v>
      </c>
      <c r="Q295" s="29">
        <f t="shared" si="1"/>
        <v>1631.22</v>
      </c>
      <c r="R295" s="28">
        <f t="shared" si="2"/>
        <v>5</v>
      </c>
      <c r="S295" s="29">
        <f t="shared" si="3"/>
        <v>8156.1</v>
      </c>
      <c r="T295" s="28" t="str">
        <f>IFERROR(__xludf.DUMMYFUNCTION("PROPER(TRIM(
  LET(
    texto1, REGEXREPLACE(G295,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Colunga")</f>
        <v>Carmen Colunga</v>
      </c>
      <c r="U295" s="28" t="str">
        <f t="shared" si="4"/>
        <v>95e49e46-be39-496b-8a9b-52bd39505406</v>
      </c>
      <c r="V295" s="30" t="str">
        <f t="shared" si="5"/>
        <v>Auriculares Con cable 4GB</v>
      </c>
    </row>
    <row r="296" ht="15.75" customHeight="1">
      <c r="A296" s="6">
        <v>45651.0</v>
      </c>
      <c r="B296" s="2" t="s">
        <v>38</v>
      </c>
      <c r="C296" s="2" t="s">
        <v>86</v>
      </c>
      <c r="D296" s="7">
        <v>1068.29</v>
      </c>
      <c r="E296" s="2">
        <v>4.0</v>
      </c>
      <c r="F296" s="7">
        <v>4273.16</v>
      </c>
      <c r="G296" s="2" t="s">
        <v>1152</v>
      </c>
      <c r="H296" s="2" t="s">
        <v>1153</v>
      </c>
      <c r="I296" s="2" t="s">
        <v>1154</v>
      </c>
      <c r="K296" s="19" t="str">
        <f>IFERROR(__xludf.DUMMYFUNCTION("IF(ISBLANK(A296),
  """",
  IF(ISNUMBER(A296),
    TEXT(A296,""dd/mm/yyyy""),
    IF(
      REGEXMATCH(TRIM(A296),""^\d{1,2}/\d{1,2}/\d{4}$""),
      TRIM(A296),
      IFERROR(
        TEXT(DATEVALUE(SUBSTITUTE(SUBSTITUTE(TRIM(A296),""-"",""/""),""."",""/"&amp;""")),""dd/mm/yyyy""),
        TRIM(A296)
      )
    )
  )
)
"),"25/12/2024")</f>
        <v>25/12/2024</v>
      </c>
      <c r="L296" s="20">
        <v>45651.0</v>
      </c>
      <c r="M296" s="21" t="str">
        <f>IFERROR(__xludf.DUMMYFUNCTION("PROPER(TRIM(
  REGEXREPLACE(
    REGEXREPLACE(
      SUBSTITUTE(SUBSTITUTE(SUBSTITUTE(SUBSTITUTE(SUBSTITUTE(SUBSTITUTE(SUBSTITUTE(SUBSTITUTE(SUBSTITUTE(SUBSTITUTE(SUBSTITUTE(
        B296,""√©"",""é""),""√°"",""á""),""√±"",""ñ""),""√≥"",""ó""),""√â"",""é"&amp;"""),""√Å"",""á""),""√ç"",""í""),""√Ç"",""Í""),""√Â"",""é""),""√≠"",""í""),""√º"",""ú""),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96" s="22" t="str">
        <f>IFERROR(__xludf.DUMMYFUNCTION("SPLIT(
  TRIM(
    SUBSTITUTE(
      SUBSTITUTE(
        SUBSTITUTE(
          SUBSTITUTE(
            C296,
            ""√©"", ""é""
          ),
          ""√±"", ""ñ""
        ),
        ""√°"", ""á""
      ),
      ""√≥"", ""ó""
    )
  ),
  ""-""
)
"),"Tablet")</f>
        <v>Tablet</v>
      </c>
      <c r="O296" s="22" t="str">
        <f>IFERROR(__xludf.DUMMYFUNCTION("""COMPUTED_VALUE"""),"Pro")</f>
        <v>Pro</v>
      </c>
      <c r="P296" s="22" t="str">
        <f>IFERROR(__xludf.DUMMYFUNCTION("""COMPUTED_VALUE"""),"32GB")</f>
        <v>32GB</v>
      </c>
      <c r="Q296" s="23">
        <f t="shared" si="1"/>
        <v>1068.29</v>
      </c>
      <c r="R296" s="22">
        <f t="shared" si="2"/>
        <v>4</v>
      </c>
      <c r="S296" s="23">
        <f t="shared" si="3"/>
        <v>4273.16</v>
      </c>
      <c r="T296" s="22" t="str">
        <f>IFERROR(__xludf.DUMMYFUNCTION("PROPER(TRIM(
  LET(
    texto1, REGEXREPLACE(G296,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"),"Federico Alfaro")</f>
        <v>Federico Alfaro</v>
      </c>
      <c r="U296" s="22" t="str">
        <f t="shared" si="4"/>
        <v>b847cf15-a430-4067-b4ba-2bca14b1ebd1</v>
      </c>
      <c r="V296" s="24" t="str">
        <f t="shared" si="5"/>
        <v>Tablet Pro 32GB</v>
      </c>
    </row>
    <row r="297" ht="15.75" customHeight="1">
      <c r="A297" s="6">
        <v>45612.0</v>
      </c>
      <c r="B297" s="2" t="s">
        <v>38</v>
      </c>
      <c r="C297" s="2" t="s">
        <v>39</v>
      </c>
      <c r="D297" s="7">
        <v>1216.59</v>
      </c>
      <c r="E297" s="2">
        <v>3.0</v>
      </c>
      <c r="F297" s="7">
        <v>3649.77</v>
      </c>
      <c r="G297" s="2" t="s">
        <v>1155</v>
      </c>
      <c r="H297" s="2" t="s">
        <v>1156</v>
      </c>
      <c r="I297" s="2" t="s">
        <v>1157</v>
      </c>
      <c r="K297" s="25" t="str">
        <f>IFERROR(__xludf.DUMMYFUNCTION("IF(ISBLANK(A297),
  """",
  IF(ISNUMBER(A297),
    TEXT(A297,""dd/mm/yyyy""),
    IF(
      REGEXMATCH(TRIM(A297),""^\d{1,2}/\d{1,2}/\d{4}$""),
      TRIM(A297),
      IFERROR(
        TEXT(DATEVALUE(SUBSTITUTE(SUBSTITUTE(TRIM(A297),""-"",""/""),""."",""/"&amp;""")),""dd/mm/yyyy""),
        TRIM(A297)
      )
    )
  )
)
"),"16/11/2024")</f>
        <v>16/11/2024</v>
      </c>
      <c r="L297" s="26">
        <v>45612.0</v>
      </c>
      <c r="M297" s="27" t="str">
        <f>IFERROR(__xludf.DUMMYFUNCTION("PROPER(TRIM(
  REGEXREPLACE(
    REGEXREPLACE(
      SUBSTITUTE(SUBSTITUTE(SUBSTITUTE(SUBSTITUTE(SUBSTITUTE(SUBSTITUTE(SUBSTITUTE(SUBSTITUTE(SUBSTITUTE(SUBSTITUTE(SUBSTITUTE(
        B297,""√©"",""é""),""√°"",""á""),""√±"",""ñ""),""√≥"",""ó""),""√â"",""é"&amp;"""),""√Å"",""á""),""√ç"",""í""),""√Ç"",""Í""),""√Â"",""é""),""√≠"",""í""),""√º"",""ú""),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97" s="28" t="str">
        <f>IFERROR(__xludf.DUMMYFUNCTION("SPLIT(
  TRIM(
    SUBSTITUTE(
      SUBSTITUTE(
        SUBSTITUTE(
          SUBSTITUTE(
            C297,
            ""√©"", ""é""
          ),
          ""√±"", ""ñ""
        ),
        ""√°"", ""á""
      ),
      ""√≥"", ""ó""
    )
  ),
  ""-""
)
"),"Teléfono")</f>
        <v>Teléfono</v>
      </c>
      <c r="O297" s="28" t="str">
        <f>IFERROR(__xludf.DUMMYFUNCTION("""COMPUTED_VALUE"""),"Gama alta")</f>
        <v>Gama alta</v>
      </c>
      <c r="P297" s="28" t="str">
        <f>IFERROR(__xludf.DUMMYFUNCTION("""COMPUTED_VALUE"""),"8GB")</f>
        <v>8GB</v>
      </c>
      <c r="Q297" s="29">
        <f t="shared" si="1"/>
        <v>1216.59</v>
      </c>
      <c r="R297" s="28">
        <f t="shared" si="2"/>
        <v>3</v>
      </c>
      <c r="S297" s="29">
        <f t="shared" si="3"/>
        <v>3649.77</v>
      </c>
      <c r="T297" s="28" t="str">
        <f>IFERROR(__xludf.DUMMYFUNCTION("PROPER(TRIM(
  LET(
    texto1, REGEXREPLACE(G297,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"),"Andrea Ríos")</f>
        <v>Andrea Ríos</v>
      </c>
      <c r="U297" s="28" t="str">
        <f t="shared" si="4"/>
        <v>c433376a-096b-4d0c-b385-da369f628996</v>
      </c>
      <c r="V297" s="30" t="str">
        <f t="shared" si="5"/>
        <v>Teléfono Gama alta 8GB</v>
      </c>
    </row>
    <row r="298" ht="15.75" customHeight="1">
      <c r="A298" s="6">
        <v>45633.0</v>
      </c>
      <c r="B298" s="2" t="s">
        <v>38</v>
      </c>
      <c r="C298" s="2" t="s">
        <v>250</v>
      </c>
      <c r="D298" s="7">
        <v>979.2</v>
      </c>
      <c r="E298" s="2">
        <v>5.0</v>
      </c>
      <c r="F298" s="7">
        <v>4896.0</v>
      </c>
      <c r="G298" s="2" t="s">
        <v>1159</v>
      </c>
      <c r="H298" s="2" t="s">
        <v>1160</v>
      </c>
      <c r="I298" s="2" t="s">
        <v>1161</v>
      </c>
      <c r="K298" s="19" t="str">
        <f>IFERROR(__xludf.DUMMYFUNCTION("IF(ISBLANK(A298),
  """",
  IF(ISNUMBER(A298),
    TEXT(A298,""dd/mm/yyyy""),
    IF(
      REGEXMATCH(TRIM(A298),""^\d{1,2}/\d{1,2}/\d{4}$""),
      TRIM(A298),
      IFERROR(
        TEXT(DATEVALUE(SUBSTITUTE(SUBSTITUTE(TRIM(A298),""-"",""/""),""."",""/"&amp;""")),""dd/mm/yyyy""),
        TRIM(A298)
      )
    )
  )
)
"),"07/12/2024")</f>
        <v>07/12/2024</v>
      </c>
      <c r="L298" s="20">
        <v>45633.0</v>
      </c>
      <c r="M298" s="21" t="str">
        <f>IFERROR(__xludf.DUMMYFUNCTION("PROPER(TRIM(
  REGEXREPLACE(
    REGEXREPLACE(
      SUBSTITUTE(SUBSTITUTE(SUBSTITUTE(SUBSTITUTE(SUBSTITUTE(SUBSTITUTE(SUBSTITUTE(SUBSTITUTE(SUBSTITUTE(SUBSTITUTE(SUBSTITUTE(
        B298,""√©"",""é""),""√°"",""á""),""√±"",""ñ""),""√≥"",""ó""),""√â"",""é"&amp;"""),""√Å"",""á""),""√ç"",""í""),""√Ç"",""Í""),""√Â"",""é""),""√≠"",""í""),""√º"",""ú""),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298" s="22" t="str">
        <f>IFERROR(__xludf.DUMMYFUNCTION("SPLIT(
  TRIM(
    SUBSTITUTE(
      SUBSTITUTE(
        SUBSTITUTE(
          SUBSTITUTE(
            C298,
            ""√©"", ""é""
          ),
          ""√±"", ""ñ""
        ),
        ""√°"", ""á""
      ),
      ""√≥"", ""ó""
    )
  ),
  ""-""
)
"),"Laptop")</f>
        <v>Laptop</v>
      </c>
      <c r="O298" s="22" t="str">
        <f>IFERROR(__xludf.DUMMYFUNCTION("""COMPUTED_VALUE"""),"Oficina")</f>
        <v>Oficina</v>
      </c>
      <c r="P298" s="22" t="str">
        <f>IFERROR(__xludf.DUMMYFUNCTION("""COMPUTED_VALUE"""),"32GB")</f>
        <v>32GB</v>
      </c>
      <c r="Q298" s="23">
        <f t="shared" si="1"/>
        <v>979.2</v>
      </c>
      <c r="R298" s="22">
        <f t="shared" si="2"/>
        <v>5</v>
      </c>
      <c r="S298" s="23">
        <f t="shared" si="3"/>
        <v>4896</v>
      </c>
      <c r="T298" s="22" t="str">
        <f>IFERROR(__xludf.DUMMYFUNCTION("PROPER(TRIM(
  LET(
    texto1, REGEXREPLACE(G298,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"),"Eugenia Zambrano Casas")</f>
        <v>Eugenia Zambrano Casas</v>
      </c>
      <c r="U298" s="22" t="str">
        <f t="shared" si="4"/>
        <v>ae03b614-5581-49d6-bb73-db61d22a7b6c</v>
      </c>
      <c r="V298" s="24" t="str">
        <f t="shared" si="5"/>
        <v>Laptop Oficina 32GB</v>
      </c>
    </row>
    <row r="299" ht="15.75" customHeight="1">
      <c r="A299" s="6">
        <v>45620.0</v>
      </c>
      <c r="B299" s="2" t="s">
        <v>50</v>
      </c>
      <c r="C299" s="2" t="s">
        <v>1015</v>
      </c>
      <c r="D299" s="7">
        <v>1752.21</v>
      </c>
      <c r="E299" s="2">
        <v>4.0</v>
      </c>
      <c r="F299" s="7">
        <v>7008.84</v>
      </c>
      <c r="G299" s="2" t="s">
        <v>1162</v>
      </c>
      <c r="H299" s="2" t="s">
        <v>1163</v>
      </c>
      <c r="I299" s="2" t="s">
        <v>1164</v>
      </c>
      <c r="K299" s="25" t="str">
        <f>IFERROR(__xludf.DUMMYFUNCTION("IF(ISBLANK(A299),
  """",
  IF(ISNUMBER(A299),
    TEXT(A299,""dd/mm/yyyy""),
    IF(
      REGEXMATCH(TRIM(A299),""^\d{1,2}/\d{1,2}/\d{4}$""),
      TRIM(A299),
      IFERROR(
        TEXT(DATEVALUE(SUBSTITUTE(SUBSTITUTE(TRIM(A299),""-"",""/""),""."",""/"&amp;""")),""dd/mm/yyyy""),
        TRIM(A299)
      )
    )
  )
)
"),"24/11/2024")</f>
        <v>24/11/2024</v>
      </c>
      <c r="L299" s="26">
        <v>45620.0</v>
      </c>
      <c r="M299" s="27" t="str">
        <f>IFERROR(__xludf.DUMMYFUNCTION("PROPER(TRIM(
  REGEXREPLACE(
    REGEXREPLACE(
      SUBSTITUTE(SUBSTITUTE(SUBSTITUTE(SUBSTITUTE(SUBSTITUTE(SUBSTITUTE(SUBSTITUTE(SUBSTITUTE(SUBSTITUTE(SUBSTITUTE(SUBSTITUTE(
        B299,""√©"",""é""),""√°"",""á""),""√±"",""ñ""),""√≥"",""ó""),""√â"",""é"&amp;"""),""√Å"",""á""),""√ç"",""í""),""√Ç"",""Í""),""√Â"",""é""),""√≠"",""í""),""√º"",""ú""),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299" s="28" t="str">
        <f>IFERROR(__xludf.DUMMYFUNCTION("SPLIT(
  TRIM(
    SUBSTITUTE(
      SUBSTITUTE(
        SUBSTITUTE(
          SUBSTITUTE(
            C299,
            ""√©"", ""é""
          ),
          ""√±"", ""ñ""
        ),
        ""√°"", ""á""
      ),
      ""√≥"", ""ó""
    )
  ),
  ""-""
)
"),"Auriculares")</f>
        <v>Auriculares</v>
      </c>
      <c r="O299" s="28" t="str">
        <f>IFERROR(__xludf.DUMMYFUNCTION("""COMPUTED_VALUE"""),"Bluetooth")</f>
        <v>Bluetooth</v>
      </c>
      <c r="P299" s="28" t="str">
        <f>IFERROR(__xludf.DUMMYFUNCTION("""COMPUTED_VALUE"""),"32GB")</f>
        <v>32GB</v>
      </c>
      <c r="Q299" s="29">
        <f t="shared" si="1"/>
        <v>1752.21</v>
      </c>
      <c r="R299" s="28">
        <f t="shared" si="2"/>
        <v>4</v>
      </c>
      <c r="S299" s="29">
        <f t="shared" si="3"/>
        <v>7008.84</v>
      </c>
      <c r="T299" s="28" t="str">
        <f>IFERROR(__xludf.DUMMYFUNCTION("PROPER(TRIM(
  LET(
    texto1, REGEXREPLACE(G299,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Luis Ana María Robledo Cortés")</f>
        <v>José Luis Ana María Robledo Cortés</v>
      </c>
      <c r="U299" s="28" t="str">
        <f t="shared" si="4"/>
        <v>055f940c-62c7-485e-a8a9-6e6970c4bd9d</v>
      </c>
      <c r="V299" s="30" t="str">
        <f t="shared" si="5"/>
        <v>Auriculares Bluetooth 32GB</v>
      </c>
    </row>
    <row r="300" ht="15.75" customHeight="1">
      <c r="A300" s="6">
        <v>45580.0</v>
      </c>
      <c r="B300" s="2" t="s">
        <v>50</v>
      </c>
      <c r="C300" s="2" t="s">
        <v>385</v>
      </c>
      <c r="D300" s="7">
        <v>2381.87</v>
      </c>
      <c r="E300" s="2">
        <v>1.0</v>
      </c>
      <c r="F300" s="7">
        <v>2381.87</v>
      </c>
      <c r="G300" s="2" t="s">
        <v>1166</v>
      </c>
      <c r="H300" s="2" t="s">
        <v>1167</v>
      </c>
      <c r="I300" s="2" t="s">
        <v>1168</v>
      </c>
      <c r="K300" s="19" t="str">
        <f>IFERROR(__xludf.DUMMYFUNCTION("IF(ISBLANK(A300),
  """",
  IF(ISNUMBER(A300),
    TEXT(A300,""dd/mm/yyyy""),
    IF(
      REGEXMATCH(TRIM(A300),""^\d{1,2}/\d{1,2}/\d{4}$""),
      TRIM(A300),
      IFERROR(
        TEXT(DATEVALUE(SUBSTITUTE(SUBSTITUTE(TRIM(A300),""-"",""/""),""."",""/"&amp;""")),""dd/mm/yyyy""),
        TRIM(A300)
      )
    )
  )
)
"),"15/10/2024")</f>
        <v>15/10/2024</v>
      </c>
      <c r="L300" s="20">
        <v>45580.0</v>
      </c>
      <c r="M300" s="21" t="str">
        <f>IFERROR(__xludf.DUMMYFUNCTION("PROPER(TRIM(
  REGEXREPLACE(
    REGEXREPLACE(
      SUBSTITUTE(SUBSTITUTE(SUBSTITUTE(SUBSTITUTE(SUBSTITUTE(SUBSTITUTE(SUBSTITUTE(SUBSTITUTE(SUBSTITUTE(SUBSTITUTE(SUBSTITUTE(
        B300,""√©"",""é""),""√°"",""á""),""√±"",""ñ""),""√≥"",""ó""),""√â"",""é"&amp;"""),""√Å"",""á""),""√ç"",""í""),""√Ç"",""Í""),""√Â"",""é""),""√≠"",""í""),""√º"",""ú""),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00" s="22" t="str">
        <f>IFERROR(__xludf.DUMMYFUNCTION("SPLIT(
  TRIM(
    SUBSTITUTE(
      SUBSTITUTE(
        SUBSTITUTE(
          SUBSTITUTE(
            C300,
            ""√©"", ""é""
          ),
          ""√±"", ""ñ""
        ),
        ""√°"", ""á""
      ),
      ""√≥"", ""ó""
    )
  ),
  ""-""
)
"),"Tablet")</f>
        <v>Tablet</v>
      </c>
      <c r="O300" s="22" t="str">
        <f>IFERROR(__xludf.DUMMYFUNCTION("""COMPUTED_VALUE"""),"Estándar")</f>
        <v>Estándar</v>
      </c>
      <c r="P300" s="22" t="str">
        <f>IFERROR(__xludf.DUMMYFUNCTION("""COMPUTED_VALUE"""),"32GB")</f>
        <v>32GB</v>
      </c>
      <c r="Q300" s="23">
        <f t="shared" si="1"/>
        <v>2381.87</v>
      </c>
      <c r="R300" s="22">
        <f t="shared" si="2"/>
        <v>1</v>
      </c>
      <c r="S300" s="23">
        <f t="shared" si="3"/>
        <v>2381.87</v>
      </c>
      <c r="T300" s="22" t="str">
        <f>IFERROR(__xludf.DUMMYFUNCTION("PROPER(TRIM(
  LET(
    texto1, REGEXREPLACE(G300,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"),"Julio César Collazo")</f>
        <v>Julio César Collazo</v>
      </c>
      <c r="U300" s="22" t="str">
        <f t="shared" si="4"/>
        <v>be245970-0c63-4d78-ae9d-e25f66cad9cf</v>
      </c>
      <c r="V300" s="24" t="str">
        <f t="shared" si="5"/>
        <v>Tablet Estándar 32GB</v>
      </c>
    </row>
    <row r="301" ht="15.75" customHeight="1">
      <c r="A301" s="6">
        <v>45655.0</v>
      </c>
      <c r="B301" s="2" t="s">
        <v>16</v>
      </c>
      <c r="C301" s="2" t="s">
        <v>33</v>
      </c>
      <c r="D301" s="7">
        <v>173.98</v>
      </c>
      <c r="E301" s="2">
        <v>4.0</v>
      </c>
      <c r="F301" s="7">
        <v>695.92</v>
      </c>
      <c r="G301" s="2" t="s">
        <v>1169</v>
      </c>
      <c r="H301" s="2" t="s">
        <v>1170</v>
      </c>
      <c r="I301" s="2" t="s">
        <v>1171</v>
      </c>
      <c r="K301" s="25" t="str">
        <f>IFERROR(__xludf.DUMMYFUNCTION("IF(ISBLANK(A301),
  """",
  IF(ISNUMBER(A301),
    TEXT(A301,""dd/mm/yyyy""),
    IF(
      REGEXMATCH(TRIM(A301),""^\d{1,2}/\d{1,2}/\d{4}$""),
      TRIM(A301),
      IFERROR(
        TEXT(DATEVALUE(SUBSTITUTE(SUBSTITUTE(TRIM(A301),""-"",""/""),""."",""/"&amp;""")),""dd/mm/yyyy""),
        TRIM(A301)
      )
    )
  )
)
"),"29/12/2024")</f>
        <v>29/12/2024</v>
      </c>
      <c r="L301" s="26">
        <v>45655.0</v>
      </c>
      <c r="M301" s="27" t="str">
        <f>IFERROR(__xludf.DUMMYFUNCTION("PROPER(TRIM(
  REGEXREPLACE(
    REGEXREPLACE(
      SUBSTITUTE(SUBSTITUTE(SUBSTITUTE(SUBSTITUTE(SUBSTITUTE(SUBSTITUTE(SUBSTITUTE(SUBSTITUTE(SUBSTITUTE(SUBSTITUTE(SUBSTITUTE(
        B301,""√©"",""é""),""√°"",""á""),""√±"",""ñ""),""√≥"",""ó""),""√â"",""é"&amp;"""),""√Å"",""á""),""√ç"",""í""),""√Ç"",""Í""),""√Â"",""é""),""√≠"",""í""),""√º"",""ú""),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01" s="28" t="str">
        <f>IFERROR(__xludf.DUMMYFUNCTION("SPLIT(
  TRIM(
    SUBSTITUTE(
      SUBSTITUTE(
        SUBSTITUTE(
          SUBSTITUTE(
            C301,
            ""√©"", ""é""
          ),
          ""√±"", ""ñ""
        ),
        ""√°"", ""á""
      ),
      ""√≥"", ""ó""
    )
  ),
  ""-""
)
"),"Teléfono")</f>
        <v>Teléfono</v>
      </c>
      <c r="O301" s="28" t="str">
        <f>IFERROR(__xludf.DUMMYFUNCTION("""COMPUTED_VALUE"""),"Gama alta")</f>
        <v>Gama alta</v>
      </c>
      <c r="P301" s="28" t="str">
        <f>IFERROR(__xludf.DUMMYFUNCTION("""COMPUTED_VALUE"""),"4GB")</f>
        <v>4GB</v>
      </c>
      <c r="Q301" s="29">
        <f t="shared" si="1"/>
        <v>173.98</v>
      </c>
      <c r="R301" s="28">
        <f t="shared" si="2"/>
        <v>4</v>
      </c>
      <c r="S301" s="29">
        <f t="shared" si="3"/>
        <v>695.92</v>
      </c>
      <c r="T301" s="28" t="str">
        <f>IFERROR(__xludf.DUMMYFUNCTION("PROPER(TRIM(
  LET(
    texto1, REGEXREPLACE(G301,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"),"Jorge Alva")</f>
        <v>Jorge Alva</v>
      </c>
      <c r="U301" s="28" t="str">
        <f t="shared" si="4"/>
        <v>d4d30727-21e7-45cf-abfd-68611006864c</v>
      </c>
      <c r="V301" s="30" t="str">
        <f t="shared" si="5"/>
        <v>Teléfono Gama alta 4GB</v>
      </c>
    </row>
    <row r="302" ht="15.75" customHeight="1">
      <c r="A302" s="6">
        <v>45617.0</v>
      </c>
      <c r="B302" s="2" t="s">
        <v>16</v>
      </c>
      <c r="C302" s="2" t="s">
        <v>45</v>
      </c>
      <c r="D302" s="7">
        <v>1987.27</v>
      </c>
      <c r="E302" s="2">
        <v>3.0</v>
      </c>
      <c r="F302" s="7">
        <v>5961.81</v>
      </c>
      <c r="G302" s="2" t="s">
        <v>1172</v>
      </c>
      <c r="H302" s="2" t="s">
        <v>1173</v>
      </c>
      <c r="I302" s="2" t="s">
        <v>1174</v>
      </c>
      <c r="K302" s="19" t="str">
        <f>IFERROR(__xludf.DUMMYFUNCTION("IF(ISBLANK(A302),
  """",
  IF(ISNUMBER(A302),
    TEXT(A302,""dd/mm/yyyy""),
    IF(
      REGEXMATCH(TRIM(A302),""^\d{1,2}/\d{1,2}/\d{4}$""),
      TRIM(A302),
      IFERROR(
        TEXT(DATEVALUE(SUBSTITUTE(SUBSTITUTE(TRIM(A302),""-"",""/""),""."",""/"&amp;""")),""dd/mm/yyyy""),
        TRIM(A302)
      )
    )
  )
)
"),"21/11/2024")</f>
        <v>21/11/2024</v>
      </c>
      <c r="L302" s="20">
        <v>45617.0</v>
      </c>
      <c r="M302" s="21" t="str">
        <f>IFERROR(__xludf.DUMMYFUNCTION("PROPER(TRIM(
  REGEXREPLACE(
    REGEXREPLACE(
      SUBSTITUTE(SUBSTITUTE(SUBSTITUTE(SUBSTITUTE(SUBSTITUTE(SUBSTITUTE(SUBSTITUTE(SUBSTITUTE(SUBSTITUTE(SUBSTITUTE(SUBSTITUTE(
        B302,""√©"",""é""),""√°"",""á""),""√±"",""ñ""),""√≥"",""ó""),""√â"",""é"&amp;"""),""√Å"",""á""),""√ç"",""í""),""√Ç"",""Í""),""√Â"",""é""),""√≠"",""í""),""√º"",""ú""),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02" s="22" t="str">
        <f>IFERROR(__xludf.DUMMYFUNCTION("SPLIT(
  TRIM(
    SUBSTITUTE(
      SUBSTITUTE(
        SUBSTITUTE(
          SUBSTITUTE(
            C302,
            ""√©"", ""é""
          ),
          ""√±"", ""ñ""
        ),
        ""√°"", ""á""
      ),
      ""√≥"", ""ó""
    )
  ),
  ""-""
)
"),"Tablet")</f>
        <v>Tablet</v>
      </c>
      <c r="O302" s="22" t="str">
        <f>IFERROR(__xludf.DUMMYFUNCTION("""COMPUTED_VALUE"""),"Mini")</f>
        <v>Mini</v>
      </c>
      <c r="P302" s="22" t="str">
        <f>IFERROR(__xludf.DUMMYFUNCTION("""COMPUTED_VALUE"""),"4GB")</f>
        <v>4GB</v>
      </c>
      <c r="Q302" s="23">
        <f t="shared" si="1"/>
        <v>1987.27</v>
      </c>
      <c r="R302" s="22">
        <f t="shared" si="2"/>
        <v>3</v>
      </c>
      <c r="S302" s="23">
        <f t="shared" si="3"/>
        <v>5961.81</v>
      </c>
      <c r="T302" s="22" t="str">
        <f>IFERROR(__xludf.DUMMYFUNCTION("PROPER(TRIM(
  LET(
    texto1, REGEXREPLACE(G302,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"),"Norma Gastélum Estévez")</f>
        <v>Norma Gastélum Estévez</v>
      </c>
      <c r="U302" s="22" t="str">
        <f t="shared" si="4"/>
        <v>7ca60689-ffdb-4ad9-b339-4085c13dfc70</v>
      </c>
      <c r="V302" s="24" t="str">
        <f t="shared" si="5"/>
        <v>Tablet Mini 4GB</v>
      </c>
    </row>
    <row r="303" ht="15.75" customHeight="1">
      <c r="A303" s="6">
        <v>45589.0</v>
      </c>
      <c r="B303" s="2" t="s">
        <v>85</v>
      </c>
      <c r="C303" s="2" t="s">
        <v>172</v>
      </c>
      <c r="D303" s="7">
        <v>486.27</v>
      </c>
      <c r="E303" s="2">
        <v>5.0</v>
      </c>
      <c r="F303" s="7">
        <v>2431.35</v>
      </c>
      <c r="G303" s="2" t="s">
        <v>1175</v>
      </c>
      <c r="H303" s="2" t="s">
        <v>1176</v>
      </c>
      <c r="I303" s="2" t="s">
        <v>1177</v>
      </c>
      <c r="K303" s="25" t="str">
        <f>IFERROR(__xludf.DUMMYFUNCTION("IF(ISBLANK(A303),
  """",
  IF(ISNUMBER(A303),
    TEXT(A303,""dd/mm/yyyy""),
    IF(
      REGEXMATCH(TRIM(A303),""^\d{1,2}/\d{1,2}/\d{4}$""),
      TRIM(A303),
      IFERROR(
        TEXT(DATEVALUE(SUBSTITUTE(SUBSTITUTE(TRIM(A303),""-"",""/""),""."",""/"&amp;""")),""dd/mm/yyyy""),
        TRIM(A303)
      )
    )
  )
)
"),"24/10/2024")</f>
        <v>24/10/2024</v>
      </c>
      <c r="L303" s="26">
        <v>45589.0</v>
      </c>
      <c r="M303" s="27" t="str">
        <f>IFERROR(__xludf.DUMMYFUNCTION("PROPER(TRIM(
  REGEXREPLACE(
    REGEXREPLACE(
      SUBSTITUTE(SUBSTITUTE(SUBSTITUTE(SUBSTITUTE(SUBSTITUTE(SUBSTITUTE(SUBSTITUTE(SUBSTITUTE(SUBSTITUTE(SUBSTITUTE(SUBSTITUTE(
        B303,""√©"",""é""),""√°"",""á""),""√±"",""ñ""),""√≥"",""ó""),""√â"",""é"&amp;"""),""√Å"",""á""),""√ç"",""í""),""√Ç"",""Í""),""√Â"",""é""),""√≠"",""í""),""√º"",""ú""),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03" s="28" t="str">
        <f>IFERROR(__xludf.DUMMYFUNCTION("SPLIT(
  TRIM(
    SUBSTITUTE(
      SUBSTITUTE(
        SUBSTITUTE(
          SUBSTITUTE(
            C303,
            ""√©"", ""é""
          ),
          ""√±"", ""ñ""
        ),
        ""√°"", ""á""
      ),
      ""√≥"", ""ó""
    )
  ),
  ""-""
)
"),"Laptop")</f>
        <v>Laptop</v>
      </c>
      <c r="O303" s="28" t="str">
        <f>IFERROR(__xludf.DUMMYFUNCTION("""COMPUTED_VALUE"""),"Oficina")</f>
        <v>Oficina</v>
      </c>
      <c r="P303" s="28" t="str">
        <f>IFERROR(__xludf.DUMMYFUNCTION("""COMPUTED_VALUE"""),"8GB")</f>
        <v>8GB</v>
      </c>
      <c r="Q303" s="29">
        <f t="shared" si="1"/>
        <v>486.27</v>
      </c>
      <c r="R303" s="28">
        <f t="shared" si="2"/>
        <v>5</v>
      </c>
      <c r="S303" s="29">
        <f t="shared" si="3"/>
        <v>2431.35</v>
      </c>
      <c r="T303" s="28" t="str">
        <f>IFERROR(__xludf.DUMMYFUNCTION("PROPER(TRIM(
  LET(
    texto1, REGEXREPLACE(G303,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"),"Rsula Guardado")</f>
        <v>Rsula Guardado</v>
      </c>
      <c r="U303" s="28" t="str">
        <f t="shared" si="4"/>
        <v>36046905-c325-4177-8dd6-ef3a3eefbe09</v>
      </c>
      <c r="V303" s="30" t="str">
        <f t="shared" si="5"/>
        <v>Laptop Oficina 8GB</v>
      </c>
    </row>
    <row r="304" ht="15.75" customHeight="1">
      <c r="A304" s="6">
        <v>45643.0</v>
      </c>
      <c r="B304" s="2" t="s">
        <v>16</v>
      </c>
      <c r="C304" s="2" t="s">
        <v>250</v>
      </c>
      <c r="D304" s="7">
        <v>1615.07</v>
      </c>
      <c r="E304" s="2">
        <v>3.0</v>
      </c>
      <c r="F304" s="7">
        <v>4845.21</v>
      </c>
      <c r="G304" s="2" t="s">
        <v>1179</v>
      </c>
      <c r="H304" s="2" t="s">
        <v>1180</v>
      </c>
      <c r="I304" s="2" t="s">
        <v>1181</v>
      </c>
      <c r="K304" s="19" t="str">
        <f>IFERROR(__xludf.DUMMYFUNCTION("IF(ISBLANK(A304),
  """",
  IF(ISNUMBER(A304),
    TEXT(A304,""dd/mm/yyyy""),
    IF(
      REGEXMATCH(TRIM(A304),""^\d{1,2}/\d{1,2}/\d{4}$""),
      TRIM(A304),
      IFERROR(
        TEXT(DATEVALUE(SUBSTITUTE(SUBSTITUTE(TRIM(A304),""-"",""/""),""."",""/"&amp;""")),""dd/mm/yyyy""),
        TRIM(A304)
      )
    )
  )
)
"),"17/12/2024")</f>
        <v>17/12/2024</v>
      </c>
      <c r="L304" s="20">
        <v>45643.0</v>
      </c>
      <c r="M304" s="21" t="str">
        <f>IFERROR(__xludf.DUMMYFUNCTION("PROPER(TRIM(
  REGEXREPLACE(
    REGEXREPLACE(
      SUBSTITUTE(SUBSTITUTE(SUBSTITUTE(SUBSTITUTE(SUBSTITUTE(SUBSTITUTE(SUBSTITUTE(SUBSTITUTE(SUBSTITUTE(SUBSTITUTE(SUBSTITUTE(
        B304,""√©"",""é""),""√°"",""á""),""√±"",""ñ""),""√≥"",""ó""),""√â"",""é"&amp;"""),""√Å"",""á""),""√ç"",""í""),""√Ç"",""Í""),""√Â"",""é""),""√≠"",""í""),""√º"",""ú""),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04" s="22" t="str">
        <f>IFERROR(__xludf.DUMMYFUNCTION("SPLIT(
  TRIM(
    SUBSTITUTE(
      SUBSTITUTE(
        SUBSTITUTE(
          SUBSTITUTE(
            C304,
            ""√©"", ""é""
          ),
          ""√±"", ""ñ""
        ),
        ""√°"", ""á""
      ),
      ""√≥"", ""ó""
    )
  ),
  ""-""
)
"),"Laptop")</f>
        <v>Laptop</v>
      </c>
      <c r="O304" s="22" t="str">
        <f>IFERROR(__xludf.DUMMYFUNCTION("""COMPUTED_VALUE"""),"Oficina")</f>
        <v>Oficina</v>
      </c>
      <c r="P304" s="22" t="str">
        <f>IFERROR(__xludf.DUMMYFUNCTION("""COMPUTED_VALUE"""),"32GB")</f>
        <v>32GB</v>
      </c>
      <c r="Q304" s="23">
        <f t="shared" si="1"/>
        <v>1615.07</v>
      </c>
      <c r="R304" s="22">
        <f t="shared" si="2"/>
        <v>3</v>
      </c>
      <c r="S304" s="23">
        <f t="shared" si="3"/>
        <v>4845.21</v>
      </c>
      <c r="T304" s="22" t="str">
        <f>IFERROR(__xludf.DUMMYFUNCTION("PROPER(TRIM(
  LET(
    texto1, REGEXREPLACE(G304,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"),"Patricio Citlali Rico Jurado")</f>
        <v>Patricio Citlali Rico Jurado</v>
      </c>
      <c r="U304" s="22" t="str">
        <f t="shared" si="4"/>
        <v>55359418-5f6c-4f2b-9e70-525bf3b5c143</v>
      </c>
      <c r="V304" s="24" t="str">
        <f t="shared" si="5"/>
        <v>Laptop Oficina 32GB</v>
      </c>
    </row>
    <row r="305" ht="15.75" customHeight="1">
      <c r="A305" s="6">
        <v>45629.0</v>
      </c>
      <c r="B305" s="2" t="s">
        <v>50</v>
      </c>
      <c r="C305" s="2" t="s">
        <v>176</v>
      </c>
      <c r="D305" s="7">
        <v>1464.04</v>
      </c>
      <c r="E305" s="2">
        <v>4.0</v>
      </c>
      <c r="F305" s="7">
        <v>5856.16</v>
      </c>
      <c r="G305" s="2" t="s">
        <v>1183</v>
      </c>
      <c r="H305" s="2" t="s">
        <v>1184</v>
      </c>
      <c r="I305" s="2" t="s">
        <v>1185</v>
      </c>
      <c r="K305" s="25" t="str">
        <f>IFERROR(__xludf.DUMMYFUNCTION("IF(ISBLANK(A305),
  """",
  IF(ISNUMBER(A305),
    TEXT(A305,""dd/mm/yyyy""),
    IF(
      REGEXMATCH(TRIM(A305),""^\d{1,2}/\d{1,2}/\d{4}$""),
      TRIM(A305),
      IFERROR(
        TEXT(DATEVALUE(SUBSTITUTE(SUBSTITUTE(TRIM(A305),""-"",""/""),""."",""/"&amp;""")),""dd/mm/yyyy""),
        TRIM(A305)
      )
    )
  )
)
"),"03/12/2024")</f>
        <v>03/12/2024</v>
      </c>
      <c r="L305" s="26">
        <v>45629.0</v>
      </c>
      <c r="M305" s="27" t="str">
        <f>IFERROR(__xludf.DUMMYFUNCTION("PROPER(TRIM(
  REGEXREPLACE(
    REGEXREPLACE(
      SUBSTITUTE(SUBSTITUTE(SUBSTITUTE(SUBSTITUTE(SUBSTITUTE(SUBSTITUTE(SUBSTITUTE(SUBSTITUTE(SUBSTITUTE(SUBSTITUTE(SUBSTITUTE(
        B305,""√©"",""é""),""√°"",""á""),""√±"",""ñ""),""√≥"",""ó""),""√â"",""é"&amp;"""),""√Å"",""á""),""√ç"",""í""),""√Ç"",""Í""),""√Â"",""é""),""√≠"",""í""),""√º"",""ú""),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05" s="28" t="str">
        <f>IFERROR(__xludf.DUMMYFUNCTION("SPLIT(
  TRIM(
    SUBSTITUTE(
      SUBSTITUTE(
        SUBSTITUTE(
          SUBSTITUTE(
            C305,
            ""√©"", ""é""
          ),
          ""√±"", ""ñ""
        ),
        ""√°"", ""á""
      ),
      ""√≥"", ""ó""
    )
  ),
  ""-""
)
"),"Auriculares")</f>
        <v>Auriculares</v>
      </c>
      <c r="O305" s="28" t="str">
        <f>IFERROR(__xludf.DUMMYFUNCTION("""COMPUTED_VALUE"""),"Con cable")</f>
        <v>Con cable</v>
      </c>
      <c r="P305" s="28" t="str">
        <f>IFERROR(__xludf.DUMMYFUNCTION("""COMPUTED_VALUE"""),"8GB")</f>
        <v>8GB</v>
      </c>
      <c r="Q305" s="29">
        <f t="shared" si="1"/>
        <v>1464.04</v>
      </c>
      <c r="R305" s="28">
        <f t="shared" si="2"/>
        <v>4</v>
      </c>
      <c r="S305" s="29">
        <f t="shared" si="3"/>
        <v>5856.16</v>
      </c>
      <c r="T305" s="28" t="str">
        <f>IFERROR(__xludf.DUMMYFUNCTION("PROPER(TRIM(
  LET(
    texto1, REGEXREPLACE(G305,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"),"Marisol Verónica Velásquez")</f>
        <v>Marisol Verónica Velásquez</v>
      </c>
      <c r="U305" s="28" t="str">
        <f t="shared" si="4"/>
        <v>c331b5bf-7dc0-44f3-bbc6-33242970d6bd</v>
      </c>
      <c r="V305" s="30" t="str">
        <f t="shared" si="5"/>
        <v>Auriculares Con cable 8GB</v>
      </c>
    </row>
    <row r="306" ht="15.75" customHeight="1">
      <c r="A306" s="6">
        <v>45583.0</v>
      </c>
      <c r="B306" s="2" t="s">
        <v>101</v>
      </c>
      <c r="C306" s="2" t="s">
        <v>698</v>
      </c>
      <c r="D306" s="7">
        <v>1612.96</v>
      </c>
      <c r="E306" s="2">
        <v>1.0</v>
      </c>
      <c r="F306" s="7">
        <v>1612.96</v>
      </c>
      <c r="G306" s="2" t="s">
        <v>1186</v>
      </c>
      <c r="H306" s="2" t="s">
        <v>1187</v>
      </c>
      <c r="I306" s="2" t="s">
        <v>1188</v>
      </c>
      <c r="K306" s="19" t="str">
        <f>IFERROR(__xludf.DUMMYFUNCTION("IF(ISBLANK(A306),
  """",
  IF(ISNUMBER(A306),
    TEXT(A306,""dd/mm/yyyy""),
    IF(
      REGEXMATCH(TRIM(A306),""^\d{1,2}/\d{1,2}/\d{4}$""),
      TRIM(A306),
      IFERROR(
        TEXT(DATEVALUE(SUBSTITUTE(SUBSTITUTE(TRIM(A306),""-"",""/""),""."",""/"&amp;""")),""dd/mm/yyyy""),
        TRIM(A306)
      )
    )
  )
)
"),"18/10/2024")</f>
        <v>18/10/2024</v>
      </c>
      <c r="L306" s="20">
        <v>45583.0</v>
      </c>
      <c r="M306" s="21" t="str">
        <f>IFERROR(__xludf.DUMMYFUNCTION("PROPER(TRIM(
  REGEXREPLACE(
    REGEXREPLACE(
      SUBSTITUTE(SUBSTITUTE(SUBSTITUTE(SUBSTITUTE(SUBSTITUTE(SUBSTITUTE(SUBSTITUTE(SUBSTITUTE(SUBSTITUTE(SUBSTITUTE(SUBSTITUTE(
        B306,""√©"",""é""),""√°"",""á""),""√±"",""ñ""),""√≥"",""ó""),""√â"",""é"&amp;"""),""√Å"",""á""),""√ç"",""í""),""√Ç"",""Í""),""√Â"",""é""),""√≠"",""í""),""√º"",""ú""),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06" s="22" t="str">
        <f>IFERROR(__xludf.DUMMYFUNCTION("SPLIT(
  TRIM(
    SUBSTITUTE(
      SUBSTITUTE(
        SUBSTITUTE(
          SUBSTITUTE(
            C306,
            ""√©"", ""é""
          ),
          ""√±"", ""ñ""
        ),
        ""√°"", ""á""
      ),
      ""√≥"", ""ó""
    )
  ),
  ""-""
)
"),"Laptop")</f>
        <v>Laptop</v>
      </c>
      <c r="O306" s="22" t="str">
        <f>IFERROR(__xludf.DUMMYFUNCTION("""COMPUTED_VALUE"""),"Ultraliviana")</f>
        <v>Ultraliviana</v>
      </c>
      <c r="P306" s="22" t="str">
        <f>IFERROR(__xludf.DUMMYFUNCTION("""COMPUTED_VALUE"""),"8GB")</f>
        <v>8GB</v>
      </c>
      <c r="Q306" s="23">
        <f t="shared" si="1"/>
        <v>1612.96</v>
      </c>
      <c r="R306" s="22">
        <f t="shared" si="2"/>
        <v>1</v>
      </c>
      <c r="S306" s="23">
        <f t="shared" si="3"/>
        <v>1612.96</v>
      </c>
      <c r="T306" s="22" t="str">
        <f>IFERROR(__xludf.DUMMYFUNCTION("PROPER(TRIM(
  LET(
    texto1, REGEXREPLACE(G306,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Luis Alarcón")</f>
        <v>José Luis Alarcón</v>
      </c>
      <c r="U306" s="22" t="str">
        <f t="shared" si="4"/>
        <v>0d3db73a-8164-4ea7-82ec-bc976d02b86a</v>
      </c>
      <c r="V306" s="24" t="str">
        <f t="shared" si="5"/>
        <v>Laptop Ultraliviana 8GB</v>
      </c>
    </row>
    <row r="307" ht="15.75" customHeight="1">
      <c r="A307" s="6">
        <v>45615.0</v>
      </c>
      <c r="B307" s="2" t="s">
        <v>50</v>
      </c>
      <c r="C307" s="2" t="s">
        <v>508</v>
      </c>
      <c r="D307" s="7">
        <v>920.68</v>
      </c>
      <c r="E307" s="2">
        <v>3.0</v>
      </c>
      <c r="F307" s="7">
        <v>2762.04</v>
      </c>
      <c r="G307" s="2" t="s">
        <v>1190</v>
      </c>
      <c r="H307" s="2" t="s">
        <v>1191</v>
      </c>
      <c r="I307" s="2" t="s">
        <v>1192</v>
      </c>
      <c r="K307" s="25" t="str">
        <f>IFERROR(__xludf.DUMMYFUNCTION("IF(ISBLANK(A307),
  """",
  IF(ISNUMBER(A307),
    TEXT(A307,""dd/mm/yyyy""),
    IF(
      REGEXMATCH(TRIM(A307),""^\d{1,2}/\d{1,2}/\d{4}$""),
      TRIM(A307),
      IFERROR(
        TEXT(DATEVALUE(SUBSTITUTE(SUBSTITUTE(TRIM(A307),""-"",""/""),""."",""/"&amp;""")),""dd/mm/yyyy""),
        TRIM(A307)
      )
    )
  )
)
"),"19/11/2024")</f>
        <v>19/11/2024</v>
      </c>
      <c r="L307" s="26">
        <v>45615.0</v>
      </c>
      <c r="M307" s="27" t="str">
        <f>IFERROR(__xludf.DUMMYFUNCTION("PROPER(TRIM(
  REGEXREPLACE(
    REGEXREPLACE(
      SUBSTITUTE(SUBSTITUTE(SUBSTITUTE(SUBSTITUTE(SUBSTITUTE(SUBSTITUTE(SUBSTITUTE(SUBSTITUTE(SUBSTITUTE(SUBSTITUTE(SUBSTITUTE(
        B307,""√©"",""é""),""√°"",""á""),""√±"",""ñ""),""√≥"",""ó""),""√â"",""é"&amp;"""),""√Å"",""á""),""√ç"",""í""),""√Ç"",""Í""),""√Â"",""é""),""√≠"",""í""),""√º"",""ú""),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07" s="28" t="str">
        <f>IFERROR(__xludf.DUMMYFUNCTION("SPLIT(
  TRIM(
    SUBSTITUTE(
      SUBSTITUTE(
        SUBSTITUTE(
          SUBSTITUTE(
            C307,
            ""√©"", ""é""
          ),
          ""√±"", ""ñ""
        ),
        ""√°"", ""á""
      ),
      ""√≥"", ""ó""
    )
  ),
  ""-""
)
"),"Auriculares")</f>
        <v>Auriculares</v>
      </c>
      <c r="O307" s="28" t="str">
        <f>IFERROR(__xludf.DUMMYFUNCTION("""COMPUTED_VALUE"""),"Cancelación de ruido")</f>
        <v>Cancelación de ruido</v>
      </c>
      <c r="P307" s="28" t="str">
        <f>IFERROR(__xludf.DUMMYFUNCTION("""COMPUTED_VALUE"""),"16GB")</f>
        <v>16GB</v>
      </c>
      <c r="Q307" s="29">
        <f t="shared" si="1"/>
        <v>920.68</v>
      </c>
      <c r="R307" s="28">
        <f t="shared" si="2"/>
        <v>3</v>
      </c>
      <c r="S307" s="29">
        <f t="shared" si="3"/>
        <v>2762.04</v>
      </c>
      <c r="T307" s="28" t="str">
        <f>IFERROR(__xludf.DUMMYFUNCTION("PROPER(TRIM(
  LET(
    texto1, REGEXREPLACE(G307,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"),"Jerónimo Evelio Serrano Almonte")</f>
        <v>Jerónimo Evelio Serrano Almonte</v>
      </c>
      <c r="U307" s="28" t="str">
        <f t="shared" si="4"/>
        <v>5adc0581-cda3-450e-9af3-c3c10c954910</v>
      </c>
      <c r="V307" s="30" t="str">
        <f t="shared" si="5"/>
        <v>Auriculares Cancelación de ruido 16GB</v>
      </c>
    </row>
    <row r="308" ht="15.75" customHeight="1">
      <c r="A308" s="6">
        <v>45588.0</v>
      </c>
      <c r="B308" s="2" t="s">
        <v>27</v>
      </c>
      <c r="C308" s="2" t="s">
        <v>11</v>
      </c>
      <c r="D308" s="7">
        <v>499.22</v>
      </c>
      <c r="E308" s="2">
        <v>3.0</v>
      </c>
      <c r="F308" s="7">
        <v>1497.66</v>
      </c>
      <c r="G308" s="2" t="s">
        <v>1194</v>
      </c>
      <c r="H308" s="2" t="s">
        <v>1195</v>
      </c>
      <c r="I308" s="2" t="s">
        <v>1196</v>
      </c>
      <c r="K308" s="19" t="str">
        <f>IFERROR(__xludf.DUMMYFUNCTION("IF(ISBLANK(A308),
  """",
  IF(ISNUMBER(A308),
    TEXT(A308,""dd/mm/yyyy""),
    IF(
      REGEXMATCH(TRIM(A308),""^\d{1,2}/\d{1,2}/\d{4}$""),
      TRIM(A308),
      IFERROR(
        TEXT(DATEVALUE(SUBSTITUTE(SUBSTITUTE(TRIM(A308),""-"",""/""),""."",""/"&amp;""")),""dd/mm/yyyy""),
        TRIM(A308)
      )
    )
  )
)
"),"23/10/2024")</f>
        <v>23/10/2024</v>
      </c>
      <c r="L308" s="20">
        <v>45588.0</v>
      </c>
      <c r="M308" s="21" t="str">
        <f>IFERROR(__xludf.DUMMYFUNCTION("PROPER(TRIM(
  REGEXREPLACE(
    REGEXREPLACE(
      SUBSTITUTE(SUBSTITUTE(SUBSTITUTE(SUBSTITUTE(SUBSTITUTE(SUBSTITUTE(SUBSTITUTE(SUBSTITUTE(SUBSTITUTE(SUBSTITUTE(SUBSTITUTE(
        B308,""√©"",""é""),""√°"",""á""),""√±"",""ñ""),""√≥"",""ó""),""√â"",""é"&amp;"""),""√Å"",""á""),""√ç"",""í""),""√Ç"",""Í""),""√Â"",""é""),""√≠"",""í""),""√º"",""ú""),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08" s="22" t="str">
        <f>IFERROR(__xludf.DUMMYFUNCTION("SPLIT(
  TRIM(
    SUBSTITUTE(
      SUBSTITUTE(
        SUBSTITUTE(
          SUBSTITUTE(
            C308,
            ""√©"", ""é""
          ),
          ""√±"", ""ñ""
        ),
        ""√°"", ""á""
      ),
      ""√≥"", ""ó""
    )
  ),
  ""-""
)
"),"Auriculares")</f>
        <v>Auriculares</v>
      </c>
      <c r="O308" s="22" t="str">
        <f>IFERROR(__xludf.DUMMYFUNCTION("""COMPUTED_VALUE"""),"Con cable")</f>
        <v>Con cable</v>
      </c>
      <c r="P308" s="22" t="str">
        <f>IFERROR(__xludf.DUMMYFUNCTION("""COMPUTED_VALUE"""),"32GB")</f>
        <v>32GB</v>
      </c>
      <c r="Q308" s="23">
        <f t="shared" si="1"/>
        <v>499.22</v>
      </c>
      <c r="R308" s="22">
        <f t="shared" si="2"/>
        <v>3</v>
      </c>
      <c r="S308" s="23">
        <f t="shared" si="3"/>
        <v>1497.66</v>
      </c>
      <c r="T308" s="22" t="str">
        <f>IFERROR(__xludf.DUMMYFUNCTION("PROPER(TRIM(
  LET(
    texto1, REGEXREPLACE(G308,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"),"César Fabiola Palacios")</f>
        <v>César Fabiola Palacios</v>
      </c>
      <c r="U308" s="22" t="str">
        <f t="shared" si="4"/>
        <v>0e28ad98-fe18-44a9-9a89-466a166843e3</v>
      </c>
      <c r="V308" s="24" t="str">
        <f t="shared" si="5"/>
        <v>Auriculares Con cable 32GB</v>
      </c>
    </row>
    <row r="309" ht="15.75" customHeight="1">
      <c r="A309" s="6">
        <v>45606.0</v>
      </c>
      <c r="B309" s="2" t="s">
        <v>50</v>
      </c>
      <c r="C309" s="2" t="s">
        <v>33</v>
      </c>
      <c r="D309" s="7">
        <v>1650.53</v>
      </c>
      <c r="E309" s="2">
        <v>1.0</v>
      </c>
      <c r="F309" s="7">
        <v>1650.53</v>
      </c>
      <c r="G309" s="2" t="s">
        <v>1197</v>
      </c>
      <c r="H309" s="2" t="s">
        <v>1198</v>
      </c>
      <c r="I309" s="2" t="s">
        <v>1199</v>
      </c>
      <c r="K309" s="25" t="str">
        <f>IFERROR(__xludf.DUMMYFUNCTION("IF(ISBLANK(A309),
  """",
  IF(ISNUMBER(A309),
    TEXT(A309,""dd/mm/yyyy""),
    IF(
      REGEXMATCH(TRIM(A309),""^\d{1,2}/\d{1,2}/\d{4}$""),
      TRIM(A309),
      IFERROR(
        TEXT(DATEVALUE(SUBSTITUTE(SUBSTITUTE(TRIM(A309),""-"",""/""),""."",""/"&amp;""")),""dd/mm/yyyy""),
        TRIM(A309)
      )
    )
  )
)
"),"10/11/2024")</f>
        <v>10/11/2024</v>
      </c>
      <c r="L309" s="26">
        <v>45606.0</v>
      </c>
      <c r="M309" s="27" t="str">
        <f>IFERROR(__xludf.DUMMYFUNCTION("PROPER(TRIM(
  REGEXREPLACE(
    REGEXREPLACE(
      SUBSTITUTE(SUBSTITUTE(SUBSTITUTE(SUBSTITUTE(SUBSTITUTE(SUBSTITUTE(SUBSTITUTE(SUBSTITUTE(SUBSTITUTE(SUBSTITUTE(SUBSTITUTE(
        B309,""√©"",""é""),""√°"",""á""),""√±"",""ñ""),""√≥"",""ó""),""√â"",""é"&amp;"""),""√Å"",""á""),""√ç"",""í""),""√Ç"",""Í""),""√Â"",""é""),""√≠"",""í""),""√º"",""ú""),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09" s="28" t="str">
        <f>IFERROR(__xludf.DUMMYFUNCTION("SPLIT(
  TRIM(
    SUBSTITUTE(
      SUBSTITUTE(
        SUBSTITUTE(
          SUBSTITUTE(
            C309,
            ""√©"", ""é""
          ),
          ""√±"", ""ñ""
        ),
        ""√°"", ""á""
      ),
      ""√≥"", ""ó""
    )
  ),
  ""-""
)
"),"Teléfono")</f>
        <v>Teléfono</v>
      </c>
      <c r="O309" s="28" t="str">
        <f>IFERROR(__xludf.DUMMYFUNCTION("""COMPUTED_VALUE"""),"Gama alta")</f>
        <v>Gama alta</v>
      </c>
      <c r="P309" s="28" t="str">
        <f>IFERROR(__xludf.DUMMYFUNCTION("""COMPUTED_VALUE"""),"4GB")</f>
        <v>4GB</v>
      </c>
      <c r="Q309" s="29">
        <f t="shared" si="1"/>
        <v>1650.53</v>
      </c>
      <c r="R309" s="28">
        <f t="shared" si="2"/>
        <v>1</v>
      </c>
      <c r="S309" s="29">
        <f t="shared" si="3"/>
        <v>1650.53</v>
      </c>
      <c r="T309" s="28" t="str">
        <f>IFERROR(__xludf.DUMMYFUNCTION("PROPER(TRIM(
  LET(
    texto1, REGEXREPLACE(G309,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"),"Julio Fuentes")</f>
        <v>Julio Fuentes</v>
      </c>
      <c r="U309" s="28" t="str">
        <f t="shared" si="4"/>
        <v>36de6ea0-d38c-4032-a4ab-885c917e6447</v>
      </c>
      <c r="V309" s="30" t="str">
        <f t="shared" si="5"/>
        <v>Teléfono Gama alta 4GB</v>
      </c>
    </row>
    <row r="310" ht="15.75" customHeight="1">
      <c r="A310" s="6">
        <v>45581.0</v>
      </c>
      <c r="B310" s="2" t="s">
        <v>85</v>
      </c>
      <c r="C310" s="2" t="s">
        <v>226</v>
      </c>
      <c r="D310" s="7">
        <v>1112.48</v>
      </c>
      <c r="E310" s="2">
        <v>2.0</v>
      </c>
      <c r="F310" s="7">
        <v>2224.96</v>
      </c>
      <c r="G310" s="2" t="s">
        <v>1200</v>
      </c>
      <c r="H310" s="2" t="s">
        <v>1201</v>
      </c>
      <c r="I310" s="2" t="s">
        <v>1202</v>
      </c>
      <c r="K310" s="19" t="str">
        <f>IFERROR(__xludf.DUMMYFUNCTION("IF(ISBLANK(A310),
  """",
  IF(ISNUMBER(A310),
    TEXT(A310,""dd/mm/yyyy""),
    IF(
      REGEXMATCH(TRIM(A310),""^\d{1,2}/\d{1,2}/\d{4}$""),
      TRIM(A310),
      IFERROR(
        TEXT(DATEVALUE(SUBSTITUTE(SUBSTITUTE(TRIM(A310),""-"",""/""),""."",""/"&amp;""")),""dd/mm/yyyy""),
        TRIM(A310)
      )
    )
  )
)
"),"16/10/2024")</f>
        <v>16/10/2024</v>
      </c>
      <c r="L310" s="20">
        <v>45581.0</v>
      </c>
      <c r="M310" s="21" t="str">
        <f>IFERROR(__xludf.DUMMYFUNCTION("PROPER(TRIM(
  REGEXREPLACE(
    REGEXREPLACE(
      SUBSTITUTE(SUBSTITUTE(SUBSTITUTE(SUBSTITUTE(SUBSTITUTE(SUBSTITUTE(SUBSTITUTE(SUBSTITUTE(SUBSTITUTE(SUBSTITUTE(SUBSTITUTE(
        B310,""√©"",""é""),""√°"",""á""),""√±"",""ñ""),""√≥"",""ó""),""√â"",""é"&amp;"""),""√Å"",""á""),""√ç"",""í""),""√Ç"",""Í""),""√Â"",""é""),""√≠"",""í""),""√º"",""ú""),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10" s="22" t="str">
        <f>IFERROR(__xludf.DUMMYFUNCTION("SPLIT(
  TRIM(
    SUBSTITUTE(
      SUBSTITUTE(
        SUBSTITUTE(
          SUBSTITUTE(
            C310,
            ""√©"", ""é""
          ),
          ""√±"", ""ñ""
        ),
        ""√°"", ""á""
      ),
      ""√≥"", ""ó""
    )
  ),
  ""-""
)
"),"Tablet")</f>
        <v>Tablet</v>
      </c>
      <c r="O310" s="22" t="str">
        <f>IFERROR(__xludf.DUMMYFUNCTION("""COMPUTED_VALUE"""),"Mini")</f>
        <v>Mini</v>
      </c>
      <c r="P310" s="22" t="str">
        <f>IFERROR(__xludf.DUMMYFUNCTION("""COMPUTED_VALUE"""),"16GB")</f>
        <v>16GB</v>
      </c>
      <c r="Q310" s="23">
        <f t="shared" si="1"/>
        <v>1112.48</v>
      </c>
      <c r="R310" s="22">
        <f t="shared" si="2"/>
        <v>2</v>
      </c>
      <c r="S310" s="23">
        <f t="shared" si="3"/>
        <v>2224.96</v>
      </c>
      <c r="T310" s="22" t="str">
        <f>IFERROR(__xludf.DUMMYFUNCTION("PROPER(TRIM(
  LET(
    texto1, REGEXREPLACE(G310,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"),"Aurelio Lemus")</f>
        <v>Aurelio Lemus</v>
      </c>
      <c r="U310" s="22" t="str">
        <f t="shared" si="4"/>
        <v>9cba1b15-28fd-439f-af54-d9a1bf7128b0</v>
      </c>
      <c r="V310" s="24" t="str">
        <f t="shared" si="5"/>
        <v>Tablet Mini 16GB</v>
      </c>
    </row>
    <row r="311" ht="15.75" customHeight="1">
      <c r="A311" s="6">
        <v>45650.0</v>
      </c>
      <c r="B311" s="2" t="s">
        <v>16</v>
      </c>
      <c r="C311" s="2" t="s">
        <v>235</v>
      </c>
      <c r="D311" s="7">
        <v>366.39</v>
      </c>
      <c r="E311" s="2">
        <v>4.0</v>
      </c>
      <c r="F311" s="7">
        <v>1465.56</v>
      </c>
      <c r="G311" s="2" t="s">
        <v>1203</v>
      </c>
      <c r="H311" s="2" t="s">
        <v>1204</v>
      </c>
      <c r="I311" s="2" t="s">
        <v>1205</v>
      </c>
      <c r="K311" s="25" t="str">
        <f>IFERROR(__xludf.DUMMYFUNCTION("IF(ISBLANK(A311),
  """",
  IF(ISNUMBER(A311),
    TEXT(A311,""dd/mm/yyyy""),
    IF(
      REGEXMATCH(TRIM(A311),""^\d{1,2}/\d{1,2}/\d{4}$""),
      TRIM(A311),
      IFERROR(
        TEXT(DATEVALUE(SUBSTITUTE(SUBSTITUTE(TRIM(A311),""-"",""/""),""."",""/"&amp;""")),""dd/mm/yyyy""),
        TRIM(A311)
      )
    )
  )
)
"),"24/12/2024")</f>
        <v>24/12/2024</v>
      </c>
      <c r="L311" s="26">
        <v>45650.0</v>
      </c>
      <c r="M311" s="27" t="str">
        <f>IFERROR(__xludf.DUMMYFUNCTION("PROPER(TRIM(
  REGEXREPLACE(
    REGEXREPLACE(
      SUBSTITUTE(SUBSTITUTE(SUBSTITUTE(SUBSTITUTE(SUBSTITUTE(SUBSTITUTE(SUBSTITUTE(SUBSTITUTE(SUBSTITUTE(SUBSTITUTE(SUBSTITUTE(
        B311,""√©"",""é""),""√°"",""á""),""√±"",""ñ""),""√≥"",""ó""),""√â"",""é"&amp;"""),""√Å"",""á""),""√ç"",""í""),""√Ç"",""Í""),""√Â"",""é""),""√≠"",""í""),""√º"",""ú""),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11" s="28" t="str">
        <f>IFERROR(__xludf.DUMMYFUNCTION("SPLIT(
  TRIM(
    SUBSTITUTE(
      SUBSTITUTE(
        SUBSTITUTE(
          SUBSTITUTE(
            C311,
            ""√©"", ""é""
          ),
          ""√±"", ""ñ""
        ),
        ""√°"", ""á""
      ),
      ""√≥"", ""ó""
    )
  ),
  ""-""
)
"),"Tablet")</f>
        <v>Tablet</v>
      </c>
      <c r="O311" s="28" t="str">
        <f>IFERROR(__xludf.DUMMYFUNCTION("""COMPUTED_VALUE"""),"Estándar")</f>
        <v>Estándar</v>
      </c>
      <c r="P311" s="28" t="str">
        <f>IFERROR(__xludf.DUMMYFUNCTION("""COMPUTED_VALUE"""),"4GB")</f>
        <v>4GB</v>
      </c>
      <c r="Q311" s="29">
        <f t="shared" si="1"/>
        <v>366.39</v>
      </c>
      <c r="R311" s="28">
        <f t="shared" si="2"/>
        <v>4</v>
      </c>
      <c r="S311" s="29">
        <f t="shared" si="3"/>
        <v>1465.56</v>
      </c>
      <c r="T311" s="28" t="str">
        <f>IFERROR(__xludf.DUMMYFUNCTION("PROPER(TRIM(
  LET(
    texto1, REGEXREPLACE(G311,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"),"Héctor José Luis Vaca")</f>
        <v>Héctor José Luis Vaca</v>
      </c>
      <c r="U311" s="28" t="str">
        <f t="shared" si="4"/>
        <v>a244bdbd-1394-4bdb-bbc3-e6fc452874c4</v>
      </c>
      <c r="V311" s="30" t="str">
        <f t="shared" si="5"/>
        <v>Tablet Estándar 4GB</v>
      </c>
    </row>
    <row r="312" ht="15.75" customHeight="1">
      <c r="A312" s="6">
        <v>45630.0</v>
      </c>
      <c r="B312" s="2" t="s">
        <v>27</v>
      </c>
      <c r="C312" s="2" t="s">
        <v>1015</v>
      </c>
      <c r="D312" s="7">
        <v>1019.3</v>
      </c>
      <c r="E312" s="2">
        <v>4.0</v>
      </c>
      <c r="F312" s="7">
        <v>4077.2</v>
      </c>
      <c r="G312" s="2" t="s">
        <v>1206</v>
      </c>
      <c r="H312" s="2" t="s">
        <v>1207</v>
      </c>
      <c r="I312" s="2" t="s">
        <v>1208</v>
      </c>
      <c r="K312" s="19" t="str">
        <f>IFERROR(__xludf.DUMMYFUNCTION("IF(ISBLANK(A312),
  """",
  IF(ISNUMBER(A312),
    TEXT(A312,""dd/mm/yyyy""),
    IF(
      REGEXMATCH(TRIM(A312),""^\d{1,2}/\d{1,2}/\d{4}$""),
      TRIM(A312),
      IFERROR(
        TEXT(DATEVALUE(SUBSTITUTE(SUBSTITUTE(TRIM(A312),""-"",""/""),""."",""/"&amp;""")),""dd/mm/yyyy""),
        TRIM(A312)
      )
    )
  )
)
"),"04/12/2024")</f>
        <v>04/12/2024</v>
      </c>
      <c r="L312" s="20">
        <v>45630.0</v>
      </c>
      <c r="M312" s="21" t="str">
        <f>IFERROR(__xludf.DUMMYFUNCTION("PROPER(TRIM(
  REGEXREPLACE(
    REGEXREPLACE(
      SUBSTITUTE(SUBSTITUTE(SUBSTITUTE(SUBSTITUTE(SUBSTITUTE(SUBSTITUTE(SUBSTITUTE(SUBSTITUTE(SUBSTITUTE(SUBSTITUTE(SUBSTITUTE(
        B312,""√©"",""é""),""√°"",""á""),""√±"",""ñ""),""√≥"",""ó""),""√â"",""é"&amp;"""),""√Å"",""á""),""√ç"",""í""),""√Ç"",""Í""),""√Â"",""é""),""√≠"",""í""),""√º"",""ú""),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12" s="22" t="str">
        <f>IFERROR(__xludf.DUMMYFUNCTION("SPLIT(
  TRIM(
    SUBSTITUTE(
      SUBSTITUTE(
        SUBSTITUTE(
          SUBSTITUTE(
            C312,
            ""√©"", ""é""
          ),
          ""√±"", ""ñ""
        ),
        ""√°"", ""á""
      ),
      ""√≥"", ""ó""
    )
  ),
  ""-""
)
"),"Auriculares")</f>
        <v>Auriculares</v>
      </c>
      <c r="O312" s="22" t="str">
        <f>IFERROR(__xludf.DUMMYFUNCTION("""COMPUTED_VALUE"""),"Bluetooth")</f>
        <v>Bluetooth</v>
      </c>
      <c r="P312" s="22" t="str">
        <f>IFERROR(__xludf.DUMMYFUNCTION("""COMPUTED_VALUE"""),"32GB")</f>
        <v>32GB</v>
      </c>
      <c r="Q312" s="23">
        <f t="shared" si="1"/>
        <v>1019.3</v>
      </c>
      <c r="R312" s="22">
        <f t="shared" si="2"/>
        <v>4</v>
      </c>
      <c r="S312" s="23">
        <f t="shared" si="3"/>
        <v>4077.2</v>
      </c>
      <c r="T312" s="22" t="str">
        <f>IFERROR(__xludf.DUMMYFUNCTION("PROPER(TRIM(
  LET(
    texto1, REGEXREPLACE(G312,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"),"Aldo Fonseca")</f>
        <v>Aldo Fonseca</v>
      </c>
      <c r="U312" s="22" t="str">
        <f t="shared" si="4"/>
        <v>8ccc7ee3-b4a6-404a-9faf-787343dc06f2</v>
      </c>
      <c r="V312" s="24" t="str">
        <f t="shared" si="5"/>
        <v>Auriculares Bluetooth 32GB</v>
      </c>
    </row>
    <row r="313" ht="15.75" customHeight="1">
      <c r="A313" s="6">
        <v>45610.0</v>
      </c>
      <c r="B313" s="2" t="s">
        <v>50</v>
      </c>
      <c r="C313" s="2" t="s">
        <v>116</v>
      </c>
      <c r="D313" s="7">
        <v>1152.44</v>
      </c>
      <c r="E313" s="2">
        <v>5.0</v>
      </c>
      <c r="F313" s="7">
        <v>5762.2</v>
      </c>
      <c r="G313" s="2" t="s">
        <v>1210</v>
      </c>
      <c r="H313" s="2" t="s">
        <v>1211</v>
      </c>
      <c r="I313" s="2" t="s">
        <v>1212</v>
      </c>
      <c r="K313" s="25" t="str">
        <f>IFERROR(__xludf.DUMMYFUNCTION("IF(ISBLANK(A313),
  """",
  IF(ISNUMBER(A313),
    TEXT(A313,""dd/mm/yyyy""),
    IF(
      REGEXMATCH(TRIM(A313),""^\d{1,2}/\d{1,2}/\d{4}$""),
      TRIM(A313),
      IFERROR(
        TEXT(DATEVALUE(SUBSTITUTE(SUBSTITUTE(TRIM(A313),""-"",""/""),""."",""/"&amp;""")),""dd/mm/yyyy""),
        TRIM(A313)
      )
    )
  )
)
"),"14/11/2024")</f>
        <v>14/11/2024</v>
      </c>
      <c r="L313" s="26">
        <v>45610.0</v>
      </c>
      <c r="M313" s="27" t="str">
        <f>IFERROR(__xludf.DUMMYFUNCTION("PROPER(TRIM(
  REGEXREPLACE(
    REGEXREPLACE(
      SUBSTITUTE(SUBSTITUTE(SUBSTITUTE(SUBSTITUTE(SUBSTITUTE(SUBSTITUTE(SUBSTITUTE(SUBSTITUTE(SUBSTITUTE(SUBSTITUTE(SUBSTITUTE(
        B313,""√©"",""é""),""√°"",""á""),""√±"",""ñ""),""√≥"",""ó""),""√â"",""é"&amp;"""),""√Å"",""á""),""√ç"",""í""),""√Ç"",""Í""),""√Â"",""é""),""√≠"",""í""),""√º"",""ú""),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13" s="28" t="str">
        <f>IFERROR(__xludf.DUMMYFUNCTION("SPLIT(
  TRIM(
    SUBSTITUTE(
      SUBSTITUTE(
        SUBSTITUTE(
          SUBSTITUTE(
            C313,
            ""√©"", ""é""
          ),
          ""√±"", ""ñ""
        ),
        ""√°"", ""á""
      ),
      ""√≥"", ""ó""
    )
  ),
  ""-""
)
"),"Teléfono")</f>
        <v>Teléfono</v>
      </c>
      <c r="O313" s="28" t="str">
        <f>IFERROR(__xludf.DUMMYFUNCTION("""COMPUTED_VALUE"""),"Gama media")</f>
        <v>Gama media</v>
      </c>
      <c r="P313" s="28" t="str">
        <f>IFERROR(__xludf.DUMMYFUNCTION("""COMPUTED_VALUE"""),"4GB")</f>
        <v>4GB</v>
      </c>
      <c r="Q313" s="29">
        <f t="shared" si="1"/>
        <v>1152.44</v>
      </c>
      <c r="R313" s="28">
        <f t="shared" si="2"/>
        <v>5</v>
      </c>
      <c r="S313" s="29">
        <f t="shared" si="3"/>
        <v>5762.2</v>
      </c>
      <c r="T313" s="28" t="str">
        <f>IFERROR(__xludf.DUMMYFUNCTION("PROPER(TRIM(
  LET(
    texto1, REGEXREPLACE(G313,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"),"Abraham Girón")</f>
        <v>Abraham Girón</v>
      </c>
      <c r="U313" s="28" t="str">
        <f t="shared" si="4"/>
        <v>fe56b9b6-8658-46ab-b178-142e1c6c32ec</v>
      </c>
      <c r="V313" s="30" t="str">
        <f t="shared" si="5"/>
        <v>Teléfono Gama media 4GB</v>
      </c>
    </row>
    <row r="314" ht="15.75" customHeight="1">
      <c r="A314" s="6">
        <v>45632.0</v>
      </c>
      <c r="B314" s="2" t="s">
        <v>101</v>
      </c>
      <c r="C314" s="2" t="s">
        <v>135</v>
      </c>
      <c r="D314" s="32"/>
      <c r="E314" s="2">
        <v>1.0</v>
      </c>
      <c r="F314" s="7">
        <v>1955.27</v>
      </c>
      <c r="G314" s="2" t="s">
        <v>1214</v>
      </c>
      <c r="H314" s="2" t="s">
        <v>1215</v>
      </c>
      <c r="I314" s="2" t="s">
        <v>1216</v>
      </c>
      <c r="K314" s="19" t="str">
        <f>IFERROR(__xludf.DUMMYFUNCTION("IF(ISBLANK(A314),
  """",
  IF(ISNUMBER(A314),
    TEXT(A314,""dd/mm/yyyy""),
    IF(
      REGEXMATCH(TRIM(A314),""^\d{1,2}/\d{1,2}/\d{4}$""),
      TRIM(A314),
      IFERROR(
        TEXT(DATEVALUE(SUBSTITUTE(SUBSTITUTE(TRIM(A314),""-"",""/""),""."",""/"&amp;""")),""dd/mm/yyyy""),
        TRIM(A314)
      )
    )
  )
)
"),"06/12/2024")</f>
        <v>06/12/2024</v>
      </c>
      <c r="L314" s="20">
        <v>45632.0</v>
      </c>
      <c r="M314" s="21" t="str">
        <f>IFERROR(__xludf.DUMMYFUNCTION("PROPER(TRIM(
  REGEXREPLACE(
    REGEXREPLACE(
      SUBSTITUTE(SUBSTITUTE(SUBSTITUTE(SUBSTITUTE(SUBSTITUTE(SUBSTITUTE(SUBSTITUTE(SUBSTITUTE(SUBSTITUTE(SUBSTITUTE(SUBSTITUTE(
        B314,""√©"",""é""),""√°"",""á""),""√±"",""ñ""),""√≥"",""ó""),""√â"",""é"&amp;"""),""√Å"",""á""),""√ç"",""í""),""√Ç"",""Í""),""√Â"",""é""),""√≠"",""í""),""√º"",""ú""),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14" s="22" t="str">
        <f>IFERROR(__xludf.DUMMYFUNCTION("SPLIT(
  TRIM(
    SUBSTITUTE(
      SUBSTITUTE(
        SUBSTITUTE(
          SUBSTITUTE(
            C314,
            ""√©"", ""é""
          ),
          ""√±"", ""ñ""
        ),
        ""√°"", ""á""
      ),
      ""√≥"", ""ó""
    )
  ),
  ""-""
)
"),"Laptop")</f>
        <v>Laptop</v>
      </c>
      <c r="O314" s="22" t="str">
        <f>IFERROR(__xludf.DUMMYFUNCTION("""COMPUTED_VALUE"""),"Ultraliviana")</f>
        <v>Ultraliviana</v>
      </c>
      <c r="P314" s="22" t="str">
        <f>IFERROR(__xludf.DUMMYFUNCTION("""COMPUTED_VALUE"""),"32GB")</f>
        <v>32GB</v>
      </c>
      <c r="Q314" s="35" t="str">
        <f t="shared" si="1"/>
        <v>0</v>
      </c>
      <c r="R314" s="22">
        <f t="shared" si="2"/>
        <v>1</v>
      </c>
      <c r="S314" s="23">
        <f t="shared" si="3"/>
        <v>1955.27</v>
      </c>
      <c r="T314" s="22" t="str">
        <f>IFERROR(__xludf.DUMMYFUNCTION("PROPER(TRIM(
  LET(
    texto1, REGEXREPLACE(G314,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"),"Cristal Leticia Varela Soliz")</f>
        <v>Cristal Leticia Varela Soliz</v>
      </c>
      <c r="U314" s="22" t="str">
        <f t="shared" si="4"/>
        <v>bc41d301-8342-4b13-a0a6-0094760ae37b</v>
      </c>
      <c r="V314" s="24" t="str">
        <f t="shared" si="5"/>
        <v>Laptop Ultraliviana 32GB</v>
      </c>
    </row>
    <row r="315" ht="15.75" customHeight="1">
      <c r="A315" s="6">
        <v>45586.0</v>
      </c>
      <c r="B315" s="2" t="s">
        <v>161</v>
      </c>
      <c r="C315" s="2" t="s">
        <v>698</v>
      </c>
      <c r="D315" s="7">
        <v>1807.14</v>
      </c>
      <c r="E315" s="2">
        <v>5.0</v>
      </c>
      <c r="F315" s="7">
        <v>9035.7</v>
      </c>
      <c r="G315" s="2" t="s">
        <v>1217</v>
      </c>
      <c r="H315" s="2" t="s">
        <v>1218</v>
      </c>
      <c r="I315" s="2" t="s">
        <v>1219</v>
      </c>
      <c r="K315" s="25" t="str">
        <f>IFERROR(__xludf.DUMMYFUNCTION("IF(ISBLANK(A315),
  """",
  IF(ISNUMBER(A315),
    TEXT(A315,""dd/mm/yyyy""),
    IF(
      REGEXMATCH(TRIM(A315),""^\d{1,2}/\d{1,2}/\d{4}$""),
      TRIM(A315),
      IFERROR(
        TEXT(DATEVALUE(SUBSTITUTE(SUBSTITUTE(TRIM(A315),""-"",""/""),""."",""/"&amp;""")),""dd/mm/yyyy""),
        TRIM(A315)
      )
    )
  )
)
"),"21/10/2024")</f>
        <v>21/10/2024</v>
      </c>
      <c r="L315" s="26">
        <v>45586.0</v>
      </c>
      <c r="M315" s="27" t="str">
        <f>IFERROR(__xludf.DUMMYFUNCTION("PROPER(TRIM(
  REGEXREPLACE(
    REGEXREPLACE(
      SUBSTITUTE(SUBSTITUTE(SUBSTITUTE(SUBSTITUTE(SUBSTITUTE(SUBSTITUTE(SUBSTITUTE(SUBSTITUTE(SUBSTITUTE(SUBSTITUTE(SUBSTITUTE(
        B315,""√©"",""é""),""√°"",""á""),""√±"",""ñ""),""√≥"",""ó""),""√â"",""é"&amp;"""),""√Å"",""á""),""√ç"",""í""),""√Ç"",""Í""),""√Â"",""é""),""√≠"",""í""),""√º"",""ú""),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315" s="28" t="str">
        <f>IFERROR(__xludf.DUMMYFUNCTION("SPLIT(
  TRIM(
    SUBSTITUTE(
      SUBSTITUTE(
        SUBSTITUTE(
          SUBSTITUTE(
            C315,
            ""√©"", ""é""
          ),
          ""√±"", ""ñ""
        ),
        ""√°"", ""á""
      ),
      ""√≥"", ""ó""
    )
  ),
  ""-""
)
"),"Laptop")</f>
        <v>Laptop</v>
      </c>
      <c r="O315" s="28" t="str">
        <f>IFERROR(__xludf.DUMMYFUNCTION("""COMPUTED_VALUE"""),"Ultraliviana")</f>
        <v>Ultraliviana</v>
      </c>
      <c r="P315" s="28" t="str">
        <f>IFERROR(__xludf.DUMMYFUNCTION("""COMPUTED_VALUE"""),"8GB")</f>
        <v>8GB</v>
      </c>
      <c r="Q315" s="29">
        <f t="shared" si="1"/>
        <v>1807.14</v>
      </c>
      <c r="R315" s="28">
        <f t="shared" si="2"/>
        <v>5</v>
      </c>
      <c r="S315" s="29">
        <f t="shared" si="3"/>
        <v>9035.7</v>
      </c>
      <c r="T315" s="28" t="str">
        <f>IFERROR(__xludf.DUMMYFUNCTION("PROPER(TRIM(
  LET(
    texto1, REGEXREPLACE(G315,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"),"Octavio Santacruz Lucero")</f>
        <v>Octavio Santacruz Lucero</v>
      </c>
      <c r="U315" s="28" t="str">
        <f t="shared" si="4"/>
        <v>4473af02-2d6e-42ae-8fd6-1e6eb2b0c846</v>
      </c>
      <c r="V315" s="30" t="str">
        <f t="shared" si="5"/>
        <v>Laptop Ultraliviana 8GB</v>
      </c>
    </row>
    <row r="316" ht="15.75" customHeight="1">
      <c r="A316" s="6">
        <v>45618.0</v>
      </c>
      <c r="B316" s="2" t="s">
        <v>27</v>
      </c>
      <c r="C316" s="2" t="s">
        <v>33</v>
      </c>
      <c r="D316" s="7">
        <v>1175.45</v>
      </c>
      <c r="E316" s="2">
        <v>5.0</v>
      </c>
      <c r="F316" s="7">
        <v>5877.25</v>
      </c>
      <c r="G316" s="2" t="s">
        <v>1221</v>
      </c>
      <c r="H316" s="2" t="s">
        <v>1222</v>
      </c>
      <c r="I316" s="2" t="s">
        <v>1223</v>
      </c>
      <c r="K316" s="19" t="str">
        <f>IFERROR(__xludf.DUMMYFUNCTION("IF(ISBLANK(A316),
  """",
  IF(ISNUMBER(A316),
    TEXT(A316,""dd/mm/yyyy""),
    IF(
      REGEXMATCH(TRIM(A316),""^\d{1,2}/\d{1,2}/\d{4}$""),
      TRIM(A316),
      IFERROR(
        TEXT(DATEVALUE(SUBSTITUTE(SUBSTITUTE(TRIM(A316),""-"",""/""),""."",""/"&amp;""")),""dd/mm/yyyy""),
        TRIM(A316)
      )
    )
  )
)
"),"22/11/2024")</f>
        <v>22/11/2024</v>
      </c>
      <c r="L316" s="20">
        <v>45618.0</v>
      </c>
      <c r="M316" s="21" t="str">
        <f>IFERROR(__xludf.DUMMYFUNCTION("PROPER(TRIM(
  REGEXREPLACE(
    REGEXREPLACE(
      SUBSTITUTE(SUBSTITUTE(SUBSTITUTE(SUBSTITUTE(SUBSTITUTE(SUBSTITUTE(SUBSTITUTE(SUBSTITUTE(SUBSTITUTE(SUBSTITUTE(SUBSTITUTE(
        B316,""√©"",""é""),""√°"",""á""),""√±"",""ñ""),""√≥"",""ó""),""√â"",""é"&amp;"""),""√Å"",""á""),""√ç"",""í""),""√Ç"",""Í""),""√Â"",""é""),""√≠"",""í""),""√º"",""ú""),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16" s="22" t="str">
        <f>IFERROR(__xludf.DUMMYFUNCTION("SPLIT(
  TRIM(
    SUBSTITUTE(
      SUBSTITUTE(
        SUBSTITUTE(
          SUBSTITUTE(
            C316,
            ""√©"", ""é""
          ),
          ""√±"", ""ñ""
        ),
        ""√°"", ""á""
      ),
      ""√≥"", ""ó""
    )
  ),
  ""-""
)
"),"Teléfono")</f>
        <v>Teléfono</v>
      </c>
      <c r="O316" s="22" t="str">
        <f>IFERROR(__xludf.DUMMYFUNCTION("""COMPUTED_VALUE"""),"Gama alta")</f>
        <v>Gama alta</v>
      </c>
      <c r="P316" s="22" t="str">
        <f>IFERROR(__xludf.DUMMYFUNCTION("""COMPUTED_VALUE"""),"4GB")</f>
        <v>4GB</v>
      </c>
      <c r="Q316" s="23">
        <f t="shared" si="1"/>
        <v>1175.45</v>
      </c>
      <c r="R316" s="22">
        <f t="shared" si="2"/>
        <v>5</v>
      </c>
      <c r="S316" s="23">
        <f t="shared" si="3"/>
        <v>5877.25</v>
      </c>
      <c r="T316" s="22" t="str">
        <f>IFERROR(__xludf.DUMMYFUNCTION("PROPER(TRIM(
  LET(
    texto1, REGEXREPLACE(G316,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 Salcedo")</f>
        <v>Abel Salcedo</v>
      </c>
      <c r="U316" s="22" t="str">
        <f t="shared" si="4"/>
        <v>38bac1f5-8a77-4803-a105-2adcca972ed6</v>
      </c>
      <c r="V316" s="24" t="str">
        <f t="shared" si="5"/>
        <v>Teléfono Gama alta 4GB</v>
      </c>
    </row>
    <row r="317" ht="15.75" customHeight="1">
      <c r="A317" s="6">
        <v>45640.0</v>
      </c>
      <c r="B317" s="2" t="s">
        <v>16</v>
      </c>
      <c r="C317" s="2" t="s">
        <v>135</v>
      </c>
      <c r="D317" s="7">
        <v>177.74</v>
      </c>
      <c r="E317" s="2">
        <v>4.0</v>
      </c>
      <c r="F317" s="7">
        <v>710.96</v>
      </c>
      <c r="G317" s="2" t="s">
        <v>1224</v>
      </c>
      <c r="H317" s="2" t="s">
        <v>1225</v>
      </c>
      <c r="I317" s="2" t="s">
        <v>1226</v>
      </c>
      <c r="K317" s="25" t="str">
        <f>IFERROR(__xludf.DUMMYFUNCTION("IF(ISBLANK(A317),
  """",
  IF(ISNUMBER(A317),
    TEXT(A317,""dd/mm/yyyy""),
    IF(
      REGEXMATCH(TRIM(A317),""^\d{1,2}/\d{1,2}/\d{4}$""),
      TRIM(A317),
      IFERROR(
        TEXT(DATEVALUE(SUBSTITUTE(SUBSTITUTE(TRIM(A317),""-"",""/""),""."",""/"&amp;""")),""dd/mm/yyyy""),
        TRIM(A317)
      )
    )
  )
)
"),"14/12/2024")</f>
        <v>14/12/2024</v>
      </c>
      <c r="L317" s="26">
        <v>45640.0</v>
      </c>
      <c r="M317" s="27" t="str">
        <f>IFERROR(__xludf.DUMMYFUNCTION("PROPER(TRIM(
  REGEXREPLACE(
    REGEXREPLACE(
      SUBSTITUTE(SUBSTITUTE(SUBSTITUTE(SUBSTITUTE(SUBSTITUTE(SUBSTITUTE(SUBSTITUTE(SUBSTITUTE(SUBSTITUTE(SUBSTITUTE(SUBSTITUTE(
        B317,""√©"",""é""),""√°"",""á""),""√±"",""ñ""),""√≥"",""ó""),""√â"",""é"&amp;"""),""√Å"",""á""),""√ç"",""í""),""√Ç"",""Í""),""√Â"",""é""),""√≠"",""í""),""√º"",""ú""),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17" s="28" t="str">
        <f>IFERROR(__xludf.DUMMYFUNCTION("SPLIT(
  TRIM(
    SUBSTITUTE(
      SUBSTITUTE(
        SUBSTITUTE(
          SUBSTITUTE(
            C317,
            ""√©"", ""é""
          ),
          ""√±"", ""ñ""
        ),
        ""√°"", ""á""
      ),
      ""√≥"", ""ó""
    )
  ),
  ""-""
)
"),"Laptop")</f>
        <v>Laptop</v>
      </c>
      <c r="O317" s="28" t="str">
        <f>IFERROR(__xludf.DUMMYFUNCTION("""COMPUTED_VALUE"""),"Ultraliviana")</f>
        <v>Ultraliviana</v>
      </c>
      <c r="P317" s="28" t="str">
        <f>IFERROR(__xludf.DUMMYFUNCTION("""COMPUTED_VALUE"""),"32GB")</f>
        <v>32GB</v>
      </c>
      <c r="Q317" s="29">
        <f t="shared" si="1"/>
        <v>177.74</v>
      </c>
      <c r="R317" s="28">
        <f t="shared" si="2"/>
        <v>4</v>
      </c>
      <c r="S317" s="29">
        <f t="shared" si="3"/>
        <v>710.96</v>
      </c>
      <c r="T317" s="28" t="str">
        <f>IFERROR(__xludf.DUMMYFUNCTION("PROPER(TRIM(
  LET(
    texto1, REGEXREPLACE(G317,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"),"Abraham Israel Cortés Gaitán")</f>
        <v>Abraham Israel Cortés Gaitán</v>
      </c>
      <c r="U317" s="28" t="str">
        <f t="shared" si="4"/>
        <v>e14300c1-3569-475f-a547-4c787f5cf604</v>
      </c>
      <c r="V317" s="30" t="str">
        <f t="shared" si="5"/>
        <v>Laptop Ultraliviana 32GB</v>
      </c>
    </row>
    <row r="318" ht="15.75" customHeight="1">
      <c r="A318" s="6">
        <v>45642.0</v>
      </c>
      <c r="B318" s="2" t="s">
        <v>793</v>
      </c>
      <c r="C318" s="2" t="s">
        <v>17</v>
      </c>
      <c r="D318" s="7">
        <v>1220.85</v>
      </c>
      <c r="E318" s="2">
        <v>1.0</v>
      </c>
      <c r="F318" s="7">
        <v>1220.85</v>
      </c>
      <c r="G318" s="2" t="s">
        <v>1227</v>
      </c>
      <c r="H318" s="2" t="s">
        <v>1228</v>
      </c>
      <c r="I318" s="2" t="s">
        <v>1229</v>
      </c>
      <c r="K318" s="19" t="str">
        <f>IFERROR(__xludf.DUMMYFUNCTION("IF(ISBLANK(A318),
  """",
  IF(ISNUMBER(A318),
    TEXT(A318,""dd/mm/yyyy""),
    IF(
      REGEXMATCH(TRIM(A318),""^\d{1,2}/\d{1,2}/\d{4}$""),
      TRIM(A318),
      IFERROR(
        TEXT(DATEVALUE(SUBSTITUTE(SUBSTITUTE(TRIM(A318),""-"",""/""),""."",""/"&amp;""")),""dd/mm/yyyy""),
        TRIM(A318)
      )
    )
  )
)
"),"16/12/2024")</f>
        <v>16/12/2024</v>
      </c>
      <c r="L318" s="20">
        <v>45642.0</v>
      </c>
      <c r="M318" s="21" t="str">
        <f>IFERROR(__xludf.DUMMYFUNCTION("PROPER(TRIM(
  REGEXREPLACE(
    REGEXREPLACE(
      SUBSTITUTE(SUBSTITUTE(SUBSTITUTE(SUBSTITUTE(SUBSTITUTE(SUBSTITUTE(SUBSTITUTE(SUBSTITUTE(SUBSTITUTE(SUBSTITUTE(SUBSTITUTE(
        B318,""√©"",""é""),""√°"",""á""),""√±"",""ñ""),""√≥"",""ó""),""√â"",""é"&amp;"""),""√Å"",""á""),""√ç"",""í""),""√Ç"",""Í""),""√Â"",""é""),""√≠"",""í""),""√º"",""ú""),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18" s="22" t="str">
        <f>IFERROR(__xludf.DUMMYFUNCTION("SPLIT(
  TRIM(
    SUBSTITUTE(
      SUBSTITUTE(
        SUBSTITUTE(
          SUBSTITUTE(
            C318,
            ""√©"", ""é""
          ),
          ""√±"", ""ñ""
        ),
        ""√°"", ""á""
      ),
      ""√≥"", ""ó""
    )
  ),
  ""-""
)
"),"Auriculares")</f>
        <v>Auriculares</v>
      </c>
      <c r="O318" s="22" t="str">
        <f>IFERROR(__xludf.DUMMYFUNCTION("""COMPUTED_VALUE"""),"Bluetooth")</f>
        <v>Bluetooth</v>
      </c>
      <c r="P318" s="22" t="str">
        <f>IFERROR(__xludf.DUMMYFUNCTION("""COMPUTED_VALUE"""),"8GB")</f>
        <v>8GB</v>
      </c>
      <c r="Q318" s="23">
        <f t="shared" si="1"/>
        <v>1220.85</v>
      </c>
      <c r="R318" s="22">
        <f t="shared" si="2"/>
        <v>1</v>
      </c>
      <c r="S318" s="23">
        <f t="shared" si="3"/>
        <v>1220.85</v>
      </c>
      <c r="T318" s="22" t="str">
        <f>IFERROR(__xludf.DUMMYFUNCTION("PROPER(TRIM(
  LET(
    texto1, REGEXREPLACE(G318,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"),"Amador Scar Orellana")</f>
        <v>Amador Scar Orellana</v>
      </c>
      <c r="U318" s="22" t="str">
        <f t="shared" si="4"/>
        <v>f10d3d99-9f63-4b93-a89a-94e952ffcf1c</v>
      </c>
      <c r="V318" s="24" t="str">
        <f t="shared" si="5"/>
        <v>Auriculares Bluetooth 8GB</v>
      </c>
    </row>
    <row r="319" ht="15.75" customHeight="1">
      <c r="A319" s="6">
        <v>45582.0</v>
      </c>
      <c r="B319" s="2" t="s">
        <v>27</v>
      </c>
      <c r="C319" s="2" t="s">
        <v>250</v>
      </c>
      <c r="D319" s="7">
        <v>1866.74</v>
      </c>
      <c r="E319" s="2">
        <v>4.0</v>
      </c>
      <c r="F319" s="7">
        <v>7466.96</v>
      </c>
      <c r="G319" s="2" t="s">
        <v>1230</v>
      </c>
      <c r="H319" s="2" t="s">
        <v>1231</v>
      </c>
      <c r="I319" s="2" t="s">
        <v>1232</v>
      </c>
      <c r="K319" s="25" t="str">
        <f>IFERROR(__xludf.DUMMYFUNCTION("IF(ISBLANK(A319),
  """",
  IF(ISNUMBER(A319),
    TEXT(A319,""dd/mm/yyyy""),
    IF(
      REGEXMATCH(TRIM(A319),""^\d{1,2}/\d{1,2}/\d{4}$""),
      TRIM(A319),
      IFERROR(
        TEXT(DATEVALUE(SUBSTITUTE(SUBSTITUTE(TRIM(A319),""-"",""/""),""."",""/"&amp;""")),""dd/mm/yyyy""),
        TRIM(A319)
      )
    )
  )
)
"),"17/10/2024")</f>
        <v>17/10/2024</v>
      </c>
      <c r="L319" s="26">
        <v>45582.0</v>
      </c>
      <c r="M319" s="27" t="str">
        <f>IFERROR(__xludf.DUMMYFUNCTION("PROPER(TRIM(
  REGEXREPLACE(
    REGEXREPLACE(
      SUBSTITUTE(SUBSTITUTE(SUBSTITUTE(SUBSTITUTE(SUBSTITUTE(SUBSTITUTE(SUBSTITUTE(SUBSTITUTE(SUBSTITUTE(SUBSTITUTE(SUBSTITUTE(
        B319,""√©"",""é""),""√°"",""á""),""√±"",""ñ""),""√≥"",""ó""),""√â"",""é"&amp;"""),""√Å"",""á""),""√ç"",""í""),""√Ç"",""Í""),""√Â"",""é""),""√≠"",""í""),""√º"",""ú""),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19" s="28" t="str">
        <f>IFERROR(__xludf.DUMMYFUNCTION("SPLIT(
  TRIM(
    SUBSTITUTE(
      SUBSTITUTE(
        SUBSTITUTE(
          SUBSTITUTE(
            C319,
            ""√©"", ""é""
          ),
          ""√±"", ""ñ""
        ),
        ""√°"", ""á""
      ),
      ""√≥"", ""ó""
    )
  ),
  ""-""
)
"),"Laptop")</f>
        <v>Laptop</v>
      </c>
      <c r="O319" s="28" t="str">
        <f>IFERROR(__xludf.DUMMYFUNCTION("""COMPUTED_VALUE"""),"Oficina")</f>
        <v>Oficina</v>
      </c>
      <c r="P319" s="28" t="str">
        <f>IFERROR(__xludf.DUMMYFUNCTION("""COMPUTED_VALUE"""),"32GB")</f>
        <v>32GB</v>
      </c>
      <c r="Q319" s="29">
        <f t="shared" si="1"/>
        <v>1866.74</v>
      </c>
      <c r="R319" s="28">
        <f t="shared" si="2"/>
        <v>4</v>
      </c>
      <c r="S319" s="29">
        <f t="shared" si="3"/>
        <v>7466.96</v>
      </c>
      <c r="T319" s="28" t="str">
        <f>IFERROR(__xludf.DUMMYFUNCTION("PROPER(TRIM(
  LET(
    texto1, REGEXREPLACE(G319,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"),"Lourdes Godoy Niño")</f>
        <v>Lourdes Godoy Niño</v>
      </c>
      <c r="U319" s="28" t="str">
        <f t="shared" si="4"/>
        <v>8cfb7643-588b-4ac4-8843-ef2886b4bbea</v>
      </c>
      <c r="V319" s="30" t="str">
        <f t="shared" si="5"/>
        <v>Laptop Oficina 32GB</v>
      </c>
    </row>
    <row r="320" ht="15.75" customHeight="1">
      <c r="A320" s="6">
        <v>45590.0</v>
      </c>
      <c r="B320" s="2" t="s">
        <v>50</v>
      </c>
      <c r="C320" s="2" t="s">
        <v>152</v>
      </c>
      <c r="D320" s="7">
        <v>1363.09</v>
      </c>
      <c r="E320" s="2">
        <v>5.0</v>
      </c>
      <c r="F320" s="7">
        <v>6815.45</v>
      </c>
      <c r="G320" s="2" t="s">
        <v>1234</v>
      </c>
      <c r="H320" s="2" t="s">
        <v>1235</v>
      </c>
      <c r="I320" s="2" t="s">
        <v>1236</v>
      </c>
      <c r="K320" s="19" t="str">
        <f>IFERROR(__xludf.DUMMYFUNCTION("IF(ISBLANK(A320),
  """",
  IF(ISNUMBER(A320),
    TEXT(A320,""dd/mm/yyyy""),
    IF(
      REGEXMATCH(TRIM(A320),""^\d{1,2}/\d{1,2}/\d{4}$""),
      TRIM(A320),
      IFERROR(
        TEXT(DATEVALUE(SUBSTITUTE(SUBSTITUTE(TRIM(A320),""-"",""/""),""."",""/"&amp;""")),""dd/mm/yyyy""),
        TRIM(A320)
      )
    )
  )
)
"),"25/10/2024")</f>
        <v>25/10/2024</v>
      </c>
      <c r="L320" s="20">
        <v>45590.0</v>
      </c>
      <c r="M320" s="21" t="str">
        <f>IFERROR(__xludf.DUMMYFUNCTION("PROPER(TRIM(
  REGEXREPLACE(
    REGEXREPLACE(
      SUBSTITUTE(SUBSTITUTE(SUBSTITUTE(SUBSTITUTE(SUBSTITUTE(SUBSTITUTE(SUBSTITUTE(SUBSTITUTE(SUBSTITUTE(SUBSTITUTE(SUBSTITUTE(
        B320,""√©"",""é""),""√°"",""á""),""√±"",""ñ""),""√≥"",""ó""),""√â"",""é"&amp;"""),""√Å"",""á""),""√ç"",""í""),""√Ç"",""Í""),""√Â"",""é""),""√≠"",""í""),""√º"",""ú""),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20" s="22" t="str">
        <f>IFERROR(__xludf.DUMMYFUNCTION("SPLIT(
  TRIM(
    SUBSTITUTE(
      SUBSTITUTE(
        SUBSTITUTE(
          SUBSTITUTE(
            C320,
            ""√©"", ""é""
          ),
          ""√±"", ""ñ""
        ),
        ""√°"", ""á""
      ),
      ""√≥"", ""ó""
    )
  ),
  ""-""
)
"),"Teléfono")</f>
        <v>Teléfono</v>
      </c>
      <c r="O320" s="22" t="str">
        <f>IFERROR(__xludf.DUMMYFUNCTION("""COMPUTED_VALUE"""),"Gama baja")</f>
        <v>Gama baja</v>
      </c>
      <c r="P320" s="22" t="str">
        <f>IFERROR(__xludf.DUMMYFUNCTION("""COMPUTED_VALUE"""),"4GB")</f>
        <v>4GB</v>
      </c>
      <c r="Q320" s="23">
        <f t="shared" si="1"/>
        <v>1363.09</v>
      </c>
      <c r="R320" s="22">
        <f t="shared" si="2"/>
        <v>5</v>
      </c>
      <c r="S320" s="23">
        <f t="shared" si="3"/>
        <v>6815.45</v>
      </c>
      <c r="T320" s="22" t="str">
        <f>IFERROR(__xludf.DUMMYFUNCTION("PROPER(TRIM(
  LET(
    texto1, REGEXREPLACE(G320,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"),"Germán León")</f>
        <v>Germán León</v>
      </c>
      <c r="U320" s="22" t="str">
        <f t="shared" si="4"/>
        <v>d4f65876-1ffb-4376-ac69-30bc4a1f11d5</v>
      </c>
      <c r="V320" s="24" t="str">
        <f t="shared" si="5"/>
        <v>Teléfono Gama baja 4GB</v>
      </c>
    </row>
    <row r="321" ht="15.75" customHeight="1">
      <c r="A321" s="6">
        <v>45605.0</v>
      </c>
      <c r="B321" s="2" t="s">
        <v>27</v>
      </c>
      <c r="C321" s="2" t="s">
        <v>500</v>
      </c>
      <c r="D321" s="7">
        <v>720.63</v>
      </c>
      <c r="E321" s="2">
        <v>1.0</v>
      </c>
      <c r="F321" s="7">
        <v>720.63</v>
      </c>
      <c r="G321" s="2" t="s">
        <v>1237</v>
      </c>
      <c r="H321" s="2" t="s">
        <v>1238</v>
      </c>
      <c r="I321" s="2" t="s">
        <v>1239</v>
      </c>
      <c r="K321" s="25" t="str">
        <f>IFERROR(__xludf.DUMMYFUNCTION("IF(ISBLANK(A321),
  """",
  IF(ISNUMBER(A321),
    TEXT(A321,""dd/mm/yyyy""),
    IF(
      REGEXMATCH(TRIM(A321),""^\d{1,2}/\d{1,2}/\d{4}$""),
      TRIM(A321),
      IFERROR(
        TEXT(DATEVALUE(SUBSTITUTE(SUBSTITUTE(TRIM(A321),""-"",""/""),""."",""/"&amp;""")),""dd/mm/yyyy""),
        TRIM(A321)
      )
    )
  )
)
"),"09/11/2024")</f>
        <v>09/11/2024</v>
      </c>
      <c r="L321" s="26">
        <v>45605.0</v>
      </c>
      <c r="M321" s="27" t="str">
        <f>IFERROR(__xludf.DUMMYFUNCTION("PROPER(TRIM(
  REGEXREPLACE(
    REGEXREPLACE(
      SUBSTITUTE(SUBSTITUTE(SUBSTITUTE(SUBSTITUTE(SUBSTITUTE(SUBSTITUTE(SUBSTITUTE(SUBSTITUTE(SUBSTITUTE(SUBSTITUTE(SUBSTITUTE(
        B321,""√©"",""é""),""√°"",""á""),""√±"",""ñ""),""√≥"",""ó""),""√â"",""é"&amp;"""),""√Å"",""á""),""√ç"",""í""),""√Ç"",""Í""),""√Â"",""é""),""√≠"",""í""),""√º"",""ú""),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21" s="28" t="str">
        <f>IFERROR(__xludf.DUMMYFUNCTION("SPLIT(
  TRIM(
    SUBSTITUTE(
      SUBSTITUTE(
        SUBSTITUTE(
          SUBSTITUTE(
            C321,
            ""√©"", ""é""
          ),
          ""√±"", ""ñ""
        ),
        ""√°"", ""á""
      ),
      ""√≥"", ""ó""
    )
  ),
  ""-""
)
"),"Teléfono")</f>
        <v>Teléfono</v>
      </c>
      <c r="O321" s="28" t="str">
        <f>IFERROR(__xludf.DUMMYFUNCTION("""COMPUTED_VALUE"""),"Gama alta")</f>
        <v>Gama alta</v>
      </c>
      <c r="P321" s="28" t="str">
        <f>IFERROR(__xludf.DUMMYFUNCTION("""COMPUTED_VALUE"""),"32GB")</f>
        <v>32GB</v>
      </c>
      <c r="Q321" s="29">
        <f t="shared" si="1"/>
        <v>720.63</v>
      </c>
      <c r="R321" s="28">
        <f t="shared" si="2"/>
        <v>1</v>
      </c>
      <c r="S321" s="29">
        <f t="shared" si="3"/>
        <v>720.63</v>
      </c>
      <c r="T321" s="28" t="str">
        <f>IFERROR(__xludf.DUMMYFUNCTION("PROPER(TRIM(
  LET(
    texto1, REGEXREPLACE(G321,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"),"Sergio Hugo Benavídez García")</f>
        <v>Sergio Hugo Benavídez García</v>
      </c>
      <c r="U321" s="28" t="str">
        <f t="shared" si="4"/>
        <v>c100b479-c169-4f62-8d2a-82994a8ef0fa</v>
      </c>
      <c r="V321" s="30" t="str">
        <f t="shared" si="5"/>
        <v>Teléfono Gama alta 32GB</v>
      </c>
    </row>
    <row r="322" ht="15.75" customHeight="1">
      <c r="A322" s="6">
        <v>45649.0</v>
      </c>
      <c r="B322" s="2" t="s">
        <v>85</v>
      </c>
      <c r="C322" s="2" t="s">
        <v>162</v>
      </c>
      <c r="D322" s="7">
        <v>1719.53</v>
      </c>
      <c r="E322" s="2">
        <v>2.0</v>
      </c>
      <c r="F322" s="7">
        <v>3439.06</v>
      </c>
      <c r="G322" s="2" t="s">
        <v>1240</v>
      </c>
      <c r="H322" s="2" t="s">
        <v>1241</v>
      </c>
      <c r="I322" s="2" t="s">
        <v>1242</v>
      </c>
      <c r="K322" s="19" t="str">
        <f>IFERROR(__xludf.DUMMYFUNCTION("IF(ISBLANK(A322),
  """",
  IF(ISNUMBER(A322),
    TEXT(A322,""dd/mm/yyyy""),
    IF(
      REGEXMATCH(TRIM(A322),""^\d{1,2}/\d{1,2}/\d{4}$""),
      TRIM(A322),
      IFERROR(
        TEXT(DATEVALUE(SUBSTITUTE(SUBSTITUTE(TRIM(A322),""-"",""/""),""."",""/"&amp;""")),""dd/mm/yyyy""),
        TRIM(A322)
      )
    )
  )
)
"),"23/12/2024")</f>
        <v>23/12/2024</v>
      </c>
      <c r="L322" s="20">
        <v>45649.0</v>
      </c>
      <c r="M322" s="21" t="str">
        <f>IFERROR(__xludf.DUMMYFUNCTION("PROPER(TRIM(
  REGEXREPLACE(
    REGEXREPLACE(
      SUBSTITUTE(SUBSTITUTE(SUBSTITUTE(SUBSTITUTE(SUBSTITUTE(SUBSTITUTE(SUBSTITUTE(SUBSTITUTE(SUBSTITUTE(SUBSTITUTE(SUBSTITUTE(
        B322,""√©"",""é""),""√°"",""á""),""√±"",""ñ""),""√≥"",""ó""),""√â"",""é"&amp;"""),""√Å"",""á""),""√ç"",""í""),""√Ç"",""Í""),""√Â"",""é""),""√≠"",""í""),""√º"",""ú""),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22" s="22" t="str">
        <f>IFERROR(__xludf.DUMMYFUNCTION("SPLIT(
  TRIM(
    SUBSTITUTE(
      SUBSTITUTE(
        SUBSTITUTE(
          SUBSTITUTE(
            C322,
            ""√©"", ""é""
          ),
          ""√±"", ""ñ""
        ),
        ""√°"", ""á""
      ),
      ""√≥"", ""ó""
    )
  ),
  ""-""
)
"),"Teléfono")</f>
        <v>Teléfono</v>
      </c>
      <c r="O322" s="22" t="str">
        <f>IFERROR(__xludf.DUMMYFUNCTION("""COMPUTED_VALUE"""),"Gama alta")</f>
        <v>Gama alta</v>
      </c>
      <c r="P322" s="22" t="str">
        <f>IFERROR(__xludf.DUMMYFUNCTION("""COMPUTED_VALUE"""),"16GB")</f>
        <v>16GB</v>
      </c>
      <c r="Q322" s="23">
        <f t="shared" si="1"/>
        <v>1719.53</v>
      </c>
      <c r="R322" s="22">
        <f t="shared" si="2"/>
        <v>2</v>
      </c>
      <c r="S322" s="23">
        <f t="shared" si="3"/>
        <v>3439.06</v>
      </c>
      <c r="T322" s="22" t="str">
        <f>IFERROR(__xludf.DUMMYFUNCTION("PROPER(TRIM(
  LET(
    texto1, REGEXREPLACE(G322,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"),"Alejandro Rodrigo Guillen Paredes")</f>
        <v>Alejandro Rodrigo Guillen Paredes</v>
      </c>
      <c r="U322" s="22" t="str">
        <f t="shared" si="4"/>
        <v>cb2352c0-8796-4ebd-84d7-33203546a4cb</v>
      </c>
      <c r="V322" s="24" t="str">
        <f t="shared" si="5"/>
        <v>Teléfono Gama alta 16GB</v>
      </c>
    </row>
    <row r="323" ht="15.75" customHeight="1">
      <c r="A323" s="6">
        <v>45584.0</v>
      </c>
      <c r="B323" s="2" t="s">
        <v>101</v>
      </c>
      <c r="C323" s="2" t="s">
        <v>33</v>
      </c>
      <c r="D323" s="7">
        <v>2484.74</v>
      </c>
      <c r="E323" s="2">
        <v>5.0</v>
      </c>
      <c r="F323" s="7">
        <v>12423.7</v>
      </c>
      <c r="G323" s="2" t="s">
        <v>1243</v>
      </c>
      <c r="H323" s="2" t="s">
        <v>1244</v>
      </c>
      <c r="I323" s="2" t="s">
        <v>1245</v>
      </c>
      <c r="K323" s="25" t="str">
        <f>IFERROR(__xludf.DUMMYFUNCTION("IF(ISBLANK(A323),
  """",
  IF(ISNUMBER(A323),
    TEXT(A323,""dd/mm/yyyy""),
    IF(
      REGEXMATCH(TRIM(A323),""^\d{1,2}/\d{1,2}/\d{4}$""),
      TRIM(A323),
      IFERROR(
        TEXT(DATEVALUE(SUBSTITUTE(SUBSTITUTE(TRIM(A323),""-"",""/""),""."",""/"&amp;""")),""dd/mm/yyyy""),
        TRIM(A323)
      )
    )
  )
)
"),"19/10/2024")</f>
        <v>19/10/2024</v>
      </c>
      <c r="L323" s="26">
        <v>45584.0</v>
      </c>
      <c r="M323" s="27" t="str">
        <f>IFERROR(__xludf.DUMMYFUNCTION("PROPER(TRIM(
  REGEXREPLACE(
    REGEXREPLACE(
      SUBSTITUTE(SUBSTITUTE(SUBSTITUTE(SUBSTITUTE(SUBSTITUTE(SUBSTITUTE(SUBSTITUTE(SUBSTITUTE(SUBSTITUTE(SUBSTITUTE(SUBSTITUTE(
        B323,""√©"",""é""),""√°"",""á""),""√±"",""ñ""),""√≥"",""ó""),""√â"",""é"&amp;"""),""√Å"",""á""),""√ç"",""í""),""√Ç"",""Í""),""√Â"",""é""),""√≠"",""í""),""√º"",""ú""),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23" s="28" t="str">
        <f>IFERROR(__xludf.DUMMYFUNCTION("SPLIT(
  TRIM(
    SUBSTITUTE(
      SUBSTITUTE(
        SUBSTITUTE(
          SUBSTITUTE(
            C323,
            ""√©"", ""é""
          ),
          ""√±"", ""ñ""
        ),
        ""√°"", ""á""
      ),
      ""√≥"", ""ó""
    )
  ),
  ""-""
)
"),"Teléfono")</f>
        <v>Teléfono</v>
      </c>
      <c r="O323" s="28" t="str">
        <f>IFERROR(__xludf.DUMMYFUNCTION("""COMPUTED_VALUE"""),"Gama alta")</f>
        <v>Gama alta</v>
      </c>
      <c r="P323" s="28" t="str">
        <f>IFERROR(__xludf.DUMMYFUNCTION("""COMPUTED_VALUE"""),"4GB")</f>
        <v>4GB</v>
      </c>
      <c r="Q323" s="29">
        <f t="shared" si="1"/>
        <v>2484.74</v>
      </c>
      <c r="R323" s="28">
        <f t="shared" si="2"/>
        <v>5</v>
      </c>
      <c r="S323" s="29">
        <f t="shared" si="3"/>
        <v>12423.7</v>
      </c>
      <c r="T323" s="28" t="str">
        <f>IFERROR(__xludf.DUMMYFUNCTION("PROPER(TRIM(
  LET(
    texto1, REGEXREPLACE(G323,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 Campos")</f>
        <v>Daniel Campos</v>
      </c>
      <c r="U323" s="28" t="str">
        <f t="shared" si="4"/>
        <v>826d9505-bc85-407f-95a3-b12b5fe5566b</v>
      </c>
      <c r="V323" s="30" t="str">
        <f t="shared" si="5"/>
        <v>Teléfono Gama alta 4GB</v>
      </c>
    </row>
    <row r="324" ht="15.75" customHeight="1">
      <c r="A324" s="6">
        <v>45608.0</v>
      </c>
      <c r="B324" s="2" t="s">
        <v>85</v>
      </c>
      <c r="C324" s="2" t="s">
        <v>235</v>
      </c>
      <c r="D324" s="7">
        <v>2437.77</v>
      </c>
      <c r="E324" s="2">
        <v>2.0</v>
      </c>
      <c r="F324" s="7">
        <v>4875.54</v>
      </c>
      <c r="G324" s="2" t="s">
        <v>1246</v>
      </c>
      <c r="H324" s="2" t="s">
        <v>1247</v>
      </c>
      <c r="I324" s="2" t="s">
        <v>1248</v>
      </c>
      <c r="K324" s="19" t="str">
        <f>IFERROR(__xludf.DUMMYFUNCTION("IF(ISBLANK(A324),
  """",
  IF(ISNUMBER(A324),
    TEXT(A324,""dd/mm/yyyy""),
    IF(
      REGEXMATCH(TRIM(A324),""^\d{1,2}/\d{1,2}/\d{4}$""),
      TRIM(A324),
      IFERROR(
        TEXT(DATEVALUE(SUBSTITUTE(SUBSTITUTE(TRIM(A324),""-"",""/""),""."",""/"&amp;""")),""dd/mm/yyyy""),
        TRIM(A324)
      )
    )
  )
)
"),"12/11/2024")</f>
        <v>12/11/2024</v>
      </c>
      <c r="L324" s="20">
        <v>45608.0</v>
      </c>
      <c r="M324" s="21" t="str">
        <f>IFERROR(__xludf.DUMMYFUNCTION("PROPER(TRIM(
  REGEXREPLACE(
    REGEXREPLACE(
      SUBSTITUTE(SUBSTITUTE(SUBSTITUTE(SUBSTITUTE(SUBSTITUTE(SUBSTITUTE(SUBSTITUTE(SUBSTITUTE(SUBSTITUTE(SUBSTITUTE(SUBSTITUTE(
        B324,""√©"",""é""),""√°"",""á""),""√±"",""ñ""),""√≥"",""ó""),""√â"",""é"&amp;"""),""√Å"",""á""),""√ç"",""í""),""√Ç"",""Í""),""√Â"",""é""),""√≠"",""í""),""√º"",""ú""),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24" s="22" t="str">
        <f>IFERROR(__xludf.DUMMYFUNCTION("SPLIT(
  TRIM(
    SUBSTITUTE(
      SUBSTITUTE(
        SUBSTITUTE(
          SUBSTITUTE(
            C324,
            ""√©"", ""é""
          ),
          ""√±"", ""ñ""
        ),
        ""√°"", ""á""
      ),
      ""√≥"", ""ó""
    )
  ),
  ""-""
)
"),"Tablet")</f>
        <v>Tablet</v>
      </c>
      <c r="O324" s="22" t="str">
        <f>IFERROR(__xludf.DUMMYFUNCTION("""COMPUTED_VALUE"""),"Estándar")</f>
        <v>Estándar</v>
      </c>
      <c r="P324" s="22" t="str">
        <f>IFERROR(__xludf.DUMMYFUNCTION("""COMPUTED_VALUE"""),"4GB")</f>
        <v>4GB</v>
      </c>
      <c r="Q324" s="23">
        <f t="shared" si="1"/>
        <v>2437.77</v>
      </c>
      <c r="R324" s="22">
        <f t="shared" si="2"/>
        <v>2</v>
      </c>
      <c r="S324" s="23">
        <f t="shared" si="3"/>
        <v>4875.54</v>
      </c>
      <c r="T324" s="22" t="str">
        <f>IFERROR(__xludf.DUMMYFUNCTION("PROPER(TRIM(
  LET(
    texto1, REGEXREPLACE(G324,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"),"Carla Nevárez")</f>
        <v>Carla Nevárez</v>
      </c>
      <c r="U324" s="22" t="str">
        <f t="shared" si="4"/>
        <v>4e35c600-2a16-4f28-9de5-5ac2151674a5</v>
      </c>
      <c r="V324" s="24" t="str">
        <f t="shared" si="5"/>
        <v>Tablet Estándar 4GB</v>
      </c>
    </row>
    <row r="325" ht="15.75" customHeight="1">
      <c r="A325" s="6">
        <v>45654.0</v>
      </c>
      <c r="B325" s="2" t="s">
        <v>38</v>
      </c>
      <c r="C325" s="2" t="s">
        <v>250</v>
      </c>
      <c r="D325" s="7">
        <v>702.77</v>
      </c>
      <c r="E325" s="2">
        <v>3.0</v>
      </c>
      <c r="F325" s="7">
        <v>2108.31</v>
      </c>
      <c r="G325" s="2" t="s">
        <v>1250</v>
      </c>
      <c r="H325" s="2" t="s">
        <v>1251</v>
      </c>
      <c r="I325" s="2" t="s">
        <v>1252</v>
      </c>
      <c r="K325" s="25" t="str">
        <f>IFERROR(__xludf.DUMMYFUNCTION("IF(ISBLANK(A325),
  """",
  IF(ISNUMBER(A325),
    TEXT(A325,""dd/mm/yyyy""),
    IF(
      REGEXMATCH(TRIM(A325),""^\d{1,2}/\d{1,2}/\d{4}$""),
      TRIM(A325),
      IFERROR(
        TEXT(DATEVALUE(SUBSTITUTE(SUBSTITUTE(TRIM(A325),""-"",""/""),""."",""/"&amp;""")),""dd/mm/yyyy""),
        TRIM(A325)
      )
    )
  )
)
"),"28/12/2024")</f>
        <v>28/12/2024</v>
      </c>
      <c r="L325" s="26">
        <v>45654.0</v>
      </c>
      <c r="M325" s="27" t="str">
        <f>IFERROR(__xludf.DUMMYFUNCTION("PROPER(TRIM(
  REGEXREPLACE(
    REGEXREPLACE(
      SUBSTITUTE(SUBSTITUTE(SUBSTITUTE(SUBSTITUTE(SUBSTITUTE(SUBSTITUTE(SUBSTITUTE(SUBSTITUTE(SUBSTITUTE(SUBSTITUTE(SUBSTITUTE(
        B325,""√©"",""é""),""√°"",""á""),""√±"",""ñ""),""√≥"",""ó""),""√â"",""é"&amp;"""),""√Å"",""á""),""√ç"",""í""),""√Ç"",""Í""),""√Â"",""é""),""√≠"",""í""),""√º"",""ú""),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25" s="28" t="str">
        <f>IFERROR(__xludf.DUMMYFUNCTION("SPLIT(
  TRIM(
    SUBSTITUTE(
      SUBSTITUTE(
        SUBSTITUTE(
          SUBSTITUTE(
            C325,
            ""√©"", ""é""
          ),
          ""√±"", ""ñ""
        ),
        ""√°"", ""á""
      ),
      ""√≥"", ""ó""
    )
  ),
  ""-""
)
"),"Laptop")</f>
        <v>Laptop</v>
      </c>
      <c r="O325" s="28" t="str">
        <f>IFERROR(__xludf.DUMMYFUNCTION("""COMPUTED_VALUE"""),"Oficina")</f>
        <v>Oficina</v>
      </c>
      <c r="P325" s="28" t="str">
        <f>IFERROR(__xludf.DUMMYFUNCTION("""COMPUTED_VALUE"""),"32GB")</f>
        <v>32GB</v>
      </c>
      <c r="Q325" s="29">
        <f t="shared" si="1"/>
        <v>702.77</v>
      </c>
      <c r="R325" s="28">
        <f t="shared" si="2"/>
        <v>3</v>
      </c>
      <c r="S325" s="29">
        <f t="shared" si="3"/>
        <v>2108.31</v>
      </c>
      <c r="T325" s="28" t="str">
        <f>IFERROR(__xludf.DUMMYFUNCTION("PROPER(TRIM(
  LET(
    texto1, REGEXREPLACE(G325,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"),"Armando Mónica Reyna")</f>
        <v>Armando Mónica Reyna</v>
      </c>
      <c r="U325" s="28" t="str">
        <f t="shared" si="4"/>
        <v>c29d00e9-6a9a-45f0-b194-a343ff209570</v>
      </c>
      <c r="V325" s="30" t="str">
        <f t="shared" si="5"/>
        <v>Laptop Oficina 32GB</v>
      </c>
    </row>
    <row r="326" ht="15.75" customHeight="1">
      <c r="A326" s="6">
        <v>45578.0</v>
      </c>
      <c r="B326" s="2" t="s">
        <v>85</v>
      </c>
      <c r="C326" s="2" t="s">
        <v>508</v>
      </c>
      <c r="D326" s="7">
        <v>284.79</v>
      </c>
      <c r="E326" s="2">
        <v>5.0</v>
      </c>
      <c r="F326" s="7">
        <v>1423.95</v>
      </c>
      <c r="G326" s="2" t="s">
        <v>1254</v>
      </c>
      <c r="H326" s="2" t="s">
        <v>1255</v>
      </c>
      <c r="I326" s="2" t="s">
        <v>1256</v>
      </c>
      <c r="K326" s="19" t="str">
        <f>IFERROR(__xludf.DUMMYFUNCTION("IF(ISBLANK(A326),
  """",
  IF(ISNUMBER(A326),
    TEXT(A326,""dd/mm/yyyy""),
    IF(
      REGEXMATCH(TRIM(A326),""^\d{1,2}/\d{1,2}/\d{4}$""),
      TRIM(A326),
      IFERROR(
        TEXT(DATEVALUE(SUBSTITUTE(SUBSTITUTE(TRIM(A326),""-"",""/""),""."",""/"&amp;""")),""dd/mm/yyyy""),
        TRIM(A326)
      )
    )
  )
)
"),"13/10/2024")</f>
        <v>13/10/2024</v>
      </c>
      <c r="L326" s="20">
        <v>45578.0</v>
      </c>
      <c r="M326" s="21" t="str">
        <f>IFERROR(__xludf.DUMMYFUNCTION("PROPER(TRIM(
  REGEXREPLACE(
    REGEXREPLACE(
      SUBSTITUTE(SUBSTITUTE(SUBSTITUTE(SUBSTITUTE(SUBSTITUTE(SUBSTITUTE(SUBSTITUTE(SUBSTITUTE(SUBSTITUTE(SUBSTITUTE(SUBSTITUTE(
        B326,""√©"",""é""),""√°"",""á""),""√±"",""ñ""),""√≥"",""ó""),""√â"",""é"&amp;"""),""√Å"",""á""),""√ç"",""í""),""√Ç"",""Í""),""√Â"",""é""),""√≠"",""í""),""√º"",""ú""),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26" s="22" t="str">
        <f>IFERROR(__xludf.DUMMYFUNCTION("SPLIT(
  TRIM(
    SUBSTITUTE(
      SUBSTITUTE(
        SUBSTITUTE(
          SUBSTITUTE(
            C326,
            ""√©"", ""é""
          ),
          ""√±"", ""ñ""
        ),
        ""√°"", ""á""
      ),
      ""√≥"", ""ó""
    )
  ),
  ""-""
)
"),"Auriculares")</f>
        <v>Auriculares</v>
      </c>
      <c r="O326" s="22" t="str">
        <f>IFERROR(__xludf.DUMMYFUNCTION("""COMPUTED_VALUE"""),"Cancelación de ruido")</f>
        <v>Cancelación de ruido</v>
      </c>
      <c r="P326" s="22" t="str">
        <f>IFERROR(__xludf.DUMMYFUNCTION("""COMPUTED_VALUE"""),"16GB")</f>
        <v>16GB</v>
      </c>
      <c r="Q326" s="23">
        <f t="shared" si="1"/>
        <v>284.79</v>
      </c>
      <c r="R326" s="22">
        <f t="shared" si="2"/>
        <v>5</v>
      </c>
      <c r="S326" s="23">
        <f t="shared" si="3"/>
        <v>1423.95</v>
      </c>
      <c r="T326" s="22" t="str">
        <f>IFERROR(__xludf.DUMMYFUNCTION("PROPER(TRIM(
  LET(
    texto1, REGEXREPLACE(G326,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"),"Alta Gracia Alicia Guzmán")</f>
        <v>Alta Gracia Alicia Guzmán</v>
      </c>
      <c r="U326" s="22" t="str">
        <f t="shared" si="4"/>
        <v>88268205-0f39-4e9a-9353-1a9ee68c009c</v>
      </c>
      <c r="V326" s="24" t="str">
        <f t="shared" si="5"/>
        <v>Auriculares Cancelación de ruido 16GB</v>
      </c>
    </row>
    <row r="327" ht="15.75" customHeight="1">
      <c r="A327" s="6">
        <v>45652.0</v>
      </c>
      <c r="B327" s="2" t="s">
        <v>85</v>
      </c>
      <c r="C327" s="2" t="s">
        <v>91</v>
      </c>
      <c r="D327" s="7">
        <v>824.79</v>
      </c>
      <c r="E327" s="2">
        <v>4.0</v>
      </c>
      <c r="F327" s="7">
        <v>3299.16</v>
      </c>
      <c r="G327" s="2" t="s">
        <v>1257</v>
      </c>
      <c r="H327" s="2" t="s">
        <v>1258</v>
      </c>
      <c r="I327" s="2" t="s">
        <v>1259</v>
      </c>
      <c r="K327" s="25" t="str">
        <f>IFERROR(__xludf.DUMMYFUNCTION("IF(ISBLANK(A327),
  """",
  IF(ISNUMBER(A327),
    TEXT(A327,""dd/mm/yyyy""),
    IF(
      REGEXMATCH(TRIM(A327),""^\d{1,2}/\d{1,2}/\d{4}$""),
      TRIM(A327),
      IFERROR(
        TEXT(DATEVALUE(SUBSTITUTE(SUBSTITUTE(TRIM(A327),""-"",""/""),""."",""/"&amp;""")),""dd/mm/yyyy""),
        TRIM(A327)
      )
    )
  )
)
"),"26/12/2024")</f>
        <v>26/12/2024</v>
      </c>
      <c r="L327" s="26">
        <v>45652.0</v>
      </c>
      <c r="M327" s="27" t="str">
        <f>IFERROR(__xludf.DUMMYFUNCTION("PROPER(TRIM(
  REGEXREPLACE(
    REGEXREPLACE(
      SUBSTITUTE(SUBSTITUTE(SUBSTITUTE(SUBSTITUTE(SUBSTITUTE(SUBSTITUTE(SUBSTITUTE(SUBSTITUTE(SUBSTITUTE(SUBSTITUTE(SUBSTITUTE(
        B327,""√©"",""é""),""√°"",""á""),""√±"",""ñ""),""√≥"",""ó""),""√â"",""é"&amp;"""),""√Å"",""á""),""√ç"",""í""),""√Ç"",""Í""),""√Â"",""é""),""√≠"",""í""),""√º"",""ú""),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27" s="28" t="str">
        <f>IFERROR(__xludf.DUMMYFUNCTION("SPLIT(
  TRIM(
    SUBSTITUTE(
      SUBSTITUTE(
        SUBSTITUTE(
          SUBSTITUTE(
            C327,
            ""√©"", ""é""
          ),
          ""√±"", ""ñ""
        ),
        ""√°"", ""á""
      ),
      ""√≥"", ""ó""
    )
  ),
  ""-""
)
"),"Tablet")</f>
        <v>Tablet</v>
      </c>
      <c r="O327" s="28" t="str">
        <f>IFERROR(__xludf.DUMMYFUNCTION("""COMPUTED_VALUE"""),"Mini")</f>
        <v>Mini</v>
      </c>
      <c r="P327" s="28" t="str">
        <f>IFERROR(__xludf.DUMMYFUNCTION("""COMPUTED_VALUE"""),"32GB")</f>
        <v>32GB</v>
      </c>
      <c r="Q327" s="29">
        <f t="shared" si="1"/>
        <v>824.79</v>
      </c>
      <c r="R327" s="28">
        <f t="shared" si="2"/>
        <v>4</v>
      </c>
      <c r="S327" s="29">
        <f t="shared" si="3"/>
        <v>3299.16</v>
      </c>
      <c r="T327" s="28" t="str">
        <f>IFERROR(__xludf.DUMMYFUNCTION("PROPER(TRIM(
  LET(
    texto1, REGEXREPLACE(G327,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"),"Marcos Alba Becerra")</f>
        <v>Marcos Alba Becerra</v>
      </c>
      <c r="U327" s="28" t="str">
        <f t="shared" si="4"/>
        <v>1d0dc58b-5630-4061-a4c4-8af444dd978f</v>
      </c>
      <c r="V327" s="30" t="str">
        <f t="shared" si="5"/>
        <v>Tablet Mini 32GB</v>
      </c>
    </row>
    <row r="328" ht="15.75" customHeight="1">
      <c r="A328" s="6">
        <v>45626.0</v>
      </c>
      <c r="B328" s="2" t="s">
        <v>50</v>
      </c>
      <c r="C328" s="2" t="s">
        <v>22</v>
      </c>
      <c r="D328" s="7">
        <v>616.36</v>
      </c>
      <c r="E328" s="2">
        <v>4.0</v>
      </c>
      <c r="F328" s="7">
        <v>2465.44</v>
      </c>
      <c r="G328" s="2" t="s">
        <v>1260</v>
      </c>
      <c r="H328" s="2" t="s">
        <v>1261</v>
      </c>
      <c r="I328" s="2" t="s">
        <v>1262</v>
      </c>
      <c r="K328" s="19" t="str">
        <f>IFERROR(__xludf.DUMMYFUNCTION("IF(ISBLANK(A328),
  """",
  IF(ISNUMBER(A328),
    TEXT(A328,""dd/mm/yyyy""),
    IF(
      REGEXMATCH(TRIM(A328),""^\d{1,2}/\d{1,2}/\d{4}$""),
      TRIM(A328),
      IFERROR(
        TEXT(DATEVALUE(SUBSTITUTE(SUBSTITUTE(TRIM(A328),""-"",""/""),""."",""/"&amp;""")),""dd/mm/yyyy""),
        TRIM(A328)
      )
    )
  )
)
"),"30/11/2024")</f>
        <v>30/11/2024</v>
      </c>
      <c r="L328" s="20">
        <v>45626.0</v>
      </c>
      <c r="M328" s="21" t="str">
        <f>IFERROR(__xludf.DUMMYFUNCTION("PROPER(TRIM(
  REGEXREPLACE(
    REGEXREPLACE(
      SUBSTITUTE(SUBSTITUTE(SUBSTITUTE(SUBSTITUTE(SUBSTITUTE(SUBSTITUTE(SUBSTITUTE(SUBSTITUTE(SUBSTITUTE(SUBSTITUTE(SUBSTITUTE(
        B328,""√©"",""é""),""√°"",""á""),""√±"",""ñ""),""√≥"",""ó""),""√â"",""é"&amp;"""),""√Å"",""á""),""√ç"",""í""),""√Ç"",""Í""),""√Â"",""é""),""√≠"",""í""),""√º"",""ú""),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28" s="22" t="str">
        <f>IFERROR(__xludf.DUMMYFUNCTION("SPLIT(
  TRIM(
    SUBSTITUTE(
      SUBSTITUTE(
        SUBSTITUTE(
          SUBSTITUTE(
            C328,
            ""√©"", ""é""
          ),
          ""√±"", ""ñ""
        ),
        ""√°"", ""á""
      ),
      ""√≥"", ""ó""
    )
  ),
  ""-""
)
"),"Laptop")</f>
        <v>Laptop</v>
      </c>
      <c r="O328" s="22" t="str">
        <f>IFERROR(__xludf.DUMMYFUNCTION("""COMPUTED_VALUE"""),"Gaming")</f>
        <v>Gaming</v>
      </c>
      <c r="P328" s="22" t="str">
        <f>IFERROR(__xludf.DUMMYFUNCTION("""COMPUTED_VALUE"""),"32GB")</f>
        <v>32GB</v>
      </c>
      <c r="Q328" s="23">
        <f t="shared" si="1"/>
        <v>616.36</v>
      </c>
      <c r="R328" s="22">
        <f t="shared" si="2"/>
        <v>4</v>
      </c>
      <c r="S328" s="23">
        <f t="shared" si="3"/>
        <v>2465.44</v>
      </c>
      <c r="T328" s="22" t="str">
        <f>IFERROR(__xludf.DUMMYFUNCTION("PROPER(TRIM(
  LET(
    texto1, REGEXREPLACE(G328,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"),"Georgina Preciado")</f>
        <v>Georgina Preciado</v>
      </c>
      <c r="U328" s="22" t="str">
        <f t="shared" si="4"/>
        <v>fa63cc57-bb9c-4785-aff8-0c7c326b44bd</v>
      </c>
      <c r="V328" s="24" t="str">
        <f t="shared" si="5"/>
        <v>Laptop Gaming 32GB</v>
      </c>
    </row>
    <row r="329" ht="15.75" customHeight="1">
      <c r="A329" s="6">
        <v>45646.0</v>
      </c>
      <c r="B329" s="2" t="s">
        <v>101</v>
      </c>
      <c r="C329" s="2" t="s">
        <v>39</v>
      </c>
      <c r="D329" s="7">
        <v>1501.95</v>
      </c>
      <c r="E329" s="2">
        <v>2.0</v>
      </c>
      <c r="F329" s="7">
        <v>3003.9</v>
      </c>
      <c r="G329" s="2" t="s">
        <v>1263</v>
      </c>
      <c r="H329" s="2" t="s">
        <v>1264</v>
      </c>
      <c r="I329" s="2" t="s">
        <v>1265</v>
      </c>
      <c r="K329" s="25" t="str">
        <f>IFERROR(__xludf.DUMMYFUNCTION("IF(ISBLANK(A329),
  """",
  IF(ISNUMBER(A329),
    TEXT(A329,""dd/mm/yyyy""),
    IF(
      REGEXMATCH(TRIM(A329),""^\d{1,2}/\d{1,2}/\d{4}$""),
      TRIM(A329),
      IFERROR(
        TEXT(DATEVALUE(SUBSTITUTE(SUBSTITUTE(TRIM(A329),""-"",""/""),""."",""/"&amp;""")),""dd/mm/yyyy""),
        TRIM(A329)
      )
    )
  )
)
"),"20/12/2024")</f>
        <v>20/12/2024</v>
      </c>
      <c r="L329" s="26">
        <v>45646.0</v>
      </c>
      <c r="M329" s="27" t="str">
        <f>IFERROR(__xludf.DUMMYFUNCTION("PROPER(TRIM(
  REGEXREPLACE(
    REGEXREPLACE(
      SUBSTITUTE(SUBSTITUTE(SUBSTITUTE(SUBSTITUTE(SUBSTITUTE(SUBSTITUTE(SUBSTITUTE(SUBSTITUTE(SUBSTITUTE(SUBSTITUTE(SUBSTITUTE(
        B329,""√©"",""é""),""√°"",""á""),""√±"",""ñ""),""√≥"",""ó""),""√â"",""é"&amp;"""),""√Å"",""á""),""√ç"",""í""),""√Ç"",""Í""),""√Â"",""é""),""√≠"",""í""),""√º"",""ú""),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29" s="28" t="str">
        <f>IFERROR(__xludf.DUMMYFUNCTION("SPLIT(
  TRIM(
    SUBSTITUTE(
      SUBSTITUTE(
        SUBSTITUTE(
          SUBSTITUTE(
            C329,
            ""√©"", ""é""
          ),
          ""√±"", ""ñ""
        ),
        ""√°"", ""á""
      ),
      ""√≥"", ""ó""
    )
  ),
  ""-""
)
"),"Teléfono")</f>
        <v>Teléfono</v>
      </c>
      <c r="O329" s="28" t="str">
        <f>IFERROR(__xludf.DUMMYFUNCTION("""COMPUTED_VALUE"""),"Gama alta")</f>
        <v>Gama alta</v>
      </c>
      <c r="P329" s="28" t="str">
        <f>IFERROR(__xludf.DUMMYFUNCTION("""COMPUTED_VALUE"""),"8GB")</f>
        <v>8GB</v>
      </c>
      <c r="Q329" s="29">
        <f t="shared" si="1"/>
        <v>1501.95</v>
      </c>
      <c r="R329" s="28">
        <f t="shared" si="2"/>
        <v>2</v>
      </c>
      <c r="S329" s="29">
        <f t="shared" si="3"/>
        <v>3003.9</v>
      </c>
      <c r="T329" s="28" t="str">
        <f>IFERROR(__xludf.DUMMYFUNCTION("PROPER(TRIM(
  LET(
    texto1, REGEXREPLACE(G329,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"),"Yuridia Riojas Cotto")</f>
        <v>Yuridia Riojas Cotto</v>
      </c>
      <c r="U329" s="28" t="str">
        <f t="shared" si="4"/>
        <v>c7ef43ee-8690-4aa4-9f03-8c8f2d905b35</v>
      </c>
      <c r="V329" s="30" t="str">
        <f t="shared" si="5"/>
        <v>Teléfono Gama alta 8GB</v>
      </c>
    </row>
    <row r="330" ht="15.75" customHeight="1">
      <c r="A330" s="6">
        <v>45576.0</v>
      </c>
      <c r="B330" s="2" t="s">
        <v>101</v>
      </c>
      <c r="C330" s="2" t="s">
        <v>206</v>
      </c>
      <c r="D330" s="7">
        <v>1429.89</v>
      </c>
      <c r="E330" s="2">
        <v>4.0</v>
      </c>
      <c r="F330" s="7">
        <v>5719.56</v>
      </c>
      <c r="G330" s="2" t="s">
        <v>1266</v>
      </c>
      <c r="H330" s="2" t="s">
        <v>1267</v>
      </c>
      <c r="I330" s="2" t="s">
        <v>1268</v>
      </c>
      <c r="K330" s="19" t="str">
        <f>IFERROR(__xludf.DUMMYFUNCTION("IF(ISBLANK(A330),
  """",
  IF(ISNUMBER(A330),
    TEXT(A330,""dd/mm/yyyy""),
    IF(
      REGEXMATCH(TRIM(A330),""^\d{1,2}/\d{1,2}/\d{4}$""),
      TRIM(A330),
      IFERROR(
        TEXT(DATEVALUE(SUBSTITUTE(SUBSTITUTE(TRIM(A330),""-"",""/""),""."",""/"&amp;""")),""dd/mm/yyyy""),
        TRIM(A330)
      )
    )
  )
)
"),"11/10/2024")</f>
        <v>11/10/2024</v>
      </c>
      <c r="L330" s="20">
        <v>45576.0</v>
      </c>
      <c r="M330" s="21" t="str">
        <f>IFERROR(__xludf.DUMMYFUNCTION("PROPER(TRIM(
  REGEXREPLACE(
    REGEXREPLACE(
      SUBSTITUTE(SUBSTITUTE(SUBSTITUTE(SUBSTITUTE(SUBSTITUTE(SUBSTITUTE(SUBSTITUTE(SUBSTITUTE(SUBSTITUTE(SUBSTITUTE(SUBSTITUTE(
        B330,""√©"",""é""),""√°"",""á""),""√±"",""ñ""),""√≥"",""ó""),""√â"",""é"&amp;"""),""√Å"",""á""),""√ç"",""í""),""√Ç"",""Í""),""√Â"",""é""),""√≠"",""í""),""√º"",""ú""),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30" s="22" t="str">
        <f>IFERROR(__xludf.DUMMYFUNCTION("SPLIT(
  TRIM(
    SUBSTITUTE(
      SUBSTITUTE(
        SUBSTITUTE(
          SUBSTITUTE(
            C330,
            ""√©"", ""é""
          ),
          ""√±"", ""ñ""
        ),
        ""√°"", ""á""
      ),
      ""√≥"", ""ó""
    )
  ),
  ""-""
)
"),"Auriculares")</f>
        <v>Auriculares</v>
      </c>
      <c r="O330" s="22" t="str">
        <f>IFERROR(__xludf.DUMMYFUNCTION("""COMPUTED_VALUE"""),"Bluetooth")</f>
        <v>Bluetooth</v>
      </c>
      <c r="P330" s="22" t="str">
        <f>IFERROR(__xludf.DUMMYFUNCTION("""COMPUTED_VALUE"""),"4GB")</f>
        <v>4GB</v>
      </c>
      <c r="Q330" s="23">
        <f t="shared" si="1"/>
        <v>1429.89</v>
      </c>
      <c r="R330" s="22">
        <f t="shared" si="2"/>
        <v>4</v>
      </c>
      <c r="S330" s="23">
        <f t="shared" si="3"/>
        <v>5719.56</v>
      </c>
      <c r="T330" s="22" t="str">
        <f>IFERROR(__xludf.DUMMYFUNCTION("PROPER(TRIM(
  LET(
    texto1, REGEXREPLACE(G330,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 Manuel Ilse Apodaca")</f>
        <v>Luis Manuel Ilse Apodaca</v>
      </c>
      <c r="U330" s="22" t="str">
        <f t="shared" si="4"/>
        <v>a1cb1e10-0e31-479a-b8bb-5dc909b32b66</v>
      </c>
      <c r="V330" s="24" t="str">
        <f t="shared" si="5"/>
        <v>Auriculares Bluetooth 4GB</v>
      </c>
    </row>
    <row r="331" ht="15.75" customHeight="1">
      <c r="A331" s="6">
        <v>45604.0</v>
      </c>
      <c r="B331" s="2" t="s">
        <v>101</v>
      </c>
      <c r="C331" s="2" t="s">
        <v>96</v>
      </c>
      <c r="D331" s="7">
        <v>1662.81</v>
      </c>
      <c r="E331" s="2">
        <v>5.0</v>
      </c>
      <c r="F331" s="7">
        <v>8314.05</v>
      </c>
      <c r="G331" s="2" t="s">
        <v>1270</v>
      </c>
      <c r="H331" s="2" t="s">
        <v>1271</v>
      </c>
      <c r="I331" s="2" t="s">
        <v>1272</v>
      </c>
      <c r="K331" s="25" t="str">
        <f>IFERROR(__xludf.DUMMYFUNCTION("IF(ISBLANK(A331),
  """",
  IF(ISNUMBER(A331),
    TEXT(A331,""dd/mm/yyyy""),
    IF(
      REGEXMATCH(TRIM(A331),""^\d{1,2}/\d{1,2}/\d{4}$""),
      TRIM(A331),
      IFERROR(
        TEXT(DATEVALUE(SUBSTITUTE(SUBSTITUTE(TRIM(A331),""-"",""/""),""."",""/"&amp;""")),""dd/mm/yyyy""),
        TRIM(A331)
      )
    )
  )
)
"),"08/11/2024")</f>
        <v>08/11/2024</v>
      </c>
      <c r="L331" s="26">
        <v>45604.0</v>
      </c>
      <c r="M331" s="27" t="str">
        <f>IFERROR(__xludf.DUMMYFUNCTION("PROPER(TRIM(
  REGEXREPLACE(
    REGEXREPLACE(
      SUBSTITUTE(SUBSTITUTE(SUBSTITUTE(SUBSTITUTE(SUBSTITUTE(SUBSTITUTE(SUBSTITUTE(SUBSTITUTE(SUBSTITUTE(SUBSTITUTE(SUBSTITUTE(
        B331,""√©"",""é""),""√°"",""á""),""√±"",""ñ""),""√≥"",""ó""),""√â"",""é"&amp;"""),""√Å"",""á""),""√ç"",""í""),""√Ç"",""Í""),""√Â"",""é""),""√≠"",""í""),""√º"",""ú""),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31" s="28" t="str">
        <f>IFERROR(__xludf.DUMMYFUNCTION("SPLIT(
  TRIM(
    SUBSTITUTE(
      SUBSTITUTE(
        SUBSTITUTE(
          SUBSTITUTE(
            C331,
            ""√©"", ""é""
          ),
          ""√±"", ""ñ""
        ),
        ""√°"", ""á""
      ),
      ""√≥"", ""ó""
    )
  ),
  ""-""
)
"),"Auriculares")</f>
        <v>Auriculares</v>
      </c>
      <c r="O331" s="28" t="str">
        <f>IFERROR(__xludf.DUMMYFUNCTION("""COMPUTED_VALUE"""),"Cancelación de ruido")</f>
        <v>Cancelación de ruido</v>
      </c>
      <c r="P331" s="28" t="str">
        <f>IFERROR(__xludf.DUMMYFUNCTION("""COMPUTED_VALUE"""),"4GB")</f>
        <v>4GB</v>
      </c>
      <c r="Q331" s="29">
        <f t="shared" si="1"/>
        <v>1662.81</v>
      </c>
      <c r="R331" s="28">
        <f t="shared" si="2"/>
        <v>5</v>
      </c>
      <c r="S331" s="29">
        <f t="shared" si="3"/>
        <v>8314.05</v>
      </c>
      <c r="T331" s="28" t="str">
        <f>IFERROR(__xludf.DUMMYFUNCTION("PROPER(TRIM(
  LET(
    texto1, REGEXREPLACE(G331,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"),"Karla Berríos")</f>
        <v>Karla Berríos</v>
      </c>
      <c r="U331" s="28" t="str">
        <f t="shared" si="4"/>
        <v>34e4f422-3bd5-496a-af08-11ecf5856460</v>
      </c>
      <c r="V331" s="30" t="str">
        <f t="shared" si="5"/>
        <v>Auriculares Cancelación de ruido 4GB</v>
      </c>
    </row>
    <row r="332" ht="15.75" customHeight="1">
      <c r="A332" s="6">
        <v>45631.0</v>
      </c>
      <c r="B332" s="2" t="s">
        <v>85</v>
      </c>
      <c r="C332" s="2" t="s">
        <v>96</v>
      </c>
      <c r="D332" s="7">
        <v>379.11</v>
      </c>
      <c r="E332" s="2">
        <v>1.0</v>
      </c>
      <c r="F332" s="7">
        <v>379.11</v>
      </c>
      <c r="G332" s="2" t="s">
        <v>1273</v>
      </c>
      <c r="H332" s="2" t="s">
        <v>1274</v>
      </c>
      <c r="I332" s="2" t="s">
        <v>1275</v>
      </c>
      <c r="K332" s="19" t="str">
        <f>IFERROR(__xludf.DUMMYFUNCTION("IF(ISBLANK(A332),
  """",
  IF(ISNUMBER(A332),
    TEXT(A332,""dd/mm/yyyy""),
    IF(
      REGEXMATCH(TRIM(A332),""^\d{1,2}/\d{1,2}/\d{4}$""),
      TRIM(A332),
      IFERROR(
        TEXT(DATEVALUE(SUBSTITUTE(SUBSTITUTE(TRIM(A332),""-"",""/""),""."",""/"&amp;""")),""dd/mm/yyyy""),
        TRIM(A332)
      )
    )
  )
)
"),"05/12/2024")</f>
        <v>05/12/2024</v>
      </c>
      <c r="L332" s="20">
        <v>45631.0</v>
      </c>
      <c r="M332" s="21" t="str">
        <f>IFERROR(__xludf.DUMMYFUNCTION("PROPER(TRIM(
  REGEXREPLACE(
    REGEXREPLACE(
      SUBSTITUTE(SUBSTITUTE(SUBSTITUTE(SUBSTITUTE(SUBSTITUTE(SUBSTITUTE(SUBSTITUTE(SUBSTITUTE(SUBSTITUTE(SUBSTITUTE(SUBSTITUTE(
        B332,""√©"",""é""),""√°"",""á""),""√±"",""ñ""),""√≥"",""ó""),""√â"",""é"&amp;"""),""√Å"",""á""),""√ç"",""í""),""√Ç"",""Í""),""√Â"",""é""),""√≠"",""í""),""√º"",""ú""),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32" s="22" t="str">
        <f>IFERROR(__xludf.DUMMYFUNCTION("SPLIT(
  TRIM(
    SUBSTITUTE(
      SUBSTITUTE(
        SUBSTITUTE(
          SUBSTITUTE(
            C332,
            ""√©"", ""é""
          ),
          ""√±"", ""ñ""
        ),
        ""√°"", ""á""
      ),
      ""√≥"", ""ó""
    )
  ),
  ""-""
)
"),"Auriculares")</f>
        <v>Auriculares</v>
      </c>
      <c r="O332" s="22" t="str">
        <f>IFERROR(__xludf.DUMMYFUNCTION("""COMPUTED_VALUE"""),"Cancelación de ruido")</f>
        <v>Cancelación de ruido</v>
      </c>
      <c r="P332" s="22" t="str">
        <f>IFERROR(__xludf.DUMMYFUNCTION("""COMPUTED_VALUE"""),"4GB")</f>
        <v>4GB</v>
      </c>
      <c r="Q332" s="23">
        <f t="shared" si="1"/>
        <v>379.11</v>
      </c>
      <c r="R332" s="22">
        <f t="shared" si="2"/>
        <v>1</v>
      </c>
      <c r="S332" s="23">
        <f t="shared" si="3"/>
        <v>379.11</v>
      </c>
      <c r="T332" s="22" t="str">
        <f>IFERROR(__xludf.DUMMYFUNCTION("PROPER(TRIM(
  LET(
    texto1, REGEXREPLACE(G332,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"),"Esther Durán")</f>
        <v>Esther Durán</v>
      </c>
      <c r="U332" s="22" t="str">
        <f t="shared" si="4"/>
        <v>302bfa8d-a0d2-49bf-ba0e-92515d5d4911</v>
      </c>
      <c r="V332" s="24" t="str">
        <f t="shared" si="5"/>
        <v>Auriculares Cancelación de ruido 4GB</v>
      </c>
    </row>
    <row r="333" ht="15.75" customHeight="1">
      <c r="A333" s="6">
        <v>45603.0</v>
      </c>
      <c r="B333" s="2" t="s">
        <v>38</v>
      </c>
      <c r="C333" s="2" t="s">
        <v>96</v>
      </c>
      <c r="D333" s="7">
        <v>2242.24</v>
      </c>
      <c r="E333" s="2">
        <v>1.0</v>
      </c>
      <c r="F333" s="7">
        <v>2242.24</v>
      </c>
      <c r="G333" s="2" t="s">
        <v>1276</v>
      </c>
      <c r="H333" s="2" t="s">
        <v>1277</v>
      </c>
      <c r="I333" s="2" t="s">
        <v>1278</v>
      </c>
      <c r="K333" s="25" t="str">
        <f>IFERROR(__xludf.DUMMYFUNCTION("IF(ISBLANK(A333),
  """",
  IF(ISNUMBER(A333),
    TEXT(A333,""dd/mm/yyyy""),
    IF(
      REGEXMATCH(TRIM(A333),""^\d{1,2}/\d{1,2}/\d{4}$""),
      TRIM(A333),
      IFERROR(
        TEXT(DATEVALUE(SUBSTITUTE(SUBSTITUTE(TRIM(A333),""-"",""/""),""."",""/"&amp;""")),""dd/mm/yyyy""),
        TRIM(A333)
      )
    )
  )
)
"),"07/11/2024")</f>
        <v>07/11/2024</v>
      </c>
      <c r="L333" s="26">
        <v>45603.0</v>
      </c>
      <c r="M333" s="27" t="str">
        <f>IFERROR(__xludf.DUMMYFUNCTION("PROPER(TRIM(
  REGEXREPLACE(
    REGEXREPLACE(
      SUBSTITUTE(SUBSTITUTE(SUBSTITUTE(SUBSTITUTE(SUBSTITUTE(SUBSTITUTE(SUBSTITUTE(SUBSTITUTE(SUBSTITUTE(SUBSTITUTE(SUBSTITUTE(
        B333,""√©"",""é""),""√°"",""á""),""√±"",""ñ""),""√≥"",""ó""),""√â"",""é"&amp;"""),""√Å"",""á""),""√ç"",""í""),""√Ç"",""Í""),""√Â"",""é""),""√≠"",""í""),""√º"",""ú""),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33" s="28" t="str">
        <f>IFERROR(__xludf.DUMMYFUNCTION("SPLIT(
  TRIM(
    SUBSTITUTE(
      SUBSTITUTE(
        SUBSTITUTE(
          SUBSTITUTE(
            C333,
            ""√©"", ""é""
          ),
          ""√±"", ""ñ""
        ),
        ""√°"", ""á""
      ),
      ""√≥"", ""ó""
    )
  ),
  ""-""
)
"),"Auriculares")</f>
        <v>Auriculares</v>
      </c>
      <c r="O333" s="28" t="str">
        <f>IFERROR(__xludf.DUMMYFUNCTION("""COMPUTED_VALUE"""),"Cancelación de ruido")</f>
        <v>Cancelación de ruido</v>
      </c>
      <c r="P333" s="28" t="str">
        <f>IFERROR(__xludf.DUMMYFUNCTION("""COMPUTED_VALUE"""),"4GB")</f>
        <v>4GB</v>
      </c>
      <c r="Q333" s="29">
        <f t="shared" si="1"/>
        <v>2242.24</v>
      </c>
      <c r="R333" s="28">
        <f t="shared" si="2"/>
        <v>1</v>
      </c>
      <c r="S333" s="29">
        <f t="shared" si="3"/>
        <v>2242.24</v>
      </c>
      <c r="T333" s="28" t="str">
        <f>IFERROR(__xludf.DUMMYFUNCTION("PROPER(TRIM(
  LET(
    texto1, REGEXREPLACE(G333,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"),"Camilo Terrazas Merino")</f>
        <v>Camilo Terrazas Merino</v>
      </c>
      <c r="U333" s="28" t="str">
        <f t="shared" si="4"/>
        <v>97a11539-f994-4f4b-9252-85c25f05e297</v>
      </c>
      <c r="V333" s="30" t="str">
        <f t="shared" si="5"/>
        <v>Auriculares Cancelación de ruido 4GB</v>
      </c>
    </row>
    <row r="334" ht="15.75" customHeight="1">
      <c r="A334" s="6">
        <v>45636.0</v>
      </c>
      <c r="B334" s="2" t="s">
        <v>16</v>
      </c>
      <c r="C334" s="2" t="s">
        <v>369</v>
      </c>
      <c r="D334" s="7">
        <v>1402.2</v>
      </c>
      <c r="E334" s="2">
        <v>5.0</v>
      </c>
      <c r="F334" s="7">
        <v>7011.0</v>
      </c>
      <c r="G334" s="2" t="s">
        <v>1280</v>
      </c>
      <c r="H334" s="2" t="s">
        <v>1281</v>
      </c>
      <c r="I334" s="2" t="s">
        <v>1282</v>
      </c>
      <c r="K334" s="19" t="str">
        <f>IFERROR(__xludf.DUMMYFUNCTION("IF(ISBLANK(A334),
  """",
  IF(ISNUMBER(A334),
    TEXT(A334,""dd/mm/yyyy""),
    IF(
      REGEXMATCH(TRIM(A334),""^\d{1,2}/\d{1,2}/\d{4}$""),
      TRIM(A334),
      IFERROR(
        TEXT(DATEVALUE(SUBSTITUTE(SUBSTITUTE(TRIM(A334),""-"",""/""),""."",""/"&amp;""")),""dd/mm/yyyy""),
        TRIM(A334)
      )
    )
  )
)
"),"10/12/2024")</f>
        <v>10/12/2024</v>
      </c>
      <c r="L334" s="20">
        <v>45636.0</v>
      </c>
      <c r="M334" s="21" t="str">
        <f>IFERROR(__xludf.DUMMYFUNCTION("PROPER(TRIM(
  REGEXREPLACE(
    REGEXREPLACE(
      SUBSTITUTE(SUBSTITUTE(SUBSTITUTE(SUBSTITUTE(SUBSTITUTE(SUBSTITUTE(SUBSTITUTE(SUBSTITUTE(SUBSTITUTE(SUBSTITUTE(SUBSTITUTE(
        B334,""√©"",""é""),""√°"",""á""),""√±"",""ñ""),""√≥"",""ó""),""√â"",""é"&amp;"""),""√Å"",""á""),""√ç"",""í""),""√Ç"",""Í""),""√Â"",""é""),""√≠"",""í""),""√º"",""ú""),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34" s="22" t="str">
        <f>IFERROR(__xludf.DUMMYFUNCTION("SPLIT(
  TRIM(
    SUBSTITUTE(
      SUBSTITUTE(
        SUBSTITUTE(
          SUBSTITUTE(
            C334,
            ""√©"", ""é""
          ),
          ""√±"", ""ñ""
        ),
        ""√°"", ""á""
      ),
      ""√≥"", ""ó""
    )
  ),
  ""-""
)
"),"Tablet")</f>
        <v>Tablet</v>
      </c>
      <c r="O334" s="22" t="str">
        <f>IFERROR(__xludf.DUMMYFUNCTION("""COMPUTED_VALUE"""),"Pro")</f>
        <v>Pro</v>
      </c>
      <c r="P334" s="22" t="str">
        <f>IFERROR(__xludf.DUMMYFUNCTION("""COMPUTED_VALUE"""),"16GB")</f>
        <v>16GB</v>
      </c>
      <c r="Q334" s="23">
        <f t="shared" si="1"/>
        <v>1402.2</v>
      </c>
      <c r="R334" s="22">
        <f t="shared" si="2"/>
        <v>5</v>
      </c>
      <c r="S334" s="23">
        <f t="shared" si="3"/>
        <v>7011</v>
      </c>
      <c r="T334" s="22" t="str">
        <f>IFERROR(__xludf.DUMMYFUNCTION("PROPER(TRIM(
  LET(
    texto1, REGEXREPLACE(G334,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"),"Jacobo Centeno Velázquez")</f>
        <v>Jacobo Centeno Velázquez</v>
      </c>
      <c r="U334" s="22" t="str">
        <f t="shared" si="4"/>
        <v>495441f0-2d83-4d9c-aafc-5c80643ab7b5</v>
      </c>
      <c r="V334" s="24" t="str">
        <f t="shared" si="5"/>
        <v>Tablet Pro 16GB</v>
      </c>
    </row>
    <row r="335" ht="15.75" customHeight="1">
      <c r="A335" s="6">
        <v>45579.0</v>
      </c>
      <c r="B335" s="2" t="s">
        <v>27</v>
      </c>
      <c r="C335" s="2" t="s">
        <v>360</v>
      </c>
      <c r="D335" s="7">
        <v>214.72</v>
      </c>
      <c r="E335" s="2">
        <v>3.0</v>
      </c>
      <c r="F335" s="7">
        <v>644.16</v>
      </c>
      <c r="G335" s="2" t="s">
        <v>1283</v>
      </c>
      <c r="H335" s="2" t="s">
        <v>1284</v>
      </c>
      <c r="I335" s="2" t="s">
        <v>1285</v>
      </c>
      <c r="K335" s="25" t="str">
        <f>IFERROR(__xludf.DUMMYFUNCTION("IF(ISBLANK(A335),
  """",
  IF(ISNUMBER(A335),
    TEXT(A335,""dd/mm/yyyy""),
    IF(
      REGEXMATCH(TRIM(A335),""^\d{1,2}/\d{1,2}/\d{4}$""),
      TRIM(A335),
      IFERROR(
        TEXT(DATEVALUE(SUBSTITUTE(SUBSTITUTE(TRIM(A335),""-"",""/""),""."",""/"&amp;""")),""dd/mm/yyyy""),
        TRIM(A335)
      )
    )
  )
)
"),"14/10/2024")</f>
        <v>14/10/2024</v>
      </c>
      <c r="L335" s="26">
        <v>45579.0</v>
      </c>
      <c r="M335" s="27" t="str">
        <f>IFERROR(__xludf.DUMMYFUNCTION("PROPER(TRIM(
  REGEXREPLACE(
    REGEXREPLACE(
      SUBSTITUTE(SUBSTITUTE(SUBSTITUTE(SUBSTITUTE(SUBSTITUTE(SUBSTITUTE(SUBSTITUTE(SUBSTITUTE(SUBSTITUTE(SUBSTITUTE(SUBSTITUTE(
        B335,""√©"",""é""),""√°"",""á""),""√±"",""ñ""),""√≥"",""ó""),""√â"",""é"&amp;"""),""√Å"",""á""),""√ç"",""í""),""√Ç"",""Í""),""√Â"",""é""),""√≠"",""í""),""√º"",""ú""),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35" s="28" t="str">
        <f>IFERROR(__xludf.DUMMYFUNCTION("SPLIT(
  TRIM(
    SUBSTITUTE(
      SUBSTITUTE(
        SUBSTITUTE(
          SUBSTITUTE(
            C335,
            ""√©"", ""é""
          ),
          ""√±"", ""ñ""
        ),
        ""√°"", ""á""
      ),
      ""√≥"", ""ó""
    )
  ),
  ""-""
)
"),"Tablet")</f>
        <v>Tablet</v>
      </c>
      <c r="O335" s="28" t="str">
        <f>IFERROR(__xludf.DUMMYFUNCTION("""COMPUTED_VALUE"""),"Estándar")</f>
        <v>Estándar</v>
      </c>
      <c r="P335" s="28" t="str">
        <f>IFERROR(__xludf.DUMMYFUNCTION("""COMPUTED_VALUE"""),"8GB")</f>
        <v>8GB</v>
      </c>
      <c r="Q335" s="29">
        <f t="shared" si="1"/>
        <v>214.72</v>
      </c>
      <c r="R335" s="28">
        <f t="shared" si="2"/>
        <v>3</v>
      </c>
      <c r="S335" s="29">
        <f t="shared" si="3"/>
        <v>644.16</v>
      </c>
      <c r="T335" s="28" t="str">
        <f>IFERROR(__xludf.DUMMYFUNCTION("PROPER(TRIM(
  LET(
    texto1, REGEXREPLACE(G335,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"),"Pedro Zapata")</f>
        <v>Pedro Zapata</v>
      </c>
      <c r="U335" s="28" t="str">
        <f t="shared" si="4"/>
        <v>7413d048-5e1b-4043-9969-89781ce744b0</v>
      </c>
      <c r="V335" s="30" t="str">
        <f t="shared" si="5"/>
        <v>Tablet Estándar 8GB</v>
      </c>
    </row>
    <row r="336" ht="15.75" customHeight="1">
      <c r="A336" s="6">
        <v>45616.0</v>
      </c>
      <c r="B336" s="2" t="s">
        <v>101</v>
      </c>
      <c r="C336" s="2" t="s">
        <v>75</v>
      </c>
      <c r="D336" s="7">
        <v>1017.27</v>
      </c>
      <c r="E336" s="2">
        <v>1.0</v>
      </c>
      <c r="F336" s="7">
        <v>1017.27</v>
      </c>
      <c r="G336" s="2" t="s">
        <v>1286</v>
      </c>
      <c r="H336" s="2" t="s">
        <v>1287</v>
      </c>
      <c r="I336" s="2" t="s">
        <v>1288</v>
      </c>
      <c r="K336" s="19" t="str">
        <f>IFERROR(__xludf.DUMMYFUNCTION("IF(ISBLANK(A336),
  """",
  IF(ISNUMBER(A336),
    TEXT(A336,""dd/mm/yyyy""),
    IF(
      REGEXMATCH(TRIM(A336),""^\d{1,2}/\d{1,2}/\d{4}$""),
      TRIM(A336),
      IFERROR(
        TEXT(DATEVALUE(SUBSTITUTE(SUBSTITUTE(TRIM(A336),""-"",""/""),""."",""/"&amp;""")),""dd/mm/yyyy""),
        TRIM(A336)
      )
    )
  )
)
"),"20/11/2024")</f>
        <v>20/11/2024</v>
      </c>
      <c r="L336" s="20">
        <v>45616.0</v>
      </c>
      <c r="M336" s="21" t="str">
        <f>IFERROR(__xludf.DUMMYFUNCTION("PROPER(TRIM(
  REGEXREPLACE(
    REGEXREPLACE(
      SUBSTITUTE(SUBSTITUTE(SUBSTITUTE(SUBSTITUTE(SUBSTITUTE(SUBSTITUTE(SUBSTITUTE(SUBSTITUTE(SUBSTITUTE(SUBSTITUTE(SUBSTITUTE(
        B336,""√©"",""é""),""√°"",""á""),""√±"",""ñ""),""√≥"",""ó""),""√â"",""é"&amp;"""),""√Å"",""á""),""√ç"",""í""),""√Ç"",""Í""),""√Â"",""é""),""√≠"",""í""),""√º"",""ú""),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36" s="22" t="str">
        <f>IFERROR(__xludf.DUMMYFUNCTION("SPLIT(
  TRIM(
    SUBSTITUTE(
      SUBSTITUTE(
        SUBSTITUTE(
          SUBSTITUTE(
            C336,
            ""√©"", ""é""
          ),
          ""√±"", ""ñ""
        ),
        ""√°"", ""á""
      ),
      ""√≥"", ""ó""
    )
  ),
  ""-""
)
"),"Tablet")</f>
        <v>Tablet</v>
      </c>
      <c r="O336" s="22" t="str">
        <f>IFERROR(__xludf.DUMMYFUNCTION("""COMPUTED_VALUE"""),"Pro")</f>
        <v>Pro</v>
      </c>
      <c r="P336" s="22" t="str">
        <f>IFERROR(__xludf.DUMMYFUNCTION("""COMPUTED_VALUE"""),"4GB")</f>
        <v>4GB</v>
      </c>
      <c r="Q336" s="23">
        <f t="shared" si="1"/>
        <v>1017.27</v>
      </c>
      <c r="R336" s="22">
        <f t="shared" si="2"/>
        <v>1</v>
      </c>
      <c r="S336" s="23">
        <f t="shared" si="3"/>
        <v>1017.27</v>
      </c>
      <c r="T336" s="22" t="str">
        <f>IFERROR(__xludf.DUMMYFUNCTION("PROPER(TRIM(
  LET(
    texto1, REGEXREPLACE(G336,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"),"Dalia Sosa")</f>
        <v>Dalia Sosa</v>
      </c>
      <c r="U336" s="22" t="str">
        <f t="shared" si="4"/>
        <v>6b1218cd-9317-4016-8163-c9066aeb1992</v>
      </c>
      <c r="V336" s="24" t="str">
        <f t="shared" si="5"/>
        <v>Tablet Pro 4GB</v>
      </c>
    </row>
    <row r="337" ht="15.75" customHeight="1">
      <c r="A337" s="6">
        <v>45617.0</v>
      </c>
      <c r="B337" s="2" t="s">
        <v>101</v>
      </c>
      <c r="C337" s="2" t="s">
        <v>206</v>
      </c>
      <c r="D337" s="7">
        <v>1640.14</v>
      </c>
      <c r="E337" s="2">
        <v>5.0</v>
      </c>
      <c r="F337" s="7">
        <v>8200.7</v>
      </c>
      <c r="G337" s="2" t="s">
        <v>1289</v>
      </c>
      <c r="H337" s="2" t="s">
        <v>1290</v>
      </c>
      <c r="I337" s="2" t="s">
        <v>1291</v>
      </c>
      <c r="K337" s="25" t="str">
        <f>IFERROR(__xludf.DUMMYFUNCTION("IF(ISBLANK(A337),
  """",
  IF(ISNUMBER(A337),
    TEXT(A337,""dd/mm/yyyy""),
    IF(
      REGEXMATCH(TRIM(A337),""^\d{1,2}/\d{1,2}/\d{4}$""),
      TRIM(A337),
      IFERROR(
        TEXT(DATEVALUE(SUBSTITUTE(SUBSTITUTE(TRIM(A337),""-"",""/""),""."",""/"&amp;""")),""dd/mm/yyyy""),
        TRIM(A337)
      )
    )
  )
)
"),"21/11/2024")</f>
        <v>21/11/2024</v>
      </c>
      <c r="L337" s="26">
        <v>45617.0</v>
      </c>
      <c r="M337" s="27" t="str">
        <f>IFERROR(__xludf.DUMMYFUNCTION("PROPER(TRIM(
  REGEXREPLACE(
    REGEXREPLACE(
      SUBSTITUTE(SUBSTITUTE(SUBSTITUTE(SUBSTITUTE(SUBSTITUTE(SUBSTITUTE(SUBSTITUTE(SUBSTITUTE(SUBSTITUTE(SUBSTITUTE(SUBSTITUTE(
        B337,""√©"",""é""),""√°"",""á""),""√±"",""ñ""),""√≥"",""ó""),""√â"",""é"&amp;"""),""√Å"",""á""),""√ç"",""í""),""√Ç"",""Í""),""√Â"",""é""),""√≠"",""í""),""√º"",""ú""),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37" s="28" t="str">
        <f>IFERROR(__xludf.DUMMYFUNCTION("SPLIT(
  TRIM(
    SUBSTITUTE(
      SUBSTITUTE(
        SUBSTITUTE(
          SUBSTITUTE(
            C337,
            ""√©"", ""é""
          ),
          ""√±"", ""ñ""
        ),
        ""√°"", ""á""
      ),
      ""√≥"", ""ó""
    )
  ),
  ""-""
)
"),"Auriculares")</f>
        <v>Auriculares</v>
      </c>
      <c r="O337" s="28" t="str">
        <f>IFERROR(__xludf.DUMMYFUNCTION("""COMPUTED_VALUE"""),"Bluetooth")</f>
        <v>Bluetooth</v>
      </c>
      <c r="P337" s="28" t="str">
        <f>IFERROR(__xludf.DUMMYFUNCTION("""COMPUTED_VALUE"""),"4GB")</f>
        <v>4GB</v>
      </c>
      <c r="Q337" s="29">
        <f t="shared" si="1"/>
        <v>1640.14</v>
      </c>
      <c r="R337" s="28">
        <f t="shared" si="2"/>
        <v>5</v>
      </c>
      <c r="S337" s="29">
        <f t="shared" si="3"/>
        <v>8200.7</v>
      </c>
      <c r="T337" s="28" t="str">
        <f>IFERROR(__xludf.DUMMYFUNCTION("PROPER(TRIM(
  LET(
    texto1, REGEXREPLACE(G337,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Mascareñas")</f>
        <v>Gilberto Mascareñas</v>
      </c>
      <c r="U337" s="28" t="str">
        <f t="shared" si="4"/>
        <v>54fb7e8c-ef1d-4daf-815b-e5c1e7948ed3</v>
      </c>
      <c r="V337" s="30" t="str">
        <f t="shared" si="5"/>
        <v>Auriculares Bluetooth 4GB</v>
      </c>
    </row>
    <row r="338" ht="15.75" customHeight="1">
      <c r="A338" s="6">
        <v>45613.0</v>
      </c>
      <c r="B338" s="2" t="s">
        <v>38</v>
      </c>
      <c r="C338" s="2" t="s">
        <v>11</v>
      </c>
      <c r="D338" s="7">
        <v>793.37</v>
      </c>
      <c r="E338" s="2">
        <v>2.0</v>
      </c>
      <c r="F338" s="7">
        <v>1586.74</v>
      </c>
      <c r="G338" s="2" t="s">
        <v>1292</v>
      </c>
      <c r="H338" s="2" t="s">
        <v>1293</v>
      </c>
      <c r="I338" s="2" t="s">
        <v>1294</v>
      </c>
      <c r="K338" s="19" t="str">
        <f>IFERROR(__xludf.DUMMYFUNCTION("IF(ISBLANK(A338),
  """",
  IF(ISNUMBER(A338),
    TEXT(A338,""dd/mm/yyyy""),
    IF(
      REGEXMATCH(TRIM(A338),""^\d{1,2}/\d{1,2}/\d{4}$""),
      TRIM(A338),
      IFERROR(
        TEXT(DATEVALUE(SUBSTITUTE(SUBSTITUTE(TRIM(A338),""-"",""/""),""."",""/"&amp;""")),""dd/mm/yyyy""),
        TRIM(A338)
      )
    )
  )
)
"),"17/11/2024")</f>
        <v>17/11/2024</v>
      </c>
      <c r="L338" s="20">
        <v>45613.0</v>
      </c>
      <c r="M338" s="21" t="str">
        <f>IFERROR(__xludf.DUMMYFUNCTION("PROPER(TRIM(
  REGEXREPLACE(
    REGEXREPLACE(
      SUBSTITUTE(SUBSTITUTE(SUBSTITUTE(SUBSTITUTE(SUBSTITUTE(SUBSTITUTE(SUBSTITUTE(SUBSTITUTE(SUBSTITUTE(SUBSTITUTE(SUBSTITUTE(
        B338,""√©"",""é""),""√°"",""á""),""√±"",""ñ""),""√≥"",""ó""),""√â"",""é"&amp;"""),""√Å"",""á""),""√ç"",""í""),""√Ç"",""Í""),""√Â"",""é""),""√≠"",""í""),""√º"",""ú""),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38" s="22" t="str">
        <f>IFERROR(__xludf.DUMMYFUNCTION("SPLIT(
  TRIM(
    SUBSTITUTE(
      SUBSTITUTE(
        SUBSTITUTE(
          SUBSTITUTE(
            C338,
            ""√©"", ""é""
          ),
          ""√±"", ""ñ""
        ),
        ""√°"", ""á""
      ),
      ""√≥"", ""ó""
    )
  ),
  ""-""
)
"),"Auriculares")</f>
        <v>Auriculares</v>
      </c>
      <c r="O338" s="22" t="str">
        <f>IFERROR(__xludf.DUMMYFUNCTION("""COMPUTED_VALUE"""),"Con cable")</f>
        <v>Con cable</v>
      </c>
      <c r="P338" s="22" t="str">
        <f>IFERROR(__xludf.DUMMYFUNCTION("""COMPUTED_VALUE"""),"32GB")</f>
        <v>32GB</v>
      </c>
      <c r="Q338" s="23">
        <f t="shared" si="1"/>
        <v>793.37</v>
      </c>
      <c r="R338" s="22">
        <f t="shared" si="2"/>
        <v>2</v>
      </c>
      <c r="S338" s="23">
        <f t="shared" si="3"/>
        <v>1586.74</v>
      </c>
      <c r="T338" s="22" t="str">
        <f>IFERROR(__xludf.DUMMYFUNCTION("PROPER(TRIM(
  LET(
    texto1, REGEXREPLACE(G338,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Valdez")</f>
        <v>Diego Valdez</v>
      </c>
      <c r="U338" s="22" t="str">
        <f t="shared" si="4"/>
        <v>c9d412ed-c316-4612-a0d3-34580de6a8c0</v>
      </c>
      <c r="V338" s="24" t="str">
        <f t="shared" si="5"/>
        <v>Auriculares Con cable 32GB</v>
      </c>
    </row>
    <row r="339" ht="15.75" customHeight="1">
      <c r="A339" s="6">
        <v>45649.0</v>
      </c>
      <c r="B339" s="2" t="s">
        <v>16</v>
      </c>
      <c r="C339" s="2" t="s">
        <v>206</v>
      </c>
      <c r="D339" s="7">
        <v>861.73</v>
      </c>
      <c r="E339" s="2">
        <v>5.0</v>
      </c>
      <c r="F339" s="7">
        <v>4308.65</v>
      </c>
      <c r="G339" s="2" t="s">
        <v>1295</v>
      </c>
      <c r="H339" s="2" t="s">
        <v>1296</v>
      </c>
      <c r="I339" s="2" t="s">
        <v>1297</v>
      </c>
      <c r="K339" s="25" t="str">
        <f>IFERROR(__xludf.DUMMYFUNCTION("IF(ISBLANK(A339),
  """",
  IF(ISNUMBER(A339),
    TEXT(A339,""dd/mm/yyyy""),
    IF(
      REGEXMATCH(TRIM(A339),""^\d{1,2}/\d{1,2}/\d{4}$""),
      TRIM(A339),
      IFERROR(
        TEXT(DATEVALUE(SUBSTITUTE(SUBSTITUTE(TRIM(A339),""-"",""/""),""."",""/"&amp;""")),""dd/mm/yyyy""),
        TRIM(A339)
      )
    )
  )
)
"),"23/12/2024")</f>
        <v>23/12/2024</v>
      </c>
      <c r="L339" s="26">
        <v>45649.0</v>
      </c>
      <c r="M339" s="27" t="str">
        <f>IFERROR(__xludf.DUMMYFUNCTION("PROPER(TRIM(
  REGEXREPLACE(
    REGEXREPLACE(
      SUBSTITUTE(SUBSTITUTE(SUBSTITUTE(SUBSTITUTE(SUBSTITUTE(SUBSTITUTE(SUBSTITUTE(SUBSTITUTE(SUBSTITUTE(SUBSTITUTE(SUBSTITUTE(
        B339,""√©"",""é""),""√°"",""á""),""√±"",""ñ""),""√≥"",""ó""),""√â"",""é"&amp;"""),""√Å"",""á""),""√ç"",""í""),""√Ç"",""Í""),""√Â"",""é""),""√≠"",""í""),""√º"",""ú""),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39" s="28" t="str">
        <f>IFERROR(__xludf.DUMMYFUNCTION("SPLIT(
  TRIM(
    SUBSTITUTE(
      SUBSTITUTE(
        SUBSTITUTE(
          SUBSTITUTE(
            C339,
            ""√©"", ""é""
          ),
          ""√±"", ""ñ""
        ),
        ""√°"", ""á""
      ),
      ""√≥"", ""ó""
    )
  ),
  ""-""
)
"),"Auriculares")</f>
        <v>Auriculares</v>
      </c>
      <c r="O339" s="28" t="str">
        <f>IFERROR(__xludf.DUMMYFUNCTION("""COMPUTED_VALUE"""),"Bluetooth")</f>
        <v>Bluetooth</v>
      </c>
      <c r="P339" s="28" t="str">
        <f>IFERROR(__xludf.DUMMYFUNCTION("""COMPUTED_VALUE"""),"4GB")</f>
        <v>4GB</v>
      </c>
      <c r="Q339" s="29">
        <f t="shared" si="1"/>
        <v>861.73</v>
      </c>
      <c r="R339" s="28">
        <f t="shared" si="2"/>
        <v>5</v>
      </c>
      <c r="S339" s="29">
        <f t="shared" si="3"/>
        <v>4308.65</v>
      </c>
      <c r="T339" s="28" t="str">
        <f>IFERROR(__xludf.DUMMYFUNCTION("PROPER(TRIM(
  LET(
    texto1, REGEXREPLACE(G339,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"),"Inés Meza Campos")</f>
        <v>Inés Meza Campos</v>
      </c>
      <c r="U339" s="28" t="str">
        <f t="shared" si="4"/>
        <v>42475c68-ebdf-44e9-8ae2-152388b5d345</v>
      </c>
      <c r="V339" s="30" t="str">
        <f t="shared" si="5"/>
        <v>Auriculares Bluetooth 4GB</v>
      </c>
    </row>
    <row r="340" ht="15.75" customHeight="1">
      <c r="A340" s="6">
        <v>45581.0</v>
      </c>
      <c r="B340" s="2" t="s">
        <v>85</v>
      </c>
      <c r="C340" s="2" t="s">
        <v>369</v>
      </c>
      <c r="D340" s="7">
        <v>2264.15</v>
      </c>
      <c r="E340" s="2">
        <v>5.0</v>
      </c>
      <c r="F340" s="7">
        <v>11320.75</v>
      </c>
      <c r="G340" s="2" t="s">
        <v>1298</v>
      </c>
      <c r="H340" s="2" t="s">
        <v>1299</v>
      </c>
      <c r="I340" s="2" t="s">
        <v>1300</v>
      </c>
      <c r="K340" s="19" t="str">
        <f>IFERROR(__xludf.DUMMYFUNCTION("IF(ISBLANK(A340),
  """",
  IF(ISNUMBER(A340),
    TEXT(A340,""dd/mm/yyyy""),
    IF(
      REGEXMATCH(TRIM(A340),""^\d{1,2}/\d{1,2}/\d{4}$""),
      TRIM(A340),
      IFERROR(
        TEXT(DATEVALUE(SUBSTITUTE(SUBSTITUTE(TRIM(A340),""-"",""/""),""."",""/"&amp;""")),""dd/mm/yyyy""),
        TRIM(A340)
      )
    )
  )
)
"),"16/10/2024")</f>
        <v>16/10/2024</v>
      </c>
      <c r="L340" s="20">
        <v>45581.0</v>
      </c>
      <c r="M340" s="21" t="str">
        <f>IFERROR(__xludf.DUMMYFUNCTION("PROPER(TRIM(
  REGEXREPLACE(
    REGEXREPLACE(
      SUBSTITUTE(SUBSTITUTE(SUBSTITUTE(SUBSTITUTE(SUBSTITUTE(SUBSTITUTE(SUBSTITUTE(SUBSTITUTE(SUBSTITUTE(SUBSTITUTE(SUBSTITUTE(
        B340,""√©"",""é""),""√°"",""á""),""√±"",""ñ""),""√≥"",""ó""),""√â"",""é"&amp;"""),""√Å"",""á""),""√ç"",""í""),""√Ç"",""Í""),""√Â"",""é""),""√≠"",""í""),""√º"",""ú""),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40" s="22" t="str">
        <f>IFERROR(__xludf.DUMMYFUNCTION("SPLIT(
  TRIM(
    SUBSTITUTE(
      SUBSTITUTE(
        SUBSTITUTE(
          SUBSTITUTE(
            C340,
            ""√©"", ""é""
          ),
          ""√±"", ""ñ""
        ),
        ""√°"", ""á""
      ),
      ""√≥"", ""ó""
    )
  ),
  ""-""
)
"),"Tablet")</f>
        <v>Tablet</v>
      </c>
      <c r="O340" s="22" t="str">
        <f>IFERROR(__xludf.DUMMYFUNCTION("""COMPUTED_VALUE"""),"Pro")</f>
        <v>Pro</v>
      </c>
      <c r="P340" s="22" t="str">
        <f>IFERROR(__xludf.DUMMYFUNCTION("""COMPUTED_VALUE"""),"16GB")</f>
        <v>16GB</v>
      </c>
      <c r="Q340" s="23">
        <f t="shared" si="1"/>
        <v>2264.15</v>
      </c>
      <c r="R340" s="22">
        <f t="shared" si="2"/>
        <v>5</v>
      </c>
      <c r="S340" s="23">
        <f t="shared" si="3"/>
        <v>11320.75</v>
      </c>
      <c r="T340" s="22" t="str">
        <f>IFERROR(__xludf.DUMMYFUNCTION("PROPER(TRIM(
  LET(
    texto1, REGEXREPLACE(G340,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 Emilio Robledo")</f>
        <v>Abel Emilio Robledo</v>
      </c>
      <c r="U340" s="22" t="str">
        <f t="shared" si="4"/>
        <v>1a70ed1b-c3d7-4e03-b54a-3308b332ece5</v>
      </c>
      <c r="V340" s="24" t="str">
        <f t="shared" si="5"/>
        <v>Tablet Pro 16GB</v>
      </c>
    </row>
    <row r="341" ht="15.75" customHeight="1">
      <c r="A341" s="36">
        <v>45422.0</v>
      </c>
      <c r="B341" s="2" t="s">
        <v>16</v>
      </c>
      <c r="C341" s="2" t="s">
        <v>11</v>
      </c>
      <c r="D341" s="7">
        <v>226.25</v>
      </c>
      <c r="E341" s="2">
        <v>2.0</v>
      </c>
      <c r="F341" s="32"/>
      <c r="G341" s="2" t="s">
        <v>1302</v>
      </c>
      <c r="H341" s="2" t="s">
        <v>1303</v>
      </c>
      <c r="I341" s="2" t="s">
        <v>1304</v>
      </c>
      <c r="K341" s="25" t="str">
        <f>IFERROR(__xludf.DUMMYFUNCTION("IF(ISBLANK(A341),
  """",
  IF(ISNUMBER(A341),
    TEXT(A341,""dd/mm/yyyy""),
    IF(
      REGEXMATCH(TRIM(A341),""^\d{1,2}/\d{1,2}/\d{4}$""),
      TRIM(A341),
      IFERROR(
        TEXT(DATEVALUE(SUBSTITUTE(SUBSTITUTE(TRIM(A341),""-"",""/""),""."",""/"&amp;""")),""dd/mm/yyyy""),
        TRIM(A341)
      )
    )
  )
)
"),"10/05/2024")</f>
        <v>10/05/2024</v>
      </c>
      <c r="L341" s="26">
        <v>45422.0</v>
      </c>
      <c r="M341" s="27" t="str">
        <f>IFERROR(__xludf.DUMMYFUNCTION("PROPER(TRIM(
  REGEXREPLACE(
    REGEXREPLACE(
      SUBSTITUTE(SUBSTITUTE(SUBSTITUTE(SUBSTITUTE(SUBSTITUTE(SUBSTITUTE(SUBSTITUTE(SUBSTITUTE(SUBSTITUTE(SUBSTITUTE(SUBSTITUTE(
        B341,""√©"",""é""),""√°"",""á""),""√±"",""ñ""),""√≥"",""ó""),""√â"",""é"&amp;"""),""√Å"",""á""),""√ç"",""í""),""√Ç"",""Í""),""√Â"",""é""),""√≠"",""í""),""√º"",""ú""),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41" s="28" t="str">
        <f>IFERROR(__xludf.DUMMYFUNCTION("SPLIT(
  TRIM(
    SUBSTITUTE(
      SUBSTITUTE(
        SUBSTITUTE(
          SUBSTITUTE(
            C341,
            ""√©"", ""é""
          ),
          ""√±"", ""ñ""
        ),
        ""√°"", ""á""
      ),
      ""√≥"", ""ó""
    )
  ),
  ""-""
)
"),"Auriculares")</f>
        <v>Auriculares</v>
      </c>
      <c r="O341" s="28" t="str">
        <f>IFERROR(__xludf.DUMMYFUNCTION("""COMPUTED_VALUE"""),"Con cable")</f>
        <v>Con cable</v>
      </c>
      <c r="P341" s="28" t="str">
        <f>IFERROR(__xludf.DUMMYFUNCTION("""COMPUTED_VALUE"""),"32GB")</f>
        <v>32GB</v>
      </c>
      <c r="Q341" s="29">
        <f t="shared" si="1"/>
        <v>226.25</v>
      </c>
      <c r="R341" s="28">
        <f t="shared" si="2"/>
        <v>2</v>
      </c>
      <c r="S341" s="29" t="str">
        <f t="shared" si="3"/>
        <v>0</v>
      </c>
      <c r="T341" s="28" t="str">
        <f>IFERROR(__xludf.DUMMYFUNCTION("PROPER(TRIM(
  LET(
    texto1, REGEXREPLACE(G341,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"),"Judith José Eduardo Zaragoza")</f>
        <v>Judith José Eduardo Zaragoza</v>
      </c>
      <c r="U341" s="28" t="str">
        <f t="shared" si="4"/>
        <v>6a60671f-259c-41c8-b7d6-e1848e4ca004</v>
      </c>
      <c r="V341" s="30" t="str">
        <f t="shared" si="5"/>
        <v>Auriculares Con cable 32GB</v>
      </c>
    </row>
    <row r="342" ht="15.75" customHeight="1">
      <c r="A342" s="6">
        <v>45645.0</v>
      </c>
      <c r="B342" s="2" t="s">
        <v>27</v>
      </c>
      <c r="C342" s="2" t="s">
        <v>28</v>
      </c>
      <c r="D342" s="7">
        <v>720.31</v>
      </c>
      <c r="E342" s="2">
        <v>3.0</v>
      </c>
      <c r="F342" s="7">
        <v>2160.93</v>
      </c>
      <c r="G342" s="2" t="s">
        <v>1305</v>
      </c>
      <c r="H342" s="2" t="s">
        <v>1306</v>
      </c>
      <c r="I342" s="2" t="s">
        <v>1307</v>
      </c>
      <c r="K342" s="19" t="str">
        <f>IFERROR(__xludf.DUMMYFUNCTION("IF(ISBLANK(A342),
  """",
  IF(ISNUMBER(A342),
    TEXT(A342,""dd/mm/yyyy""),
    IF(
      REGEXMATCH(TRIM(A342),""^\d{1,2}/\d{1,2}/\d{4}$""),
      TRIM(A342),
      IFERROR(
        TEXT(DATEVALUE(SUBSTITUTE(SUBSTITUTE(TRIM(A342),""-"",""/""),""."",""/"&amp;""")),""dd/mm/yyyy""),
        TRIM(A342)
      )
    )
  )
)
"),"19/12/2024")</f>
        <v>19/12/2024</v>
      </c>
      <c r="L342" s="20">
        <v>45645.0</v>
      </c>
      <c r="M342" s="21" t="str">
        <f>IFERROR(__xludf.DUMMYFUNCTION("PROPER(TRIM(
  REGEXREPLACE(
    REGEXREPLACE(
      SUBSTITUTE(SUBSTITUTE(SUBSTITUTE(SUBSTITUTE(SUBSTITUTE(SUBSTITUTE(SUBSTITUTE(SUBSTITUTE(SUBSTITUTE(SUBSTITUTE(SUBSTITUTE(
        B342,""√©"",""é""),""√°"",""á""),""√±"",""ñ""),""√≥"",""ó""),""√â"",""é"&amp;"""),""√Å"",""á""),""√ç"",""í""),""√Ç"",""Í""),""√Â"",""é""),""√≠"",""í""),""√º"",""ú""),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42" s="22" t="str">
        <f>IFERROR(__xludf.DUMMYFUNCTION("SPLIT(
  TRIM(
    SUBSTITUTE(
      SUBSTITUTE(
        SUBSTITUTE(
          SUBSTITUTE(
            C342,
            ""√©"", ""é""
          ),
          ""√±"", ""ñ""
        ),
        ""√°"", ""á""
      ),
      ""√≥"", ""ó""
    )
  ),
  ""-""
)
"),"Tablet")</f>
        <v>Tablet</v>
      </c>
      <c r="O342" s="22" t="str">
        <f>IFERROR(__xludf.DUMMYFUNCTION("""COMPUTED_VALUE"""),"Pro")</f>
        <v>Pro</v>
      </c>
      <c r="P342" s="22" t="str">
        <f>IFERROR(__xludf.DUMMYFUNCTION("""COMPUTED_VALUE"""),"8GB")</f>
        <v>8GB</v>
      </c>
      <c r="Q342" s="23">
        <f t="shared" si="1"/>
        <v>720.31</v>
      </c>
      <c r="R342" s="22">
        <f t="shared" si="2"/>
        <v>3</v>
      </c>
      <c r="S342" s="23">
        <f t="shared" si="3"/>
        <v>2160.93</v>
      </c>
      <c r="T342" s="22" t="str">
        <f>IFERROR(__xludf.DUMMYFUNCTION("PROPER(TRIM(
  LET(
    texto1, REGEXREPLACE(G342,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"),"Elsa Alonso Almanza")</f>
        <v>Elsa Alonso Almanza</v>
      </c>
      <c r="U342" s="22" t="str">
        <f t="shared" si="4"/>
        <v>d7b9f594-a51e-4402-948d-437dc2679714</v>
      </c>
      <c r="V342" s="24" t="str">
        <f t="shared" si="5"/>
        <v>Tablet Pro 8GB</v>
      </c>
    </row>
    <row r="343" ht="15.75" customHeight="1">
      <c r="A343" s="6">
        <v>45615.0</v>
      </c>
      <c r="B343" s="2" t="s">
        <v>27</v>
      </c>
      <c r="C343" s="2" t="s">
        <v>116</v>
      </c>
      <c r="D343" s="7">
        <v>1620.89</v>
      </c>
      <c r="E343" s="2">
        <v>3.0</v>
      </c>
      <c r="F343" s="7">
        <v>4862.67</v>
      </c>
      <c r="G343" s="2" t="s">
        <v>1308</v>
      </c>
      <c r="H343" s="2" t="s">
        <v>1309</v>
      </c>
      <c r="I343" s="2" t="s">
        <v>1310</v>
      </c>
      <c r="K343" s="25" t="str">
        <f>IFERROR(__xludf.DUMMYFUNCTION("IF(ISBLANK(A343),
  """",
  IF(ISNUMBER(A343),
    TEXT(A343,""dd/mm/yyyy""),
    IF(
      REGEXMATCH(TRIM(A343),""^\d{1,2}/\d{1,2}/\d{4}$""),
      TRIM(A343),
      IFERROR(
        TEXT(DATEVALUE(SUBSTITUTE(SUBSTITUTE(TRIM(A343),""-"",""/""),""."",""/"&amp;""")),""dd/mm/yyyy""),
        TRIM(A343)
      )
    )
  )
)
"),"19/11/2024")</f>
        <v>19/11/2024</v>
      </c>
      <c r="L343" s="26">
        <v>45615.0</v>
      </c>
      <c r="M343" s="27" t="str">
        <f>IFERROR(__xludf.DUMMYFUNCTION("PROPER(TRIM(
  REGEXREPLACE(
    REGEXREPLACE(
      SUBSTITUTE(SUBSTITUTE(SUBSTITUTE(SUBSTITUTE(SUBSTITUTE(SUBSTITUTE(SUBSTITUTE(SUBSTITUTE(SUBSTITUTE(SUBSTITUTE(SUBSTITUTE(
        B343,""√©"",""é""),""√°"",""á""),""√±"",""ñ""),""√≥"",""ó""),""√â"",""é"&amp;"""),""√Å"",""á""),""√ç"",""í""),""√Ç"",""Í""),""√Â"",""é""),""√≠"",""í""),""√º"",""ú""),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43" s="28" t="str">
        <f>IFERROR(__xludf.DUMMYFUNCTION("SPLIT(
  TRIM(
    SUBSTITUTE(
      SUBSTITUTE(
        SUBSTITUTE(
          SUBSTITUTE(
            C343,
            ""√©"", ""é""
          ),
          ""√±"", ""ñ""
        ),
        ""√°"", ""á""
      ),
      ""√≥"", ""ó""
    )
  ),
  ""-""
)
"),"Teléfono")</f>
        <v>Teléfono</v>
      </c>
      <c r="O343" s="28" t="str">
        <f>IFERROR(__xludf.DUMMYFUNCTION("""COMPUTED_VALUE"""),"Gama media")</f>
        <v>Gama media</v>
      </c>
      <c r="P343" s="28" t="str">
        <f>IFERROR(__xludf.DUMMYFUNCTION("""COMPUTED_VALUE"""),"4GB")</f>
        <v>4GB</v>
      </c>
      <c r="Q343" s="29">
        <f t="shared" si="1"/>
        <v>1620.89</v>
      </c>
      <c r="R343" s="28">
        <f t="shared" si="2"/>
        <v>3</v>
      </c>
      <c r="S343" s="29">
        <f t="shared" si="3"/>
        <v>4862.67</v>
      </c>
      <c r="T343" s="28" t="str">
        <f>IFERROR(__xludf.DUMMYFUNCTION("PROPER(TRIM(
  LET(
    texto1, REGEXREPLACE(G343,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"),"Isabel Quiroz")</f>
        <v>Isabel Quiroz</v>
      </c>
      <c r="U343" s="28" t="str">
        <f t="shared" si="4"/>
        <v>9ed12598-d607-406c-a92d-66e498a65727</v>
      </c>
      <c r="V343" s="30" t="str">
        <f t="shared" si="5"/>
        <v>Teléfono Gama media 4GB</v>
      </c>
    </row>
    <row r="344" ht="15.75" customHeight="1">
      <c r="A344" s="37">
        <v>45603.0</v>
      </c>
      <c r="B344" s="2" t="s">
        <v>16</v>
      </c>
      <c r="C344" s="2" t="s">
        <v>28</v>
      </c>
      <c r="D344" s="7">
        <v>1912.83</v>
      </c>
      <c r="E344" s="2">
        <v>2.0</v>
      </c>
      <c r="F344" s="7">
        <v>3825.66</v>
      </c>
      <c r="G344" s="2" t="s">
        <v>1312</v>
      </c>
      <c r="H344" s="2" t="s">
        <v>1313</v>
      </c>
      <c r="I344" s="2" t="s">
        <v>1314</v>
      </c>
      <c r="K344" s="19" t="str">
        <f>IFERROR(__xludf.DUMMYFUNCTION("IF(ISBLANK(A344),
  """",
  IF(ISNUMBER(A344),
    TEXT(A344,""dd/mm/yyyy""),
    IF(
      REGEXMATCH(TRIM(A344),""^\d{1,2}/\d{1,2}/\d{4}$""),
      TRIM(A344),
      IFERROR(
        TEXT(DATEVALUE(SUBSTITUTE(SUBSTITUTE(TRIM(A344),""-"",""/""),""."",""/"&amp;""")),""dd/mm/yyyy""),
        TRIM(A344)
      )
    )
  )
)
"),"07/11/2024")</f>
        <v>07/11/2024</v>
      </c>
      <c r="L344" s="20">
        <v>45603.0</v>
      </c>
      <c r="M344" s="21" t="str">
        <f>IFERROR(__xludf.DUMMYFUNCTION("PROPER(TRIM(
  REGEXREPLACE(
    REGEXREPLACE(
      SUBSTITUTE(SUBSTITUTE(SUBSTITUTE(SUBSTITUTE(SUBSTITUTE(SUBSTITUTE(SUBSTITUTE(SUBSTITUTE(SUBSTITUTE(SUBSTITUTE(SUBSTITUTE(
        B344,""√©"",""é""),""√°"",""á""),""√±"",""ñ""),""√≥"",""ó""),""√â"",""é"&amp;"""),""√Å"",""á""),""√ç"",""í""),""√Ç"",""Í""),""√Â"",""é""),""√≠"",""í""),""√º"",""ú""),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44" s="22" t="str">
        <f>IFERROR(__xludf.DUMMYFUNCTION("SPLIT(
  TRIM(
    SUBSTITUTE(
      SUBSTITUTE(
        SUBSTITUTE(
          SUBSTITUTE(
            C344,
            ""√©"", ""é""
          ),
          ""√±"", ""ñ""
        ),
        ""√°"", ""á""
      ),
      ""√≥"", ""ó""
    )
  ),
  ""-""
)
"),"Tablet")</f>
        <v>Tablet</v>
      </c>
      <c r="O344" s="22" t="str">
        <f>IFERROR(__xludf.DUMMYFUNCTION("""COMPUTED_VALUE"""),"Pro")</f>
        <v>Pro</v>
      </c>
      <c r="P344" s="22" t="str">
        <f>IFERROR(__xludf.DUMMYFUNCTION("""COMPUTED_VALUE"""),"8GB")</f>
        <v>8GB</v>
      </c>
      <c r="Q344" s="23">
        <f t="shared" si="1"/>
        <v>1912.83</v>
      </c>
      <c r="R344" s="22">
        <f t="shared" si="2"/>
        <v>2</v>
      </c>
      <c r="S344" s="23">
        <f t="shared" si="3"/>
        <v>3825.66</v>
      </c>
      <c r="T344" s="22" t="str">
        <f>IFERROR(__xludf.DUMMYFUNCTION("PROPER(TRIM(
  LET(
    texto1, REGEXREPLACE(G344,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"),"Ramón Godoy")</f>
        <v>Ramón Godoy</v>
      </c>
      <c r="U344" s="22" t="str">
        <f t="shared" si="4"/>
        <v>e686ffbf-1106-4e80-9c74-30ed3ca60174</v>
      </c>
      <c r="V344" s="24" t="str">
        <f t="shared" si="5"/>
        <v>Tablet Pro 8GB</v>
      </c>
    </row>
    <row r="345" ht="15.75" customHeight="1">
      <c r="A345" s="6">
        <v>45624.0</v>
      </c>
      <c r="B345" s="2" t="s">
        <v>101</v>
      </c>
      <c r="C345" s="2" t="s">
        <v>311</v>
      </c>
      <c r="D345" s="7">
        <v>1168.3</v>
      </c>
      <c r="E345" s="2">
        <v>3.0</v>
      </c>
      <c r="F345" s="7">
        <v>3504.9</v>
      </c>
      <c r="G345" s="2" t="s">
        <v>1315</v>
      </c>
      <c r="H345" s="2" t="s">
        <v>1316</v>
      </c>
      <c r="I345" s="2" t="s">
        <v>1317</v>
      </c>
      <c r="K345" s="25" t="str">
        <f>IFERROR(__xludf.DUMMYFUNCTION("IF(ISBLANK(A345),
  """",
  IF(ISNUMBER(A345),
    TEXT(A345,""dd/mm/yyyy""),
    IF(
      REGEXMATCH(TRIM(A345),""^\d{1,2}/\d{1,2}/\d{4}$""),
      TRIM(A345),
      IFERROR(
        TEXT(DATEVALUE(SUBSTITUTE(SUBSTITUTE(TRIM(A345),""-"",""/""),""."",""/"&amp;""")),""dd/mm/yyyy""),
        TRIM(A345)
      )
    )
  )
)
"),"28/11/2024")</f>
        <v>28/11/2024</v>
      </c>
      <c r="L345" s="26">
        <v>45624.0</v>
      </c>
      <c r="M345" s="27" t="str">
        <f>IFERROR(__xludf.DUMMYFUNCTION("PROPER(TRIM(
  REGEXREPLACE(
    REGEXREPLACE(
      SUBSTITUTE(SUBSTITUTE(SUBSTITUTE(SUBSTITUTE(SUBSTITUTE(SUBSTITUTE(SUBSTITUTE(SUBSTITUTE(SUBSTITUTE(SUBSTITUTE(SUBSTITUTE(
        B345,""√©"",""é""),""√°"",""á""),""√±"",""ñ""),""√≥"",""ó""),""√â"",""é"&amp;"""),""√Å"",""á""),""√ç"",""í""),""√Ç"",""Í""),""√Â"",""é""),""√≠"",""í""),""√º"",""ú""),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45" s="28" t="str">
        <f>IFERROR(__xludf.DUMMYFUNCTION("SPLIT(
  TRIM(
    SUBSTITUTE(
      SUBSTITUTE(
        SUBSTITUTE(
          SUBSTITUTE(
            C345,
            ""√©"", ""é""
          ),
          ""√±"", ""ñ""
        ),
        ""√°"", ""á""
      ),
      ""√≥"", ""ó""
    )
  ),
  ""-""
)
"),"Laptop")</f>
        <v>Laptop</v>
      </c>
      <c r="O345" s="28" t="str">
        <f>IFERROR(__xludf.DUMMYFUNCTION("""COMPUTED_VALUE"""),"Oficina")</f>
        <v>Oficina</v>
      </c>
      <c r="P345" s="28" t="str">
        <f>IFERROR(__xludf.DUMMYFUNCTION("""COMPUTED_VALUE"""),"4GB")</f>
        <v>4GB</v>
      </c>
      <c r="Q345" s="29">
        <f t="shared" si="1"/>
        <v>1168.3</v>
      </c>
      <c r="R345" s="28">
        <f t="shared" si="2"/>
        <v>3</v>
      </c>
      <c r="S345" s="29">
        <f t="shared" si="3"/>
        <v>3504.9</v>
      </c>
      <c r="T345" s="28" t="str">
        <f>IFERROR(__xludf.DUMMYFUNCTION("PROPER(TRIM(
  LET(
    texto1, REGEXREPLACE(G345,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"),"Santiago Perla Carrero")</f>
        <v>Santiago Perla Carrero</v>
      </c>
      <c r="U345" s="28" t="str">
        <f t="shared" si="4"/>
        <v>6a2ef805-75fa-4c53-b30f-57c35a82c2a4</v>
      </c>
      <c r="V345" s="30" t="str">
        <f t="shared" si="5"/>
        <v>Laptop Oficina 4GB</v>
      </c>
    </row>
    <row r="346" ht="15.75" customHeight="1">
      <c r="A346" s="36">
        <v>45608.0</v>
      </c>
      <c r="B346" s="2" t="s">
        <v>38</v>
      </c>
      <c r="C346" s="2" t="s">
        <v>397</v>
      </c>
      <c r="D346" s="7">
        <v>1281.78</v>
      </c>
      <c r="E346" s="2">
        <v>3.0</v>
      </c>
      <c r="F346" s="7">
        <v>3845.34</v>
      </c>
      <c r="G346" s="2" t="s">
        <v>1318</v>
      </c>
      <c r="H346" s="2" t="s">
        <v>1319</v>
      </c>
      <c r="I346" s="2" t="s">
        <v>1320</v>
      </c>
      <c r="K346" s="19" t="str">
        <f>IFERROR(__xludf.DUMMYFUNCTION("IF(ISBLANK(A346),
  """",
  IF(ISNUMBER(A346),
    TEXT(A346,""dd/mm/yyyy""),
    IF(
      REGEXMATCH(TRIM(A346),""^\d{1,2}/\d{1,2}/\d{4}$""),
      TRIM(A346),
      IFERROR(
        TEXT(DATEVALUE(SUBSTITUTE(SUBSTITUTE(TRIM(A346),""-"",""/""),""."",""/"&amp;""")),""dd/mm/yyyy""),
        TRIM(A346)
      )
    )
  )
)
"),"12/11/2024")</f>
        <v>12/11/2024</v>
      </c>
      <c r="L346" s="20">
        <v>45608.0</v>
      </c>
      <c r="M346" s="21" t="str">
        <f>IFERROR(__xludf.DUMMYFUNCTION("PROPER(TRIM(
  REGEXREPLACE(
    REGEXREPLACE(
      SUBSTITUTE(SUBSTITUTE(SUBSTITUTE(SUBSTITUTE(SUBSTITUTE(SUBSTITUTE(SUBSTITUTE(SUBSTITUTE(SUBSTITUTE(SUBSTITUTE(SUBSTITUTE(
        B346,""√©"",""é""),""√°"",""á""),""√±"",""ñ""),""√≥"",""ó""),""√â"",""é"&amp;"""),""√Å"",""á""),""√ç"",""í""),""√Ç"",""Í""),""√Â"",""é""),""√≠"",""í""),""√º"",""ú""),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46" s="22" t="str">
        <f>IFERROR(__xludf.DUMMYFUNCTION("SPLIT(
  TRIM(
    SUBSTITUTE(
      SUBSTITUTE(
        SUBSTITUTE(
          SUBSTITUTE(
            C346,
            ""√©"", ""é""
          ),
          ""√±"", ""ñ""
        ),
        ""√°"", ""á""
      ),
      ""√≥"", ""ó""
    )
  ),
  ""-""
)
"),"Teléfono")</f>
        <v>Teléfono</v>
      </c>
      <c r="O346" s="22" t="str">
        <f>IFERROR(__xludf.DUMMYFUNCTION("""COMPUTED_VALUE"""),"Gama media")</f>
        <v>Gama media</v>
      </c>
      <c r="P346" s="22" t="str">
        <f>IFERROR(__xludf.DUMMYFUNCTION("""COMPUTED_VALUE"""),"32GB")</f>
        <v>32GB</v>
      </c>
      <c r="Q346" s="23">
        <f t="shared" si="1"/>
        <v>1281.78</v>
      </c>
      <c r="R346" s="22">
        <f t="shared" si="2"/>
        <v>3</v>
      </c>
      <c r="S346" s="23">
        <f t="shared" si="3"/>
        <v>3845.34</v>
      </c>
      <c r="T346" s="22" t="str">
        <f>IFERROR(__xludf.DUMMYFUNCTION("PROPER(TRIM(
  LET(
    texto1, REGEXREPLACE(G346,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"),"Eduardo Benavídez Leal")</f>
        <v>Eduardo Benavídez Leal</v>
      </c>
      <c r="U346" s="22" t="str">
        <f t="shared" si="4"/>
        <v>710a2493-760b-4c29-8181-ee456d867a10</v>
      </c>
      <c r="V346" s="24" t="str">
        <f t="shared" si="5"/>
        <v>Teléfono Gama media 32GB</v>
      </c>
    </row>
    <row r="347" ht="15.75" customHeight="1">
      <c r="A347" s="36">
        <v>45422.0</v>
      </c>
      <c r="B347" s="2" t="s">
        <v>38</v>
      </c>
      <c r="C347" s="2" t="s">
        <v>70</v>
      </c>
      <c r="D347" s="7">
        <v>1656.61</v>
      </c>
      <c r="E347" s="2">
        <v>3.0</v>
      </c>
      <c r="F347" s="7">
        <v>4969.83</v>
      </c>
      <c r="G347" s="2" t="s">
        <v>1321</v>
      </c>
      <c r="H347" s="2" t="s">
        <v>1322</v>
      </c>
      <c r="I347" s="2" t="s">
        <v>1323</v>
      </c>
      <c r="K347" s="25" t="str">
        <f>IFERROR(__xludf.DUMMYFUNCTION("IF(ISBLANK(A347),
  """",
  IF(ISNUMBER(A347),
    TEXT(A347,""dd/mm/yyyy""),
    IF(
      REGEXMATCH(TRIM(A347),""^\d{1,2}/\d{1,2}/\d{4}$""),
      TRIM(A347),
      IFERROR(
        TEXT(DATEVALUE(SUBSTITUTE(SUBSTITUTE(TRIM(A347),""-"",""/""),""."",""/"&amp;""")),""dd/mm/yyyy""),
        TRIM(A347)
      )
    )
  )
)
"),"10/05/2024")</f>
        <v>10/05/2024</v>
      </c>
      <c r="L347" s="26">
        <v>45422.0</v>
      </c>
      <c r="M347" s="27" t="str">
        <f>IFERROR(__xludf.DUMMYFUNCTION("PROPER(TRIM(
  REGEXREPLACE(
    REGEXREPLACE(
      SUBSTITUTE(SUBSTITUTE(SUBSTITUTE(SUBSTITUTE(SUBSTITUTE(SUBSTITUTE(SUBSTITUTE(SUBSTITUTE(SUBSTITUTE(SUBSTITUTE(SUBSTITUTE(
        B347,""√©"",""é""),""√°"",""á""),""√±"",""ñ""),""√≥"",""ó""),""√â"",""é"&amp;"""),""√Å"",""á""),""√ç"",""í""),""√Ç"",""Í""),""√Â"",""é""),""√≠"",""í""),""√º"",""ú""),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47" s="28" t="str">
        <f>IFERROR(__xludf.DUMMYFUNCTION("SPLIT(
  TRIM(
    SUBSTITUTE(
      SUBSTITUTE(
        SUBSTITUTE(
          SUBSTITUTE(
            C347,
            ""√©"", ""é""
          ),
          ""√±"", ""ñ""
        ),
        ""√°"", ""á""
      ),
      ""√≥"", ""ó""
    )
  ),
  ""-""
)
"),"Auriculares")</f>
        <v>Auriculares</v>
      </c>
      <c r="O347" s="28" t="str">
        <f>IFERROR(__xludf.DUMMYFUNCTION("""COMPUTED_VALUE"""),"Con cable")</f>
        <v>Con cable</v>
      </c>
      <c r="P347" s="28" t="str">
        <f>IFERROR(__xludf.DUMMYFUNCTION("""COMPUTED_VALUE"""),"16GB")</f>
        <v>16GB</v>
      </c>
      <c r="Q347" s="29">
        <f t="shared" si="1"/>
        <v>1656.61</v>
      </c>
      <c r="R347" s="28">
        <f t="shared" si="2"/>
        <v>3</v>
      </c>
      <c r="S347" s="29">
        <f t="shared" si="3"/>
        <v>4969.83</v>
      </c>
      <c r="T347" s="28" t="str">
        <f>IFERROR(__xludf.DUMMYFUNCTION("PROPER(TRIM(
  LET(
    texto1, REGEXREPLACE(G347,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"),"Pamela Dalia Hinojosa")</f>
        <v>Pamela Dalia Hinojosa</v>
      </c>
      <c r="U347" s="28" t="str">
        <f t="shared" si="4"/>
        <v>402dc8b0-1539-48cc-8e45-054961cea52f</v>
      </c>
      <c r="V347" s="30" t="str">
        <f t="shared" si="5"/>
        <v>Auriculares Con cable 16GB</v>
      </c>
    </row>
    <row r="348" ht="15.75" customHeight="1">
      <c r="A348" s="6">
        <v>45613.0</v>
      </c>
      <c r="B348" s="2" t="s">
        <v>38</v>
      </c>
      <c r="C348" s="2" t="s">
        <v>91</v>
      </c>
      <c r="D348" s="7">
        <v>2030.7</v>
      </c>
      <c r="E348" s="2">
        <v>2.0</v>
      </c>
      <c r="F348" s="7">
        <v>4061.4</v>
      </c>
      <c r="G348" s="2" t="s">
        <v>1324</v>
      </c>
      <c r="H348" s="2" t="s">
        <v>1325</v>
      </c>
      <c r="I348" s="2" t="s">
        <v>1326</v>
      </c>
      <c r="K348" s="19" t="str">
        <f>IFERROR(__xludf.DUMMYFUNCTION("IF(ISBLANK(A348),
  """",
  IF(ISNUMBER(A348),
    TEXT(A348,""dd/mm/yyyy""),
    IF(
      REGEXMATCH(TRIM(A348),""^\d{1,2}/\d{1,2}/\d{4}$""),
      TRIM(A348),
      IFERROR(
        TEXT(DATEVALUE(SUBSTITUTE(SUBSTITUTE(TRIM(A348),""-"",""/""),""."",""/"&amp;""")),""dd/mm/yyyy""),
        TRIM(A348)
      )
    )
  )
)
"),"17/11/2024")</f>
        <v>17/11/2024</v>
      </c>
      <c r="L348" s="20">
        <v>45613.0</v>
      </c>
      <c r="M348" s="21" t="str">
        <f>IFERROR(__xludf.DUMMYFUNCTION("PROPER(TRIM(
  REGEXREPLACE(
    REGEXREPLACE(
      SUBSTITUTE(SUBSTITUTE(SUBSTITUTE(SUBSTITUTE(SUBSTITUTE(SUBSTITUTE(SUBSTITUTE(SUBSTITUTE(SUBSTITUTE(SUBSTITUTE(SUBSTITUTE(
        B348,""√©"",""é""),""√°"",""á""),""√±"",""ñ""),""√≥"",""ó""),""√â"",""é"&amp;"""),""√Å"",""á""),""√ç"",""í""),""√Ç"",""Í""),""√Â"",""é""),""√≠"",""í""),""√º"",""ú""),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48" s="22" t="str">
        <f>IFERROR(__xludf.DUMMYFUNCTION("SPLIT(
  TRIM(
    SUBSTITUTE(
      SUBSTITUTE(
        SUBSTITUTE(
          SUBSTITUTE(
            C348,
            ""√©"", ""é""
          ),
          ""√±"", ""ñ""
        ),
        ""√°"", ""á""
      ),
      ""√≥"", ""ó""
    )
  ),
  ""-""
)
"),"Tablet")</f>
        <v>Tablet</v>
      </c>
      <c r="O348" s="22" t="str">
        <f>IFERROR(__xludf.DUMMYFUNCTION("""COMPUTED_VALUE"""),"Mini")</f>
        <v>Mini</v>
      </c>
      <c r="P348" s="22" t="str">
        <f>IFERROR(__xludf.DUMMYFUNCTION("""COMPUTED_VALUE"""),"32GB")</f>
        <v>32GB</v>
      </c>
      <c r="Q348" s="23">
        <f t="shared" si="1"/>
        <v>2030.7</v>
      </c>
      <c r="R348" s="22">
        <f t="shared" si="2"/>
        <v>2</v>
      </c>
      <c r="S348" s="23">
        <f t="shared" si="3"/>
        <v>4061.4</v>
      </c>
      <c r="T348" s="22" t="str">
        <f>IFERROR(__xludf.DUMMYFUNCTION("PROPER(TRIM(
  LET(
    texto1, REGEXREPLACE(G348,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"),"Caridad Alvarado")</f>
        <v>Caridad Alvarado</v>
      </c>
      <c r="U348" s="22" t="str">
        <f t="shared" si="4"/>
        <v>0290472b-3bf5-4451-95ed-11349e543e25</v>
      </c>
      <c r="V348" s="24" t="str">
        <f t="shared" si="5"/>
        <v>Tablet Mini 32GB</v>
      </c>
    </row>
    <row r="349" ht="15.75" customHeight="1">
      <c r="A349" s="6">
        <v>45620.0</v>
      </c>
      <c r="B349" s="2" t="s">
        <v>38</v>
      </c>
      <c r="C349" s="2" t="s">
        <v>147</v>
      </c>
      <c r="D349" s="7">
        <v>649.99</v>
      </c>
      <c r="E349" s="2">
        <v>2.0</v>
      </c>
      <c r="F349" s="7">
        <v>1299.98</v>
      </c>
      <c r="G349" s="2" t="s">
        <v>1327</v>
      </c>
      <c r="H349" s="2" t="s">
        <v>1328</v>
      </c>
      <c r="I349" s="2" t="s">
        <v>1329</v>
      </c>
      <c r="K349" s="25" t="str">
        <f>IFERROR(__xludf.DUMMYFUNCTION("IF(ISBLANK(A349),
  """",
  IF(ISNUMBER(A349),
    TEXT(A349,""dd/mm/yyyy""),
    IF(
      REGEXMATCH(TRIM(A349),""^\d{1,2}/\d{1,2}/\d{4}$""),
      TRIM(A349),
      IFERROR(
        TEXT(DATEVALUE(SUBSTITUTE(SUBSTITUTE(TRIM(A349),""-"",""/""),""."",""/"&amp;""")),""dd/mm/yyyy""),
        TRIM(A349)
      )
    )
  )
)
"),"24/11/2024")</f>
        <v>24/11/2024</v>
      </c>
      <c r="L349" s="26">
        <v>45620.0</v>
      </c>
      <c r="M349" s="27" t="str">
        <f>IFERROR(__xludf.DUMMYFUNCTION("PROPER(TRIM(
  REGEXREPLACE(
    REGEXREPLACE(
      SUBSTITUTE(SUBSTITUTE(SUBSTITUTE(SUBSTITUTE(SUBSTITUTE(SUBSTITUTE(SUBSTITUTE(SUBSTITUTE(SUBSTITUTE(SUBSTITUTE(SUBSTITUTE(
        B349,""√©"",""é""),""√°"",""á""),""√±"",""ñ""),""√≥"",""ó""),""√â"",""é"&amp;"""),""√Å"",""á""),""√ç"",""í""),""√Ç"",""Í""),""√Â"",""é""),""√≠"",""í""),""√º"",""ú""),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49" s="28" t="str">
        <f>IFERROR(__xludf.DUMMYFUNCTION("SPLIT(
  TRIM(
    SUBSTITUTE(
      SUBSTITUTE(
        SUBSTITUTE(
          SUBSTITUTE(
            C349,
            ""√©"", ""é""
          ),
          ""√±"", ""ñ""
        ),
        ""√°"", ""á""
      ),
      ""√≥"", ""ó""
    )
  ),
  ""-""
)
"),"Laptop")</f>
        <v>Laptop</v>
      </c>
      <c r="O349" s="28" t="str">
        <f>IFERROR(__xludf.DUMMYFUNCTION("""COMPUTED_VALUE"""),"Oficina")</f>
        <v>Oficina</v>
      </c>
      <c r="P349" s="28" t="str">
        <f>IFERROR(__xludf.DUMMYFUNCTION("""COMPUTED_VALUE"""),"16GB")</f>
        <v>16GB</v>
      </c>
      <c r="Q349" s="29">
        <f t="shared" si="1"/>
        <v>649.99</v>
      </c>
      <c r="R349" s="28">
        <f t="shared" si="2"/>
        <v>2</v>
      </c>
      <c r="S349" s="29">
        <f t="shared" si="3"/>
        <v>1299.98</v>
      </c>
      <c r="T349" s="28" t="str">
        <f>IFERROR(__xludf.DUMMYFUNCTION("PROPER(TRIM(
  LET(
    texto1, REGEXREPLACE(G349,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"),"Bruno Miranda")</f>
        <v>Bruno Miranda</v>
      </c>
      <c r="U349" s="28" t="str">
        <f t="shared" si="4"/>
        <v>2a34b394-3a83-4acf-a98b-738080cc0de3</v>
      </c>
      <c r="V349" s="30" t="str">
        <f t="shared" si="5"/>
        <v>Laptop Oficina 16GB</v>
      </c>
    </row>
    <row r="350" ht="15.75" customHeight="1">
      <c r="A350" s="6">
        <v>45580.0</v>
      </c>
      <c r="B350" s="2" t="s">
        <v>27</v>
      </c>
      <c r="C350" s="2" t="s">
        <v>45</v>
      </c>
      <c r="D350" s="7">
        <v>68.0</v>
      </c>
      <c r="E350" s="2">
        <v>3.0</v>
      </c>
      <c r="F350" s="7">
        <v>204.0</v>
      </c>
      <c r="G350" s="2" t="s">
        <v>1330</v>
      </c>
      <c r="H350" s="2" t="s">
        <v>1331</v>
      </c>
      <c r="I350" s="2" t="s">
        <v>1332</v>
      </c>
      <c r="K350" s="19" t="str">
        <f>IFERROR(__xludf.DUMMYFUNCTION("IF(ISBLANK(A350),
  """",
  IF(ISNUMBER(A350),
    TEXT(A350,""dd/mm/yyyy""),
    IF(
      REGEXMATCH(TRIM(A350),""^\d{1,2}/\d{1,2}/\d{4}$""),
      TRIM(A350),
      IFERROR(
        TEXT(DATEVALUE(SUBSTITUTE(SUBSTITUTE(TRIM(A350),""-"",""/""),""."",""/"&amp;""")),""dd/mm/yyyy""),
        TRIM(A350)
      )
    )
  )
)
"),"15/10/2024")</f>
        <v>15/10/2024</v>
      </c>
      <c r="L350" s="20">
        <v>45580.0</v>
      </c>
      <c r="M350" s="21" t="str">
        <f>IFERROR(__xludf.DUMMYFUNCTION("PROPER(TRIM(
  REGEXREPLACE(
    REGEXREPLACE(
      SUBSTITUTE(SUBSTITUTE(SUBSTITUTE(SUBSTITUTE(SUBSTITUTE(SUBSTITUTE(SUBSTITUTE(SUBSTITUTE(SUBSTITUTE(SUBSTITUTE(SUBSTITUTE(
        B350,""√©"",""é""),""√°"",""á""),""√±"",""ñ""),""√≥"",""ó""),""√â"",""é"&amp;"""),""√Å"",""á""),""√ç"",""í""),""√Ç"",""Í""),""√Â"",""é""),""√≠"",""í""),""√º"",""ú""),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50" s="22" t="str">
        <f>IFERROR(__xludf.DUMMYFUNCTION("SPLIT(
  TRIM(
    SUBSTITUTE(
      SUBSTITUTE(
        SUBSTITUTE(
          SUBSTITUTE(
            C350,
            ""√©"", ""é""
          ),
          ""√±"", ""ñ""
        ),
        ""√°"", ""á""
      ),
      ""√≥"", ""ó""
    )
  ),
  ""-""
)
"),"Tablet")</f>
        <v>Tablet</v>
      </c>
      <c r="O350" s="22" t="str">
        <f>IFERROR(__xludf.DUMMYFUNCTION("""COMPUTED_VALUE"""),"Mini")</f>
        <v>Mini</v>
      </c>
      <c r="P350" s="22" t="str">
        <f>IFERROR(__xludf.DUMMYFUNCTION("""COMPUTED_VALUE"""),"4GB")</f>
        <v>4GB</v>
      </c>
      <c r="Q350" s="23">
        <f t="shared" si="1"/>
        <v>68</v>
      </c>
      <c r="R350" s="22">
        <f t="shared" si="2"/>
        <v>3</v>
      </c>
      <c r="S350" s="23">
        <f t="shared" si="3"/>
        <v>204</v>
      </c>
      <c r="T350" s="22" t="str">
        <f>IFERROR(__xludf.DUMMYFUNCTION("PROPER(TRIM(
  LET(
    texto1, REGEXREPLACE(G350,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"),"Mariana Jerónimo Partida Tejeda")</f>
        <v>Mariana Jerónimo Partida Tejeda</v>
      </c>
      <c r="U350" s="22" t="str">
        <f t="shared" si="4"/>
        <v>50843e6d-c79e-434b-87b9-c3050b4bcc8f</v>
      </c>
      <c r="V350" s="24" t="str">
        <f t="shared" si="5"/>
        <v>Tablet Mini 4GB</v>
      </c>
    </row>
    <row r="351" ht="15.75" customHeight="1">
      <c r="A351" s="6">
        <v>45588.0</v>
      </c>
      <c r="B351" s="2" t="s">
        <v>85</v>
      </c>
      <c r="C351" s="2" t="s">
        <v>369</v>
      </c>
      <c r="D351" s="7">
        <v>348.21</v>
      </c>
      <c r="E351" s="2">
        <v>5.0</v>
      </c>
      <c r="F351" s="7">
        <v>1741.05</v>
      </c>
      <c r="G351" s="2" t="s">
        <v>1333</v>
      </c>
      <c r="H351" s="2" t="s">
        <v>1334</v>
      </c>
      <c r="I351" s="2" t="s">
        <v>1335</v>
      </c>
      <c r="K351" s="25" t="str">
        <f>IFERROR(__xludf.DUMMYFUNCTION("IF(ISBLANK(A351),
  """",
  IF(ISNUMBER(A351),
    TEXT(A351,""dd/mm/yyyy""),
    IF(
      REGEXMATCH(TRIM(A351),""^\d{1,2}/\d{1,2}/\d{4}$""),
      TRIM(A351),
      IFERROR(
        TEXT(DATEVALUE(SUBSTITUTE(SUBSTITUTE(TRIM(A351),""-"",""/""),""."",""/"&amp;""")),""dd/mm/yyyy""),
        TRIM(A351)
      )
    )
  )
)
"),"23/10/2024")</f>
        <v>23/10/2024</v>
      </c>
      <c r="L351" s="26">
        <v>45588.0</v>
      </c>
      <c r="M351" s="27" t="str">
        <f>IFERROR(__xludf.DUMMYFUNCTION("PROPER(TRIM(
  REGEXREPLACE(
    REGEXREPLACE(
      SUBSTITUTE(SUBSTITUTE(SUBSTITUTE(SUBSTITUTE(SUBSTITUTE(SUBSTITUTE(SUBSTITUTE(SUBSTITUTE(SUBSTITUTE(SUBSTITUTE(SUBSTITUTE(
        B351,""√©"",""é""),""√°"",""á""),""√±"",""ñ""),""√≥"",""ó""),""√â"",""é"&amp;"""),""√Å"",""á""),""√ç"",""í""),""√Ç"",""Í""),""√Â"",""é""),""√≠"",""í""),""√º"",""ú""),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51" s="28" t="str">
        <f>IFERROR(__xludf.DUMMYFUNCTION("SPLIT(
  TRIM(
    SUBSTITUTE(
      SUBSTITUTE(
        SUBSTITUTE(
          SUBSTITUTE(
            C351,
            ""√©"", ""é""
          ),
          ""√±"", ""ñ""
        ),
        ""√°"", ""á""
      ),
      ""√≥"", ""ó""
    )
  ),
  ""-""
)
"),"Tablet")</f>
        <v>Tablet</v>
      </c>
      <c r="O351" s="28" t="str">
        <f>IFERROR(__xludf.DUMMYFUNCTION("""COMPUTED_VALUE"""),"Pro")</f>
        <v>Pro</v>
      </c>
      <c r="P351" s="28" t="str">
        <f>IFERROR(__xludf.DUMMYFUNCTION("""COMPUTED_VALUE"""),"16GB")</f>
        <v>16GB</v>
      </c>
      <c r="Q351" s="29">
        <f t="shared" si="1"/>
        <v>348.21</v>
      </c>
      <c r="R351" s="28">
        <f t="shared" si="2"/>
        <v>5</v>
      </c>
      <c r="S351" s="29">
        <f t="shared" si="3"/>
        <v>1741.05</v>
      </c>
      <c r="T351" s="28" t="str">
        <f>IFERROR(__xludf.DUMMYFUNCTION("PROPER(TRIM(
  LET(
    texto1, REGEXREPLACE(G351,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"),"Patricio Narváez Holguín")</f>
        <v>Patricio Narváez Holguín</v>
      </c>
      <c r="U351" s="28" t="str">
        <f t="shared" si="4"/>
        <v>467ff27d-c3d7-4928-bade-34474e2a754a</v>
      </c>
      <c r="V351" s="30" t="str">
        <f t="shared" si="5"/>
        <v>Tablet Pro 16GB</v>
      </c>
    </row>
    <row r="352" ht="15.75" customHeight="1">
      <c r="A352" s="36">
        <v>45637.0</v>
      </c>
      <c r="B352" s="2" t="s">
        <v>101</v>
      </c>
      <c r="C352" s="2" t="s">
        <v>91</v>
      </c>
      <c r="D352" s="7">
        <v>782.8</v>
      </c>
      <c r="E352" s="2">
        <v>2.0</v>
      </c>
      <c r="F352" s="7">
        <v>1565.6</v>
      </c>
      <c r="G352" s="2" t="s">
        <v>1336</v>
      </c>
      <c r="H352" s="2" t="s">
        <v>1337</v>
      </c>
      <c r="I352" s="2" t="s">
        <v>1338</v>
      </c>
      <c r="K352" s="19" t="str">
        <f>IFERROR(__xludf.DUMMYFUNCTION("IF(ISBLANK(A352),
  """",
  IF(ISNUMBER(A352),
    TEXT(A352,""dd/mm/yyyy""),
    IF(
      REGEXMATCH(TRIM(A352),""^\d{1,2}/\d{1,2}/\d{4}$""),
      TRIM(A352),
      IFERROR(
        TEXT(DATEVALUE(SUBSTITUTE(SUBSTITUTE(TRIM(A352),""-"",""/""),""."",""/"&amp;""")),""dd/mm/yyyy""),
        TRIM(A352)
      )
    )
  )
)
"),"11/12/2024")</f>
        <v>11/12/2024</v>
      </c>
      <c r="L352" s="20">
        <v>45637.0</v>
      </c>
      <c r="M352" s="21" t="str">
        <f>IFERROR(__xludf.DUMMYFUNCTION("PROPER(TRIM(
  REGEXREPLACE(
    REGEXREPLACE(
      SUBSTITUTE(SUBSTITUTE(SUBSTITUTE(SUBSTITUTE(SUBSTITUTE(SUBSTITUTE(SUBSTITUTE(SUBSTITUTE(SUBSTITUTE(SUBSTITUTE(SUBSTITUTE(
        B352,""√©"",""é""),""√°"",""á""),""√±"",""ñ""),""√≥"",""ó""),""√â"",""é"&amp;"""),""√Å"",""á""),""√ç"",""í""),""√Ç"",""Í""),""√Â"",""é""),""√≠"",""í""),""√º"",""ú""),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52" s="22" t="str">
        <f>IFERROR(__xludf.DUMMYFUNCTION("SPLIT(
  TRIM(
    SUBSTITUTE(
      SUBSTITUTE(
        SUBSTITUTE(
          SUBSTITUTE(
            C352,
            ""√©"", ""é""
          ),
          ""√±"", ""ñ""
        ),
        ""√°"", ""á""
      ),
      ""√≥"", ""ó""
    )
  ),
  ""-""
)
"),"Tablet")</f>
        <v>Tablet</v>
      </c>
      <c r="O352" s="22" t="str">
        <f>IFERROR(__xludf.DUMMYFUNCTION("""COMPUTED_VALUE"""),"Mini")</f>
        <v>Mini</v>
      </c>
      <c r="P352" s="22" t="str">
        <f>IFERROR(__xludf.DUMMYFUNCTION("""COMPUTED_VALUE"""),"32GB")</f>
        <v>32GB</v>
      </c>
      <c r="Q352" s="23">
        <f t="shared" si="1"/>
        <v>782.8</v>
      </c>
      <c r="R352" s="22">
        <f t="shared" si="2"/>
        <v>2</v>
      </c>
      <c r="S352" s="23">
        <f t="shared" si="3"/>
        <v>1565.6</v>
      </c>
      <c r="T352" s="22" t="str">
        <f>IFERROR(__xludf.DUMMYFUNCTION("PROPER(TRIM(
  LET(
    texto1, REGEXREPLACE(G352,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Benavídez")</f>
        <v>José Benavídez</v>
      </c>
      <c r="U352" s="22" t="str">
        <f t="shared" si="4"/>
        <v>eb22a1ca-e765-4386-9637-b65cff10da6f</v>
      </c>
      <c r="V352" s="24" t="str">
        <f t="shared" si="5"/>
        <v>Tablet Mini 32GB</v>
      </c>
    </row>
    <row r="353" ht="15.75" customHeight="1">
      <c r="A353" s="6">
        <v>45609.0</v>
      </c>
      <c r="B353" s="2" t="s">
        <v>50</v>
      </c>
      <c r="C353" s="2" t="s">
        <v>86</v>
      </c>
      <c r="D353" s="7">
        <v>2393.92</v>
      </c>
      <c r="E353" s="2">
        <v>3.0</v>
      </c>
      <c r="F353" s="7">
        <v>7181.76</v>
      </c>
      <c r="G353" s="2" t="s">
        <v>1339</v>
      </c>
      <c r="H353" s="2" t="s">
        <v>1340</v>
      </c>
      <c r="I353" s="2" t="s">
        <v>1341</v>
      </c>
      <c r="K353" s="25" t="str">
        <f>IFERROR(__xludf.DUMMYFUNCTION("IF(ISBLANK(A353),
  """",
  IF(ISNUMBER(A353),
    TEXT(A353,""dd/mm/yyyy""),
    IF(
      REGEXMATCH(TRIM(A353),""^\d{1,2}/\d{1,2}/\d{4}$""),
      TRIM(A353),
      IFERROR(
        TEXT(DATEVALUE(SUBSTITUTE(SUBSTITUTE(TRIM(A353),""-"",""/""),""."",""/"&amp;""")),""dd/mm/yyyy""),
        TRIM(A353)
      )
    )
  )
)
"),"13/11/2024")</f>
        <v>13/11/2024</v>
      </c>
      <c r="L353" s="26">
        <v>45609.0</v>
      </c>
      <c r="M353" s="27" t="str">
        <f>IFERROR(__xludf.DUMMYFUNCTION("PROPER(TRIM(
  REGEXREPLACE(
    REGEXREPLACE(
      SUBSTITUTE(SUBSTITUTE(SUBSTITUTE(SUBSTITUTE(SUBSTITUTE(SUBSTITUTE(SUBSTITUTE(SUBSTITUTE(SUBSTITUTE(SUBSTITUTE(SUBSTITUTE(
        B353,""√©"",""é""),""√°"",""á""),""√±"",""ñ""),""√≥"",""ó""),""√â"",""é"&amp;"""),""√Å"",""á""),""√ç"",""í""),""√Ç"",""Í""),""√Â"",""é""),""√≠"",""í""),""√º"",""ú""),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53" s="28" t="str">
        <f>IFERROR(__xludf.DUMMYFUNCTION("SPLIT(
  TRIM(
    SUBSTITUTE(
      SUBSTITUTE(
        SUBSTITUTE(
          SUBSTITUTE(
            C353,
            ""√©"", ""é""
          ),
          ""√±"", ""ñ""
        ),
        ""√°"", ""á""
      ),
      ""√≥"", ""ó""
    )
  ),
  ""-""
)
"),"Tablet")</f>
        <v>Tablet</v>
      </c>
      <c r="O353" s="28" t="str">
        <f>IFERROR(__xludf.DUMMYFUNCTION("""COMPUTED_VALUE"""),"Pro")</f>
        <v>Pro</v>
      </c>
      <c r="P353" s="28" t="str">
        <f>IFERROR(__xludf.DUMMYFUNCTION("""COMPUTED_VALUE"""),"32GB")</f>
        <v>32GB</v>
      </c>
      <c r="Q353" s="29">
        <f t="shared" si="1"/>
        <v>2393.92</v>
      </c>
      <c r="R353" s="28">
        <f t="shared" si="2"/>
        <v>3</v>
      </c>
      <c r="S353" s="29">
        <f t="shared" si="3"/>
        <v>7181.76</v>
      </c>
      <c r="T353" s="28" t="str">
        <f>IFERROR(__xludf.DUMMYFUNCTION("PROPER(TRIM(
  LET(
    texto1, REGEXREPLACE(G353,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"),"Marcela Augusto Baca")</f>
        <v>Marcela Augusto Baca</v>
      </c>
      <c r="U353" s="28" t="str">
        <f t="shared" si="4"/>
        <v>213520c6-9cb7-434b-bd54-ffac25a0f0c9</v>
      </c>
      <c r="V353" s="30" t="str">
        <f t="shared" si="5"/>
        <v>Tablet Pro 32GB</v>
      </c>
    </row>
    <row r="354" ht="15.75" customHeight="1">
      <c r="A354" s="36">
        <v>45455.0</v>
      </c>
      <c r="B354" s="2" t="s">
        <v>27</v>
      </c>
      <c r="C354" s="38" t="s">
        <v>348</v>
      </c>
      <c r="D354" s="7">
        <v>825.08</v>
      </c>
      <c r="E354" s="2">
        <v>4.0</v>
      </c>
      <c r="F354" s="7">
        <v>3300.32</v>
      </c>
      <c r="G354" s="2" t="s">
        <v>1343</v>
      </c>
      <c r="H354" s="2" t="s">
        <v>1344</v>
      </c>
      <c r="I354" s="2" t="s">
        <v>1345</v>
      </c>
      <c r="K354" s="19" t="str">
        <f>IFERROR(__xludf.DUMMYFUNCTION("IF(ISBLANK(A354),
  """",
  IF(ISNUMBER(A354),
    TEXT(A354,""dd/mm/yyyy""),
    IF(
      REGEXMATCH(TRIM(A354),""^\d{1,2}/\d{1,2}/\d{4}$""),
      TRIM(A354),
      IFERROR(
        TEXT(DATEVALUE(SUBSTITUTE(SUBSTITUTE(TRIM(A354),""-"",""/""),""."",""/"&amp;""")),""dd/mm/yyyy""),
        TRIM(A354)
      )
    )
  )
)
"),"12/06/2024")</f>
        <v>12/06/2024</v>
      </c>
      <c r="L354" s="20">
        <v>45455.0</v>
      </c>
      <c r="M354" s="21" t="str">
        <f>IFERROR(__xludf.DUMMYFUNCTION("PROPER(TRIM(
  REGEXREPLACE(
    REGEXREPLACE(
      SUBSTITUTE(SUBSTITUTE(SUBSTITUTE(SUBSTITUTE(SUBSTITUTE(SUBSTITUTE(SUBSTITUTE(SUBSTITUTE(SUBSTITUTE(SUBSTITUTE(SUBSTITUTE(
        B354,""√©"",""é""),""√°"",""á""),""√±"",""ñ""),""√≥"",""ó""),""√â"",""é"&amp;"""),""√Å"",""á""),""√ç"",""í""),""√Ç"",""Í""),""√Â"",""é""),""√≠"",""í""),""√º"",""ú""),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54" s="22" t="str">
        <f>IFERROR(__xludf.DUMMYFUNCTION("SPLIT(
  TRIM(
    SUBSTITUTE(
      SUBSTITUTE(
        SUBSTITUTE(
          SUBSTITUTE(
            C354,
            ""√©"", ""é""
          ),
          ""√±"", ""ñ""
        ),
        ""√°"", ""á""
      ),
      ""√≥"", ""ó""
    )
  ),
  ""-""
)
"),"Teléfono")</f>
        <v>Teléfono</v>
      </c>
      <c r="O354" s="22" t="str">
        <f>IFERROR(__xludf.DUMMYFUNCTION("""COMPUTED_VALUE"""),"Gama media")</f>
        <v>Gama media</v>
      </c>
      <c r="P354" s="22" t="str">
        <f>IFERROR(__xludf.DUMMYFUNCTION("""COMPUTED_VALUE"""),"8GB")</f>
        <v>8GB</v>
      </c>
      <c r="Q354" s="23">
        <f t="shared" si="1"/>
        <v>825.08</v>
      </c>
      <c r="R354" s="22">
        <f t="shared" si="2"/>
        <v>4</v>
      </c>
      <c r="S354" s="23">
        <f t="shared" si="3"/>
        <v>3300.32</v>
      </c>
      <c r="T354" s="22" t="str">
        <f>IFERROR(__xludf.DUMMYFUNCTION("PROPER(TRIM(
  LET(
    texto1, REGEXREPLACE(G354,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"),"Ivonne Olivia Cazares")</f>
        <v>Ivonne Olivia Cazares</v>
      </c>
      <c r="U354" s="22" t="str">
        <f t="shared" si="4"/>
        <v>1d2a3f24-e05a-4249-8b6d-8695ae2cf4c0</v>
      </c>
      <c r="V354" s="24" t="str">
        <f t="shared" si="5"/>
        <v>Teléfono Gama media 8GB</v>
      </c>
    </row>
    <row r="355" ht="15.75" customHeight="1">
      <c r="A355" s="36">
        <v>45334.0</v>
      </c>
      <c r="B355" s="2" t="s">
        <v>27</v>
      </c>
      <c r="C355" s="2" t="s">
        <v>11</v>
      </c>
      <c r="D355" s="7">
        <v>2323.09</v>
      </c>
      <c r="E355" s="2">
        <v>1.0</v>
      </c>
      <c r="F355" s="7">
        <v>2323.09</v>
      </c>
      <c r="G355" s="2" t="s">
        <v>1346</v>
      </c>
      <c r="H355" s="2" t="s">
        <v>1347</v>
      </c>
      <c r="I355" s="2" t="s">
        <v>1348</v>
      </c>
      <c r="K355" s="25" t="str">
        <f>IFERROR(__xludf.DUMMYFUNCTION("IF(ISBLANK(A355),
  """",
  IF(ISNUMBER(A355),
    TEXT(A355,""dd/mm/yyyy""),
    IF(
      REGEXMATCH(TRIM(A355),""^\d{1,2}/\d{1,2}/\d{4}$""),
      TRIM(A355),
      IFERROR(
        TEXT(DATEVALUE(SUBSTITUTE(SUBSTITUTE(TRIM(A355),""-"",""/""),""."",""/"&amp;""")),""dd/mm/yyyy""),
        TRIM(A355)
      )
    )
  )
)
"),"12/02/2024")</f>
        <v>12/02/2024</v>
      </c>
      <c r="L355" s="26">
        <v>45334.0</v>
      </c>
      <c r="M355" s="27" t="str">
        <f>IFERROR(__xludf.DUMMYFUNCTION("PROPER(TRIM(
  REGEXREPLACE(
    REGEXREPLACE(
      SUBSTITUTE(SUBSTITUTE(SUBSTITUTE(SUBSTITUTE(SUBSTITUTE(SUBSTITUTE(SUBSTITUTE(SUBSTITUTE(SUBSTITUTE(SUBSTITUTE(SUBSTITUTE(
        B355,""√©"",""é""),""√°"",""á""),""√±"",""ñ""),""√≥"",""ó""),""√â"",""é"&amp;"""),""√Å"",""á""),""√ç"",""í""),""√Ç"",""Í""),""√Â"",""é""),""√≠"",""í""),""√º"",""ú""),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55" s="28" t="str">
        <f>IFERROR(__xludf.DUMMYFUNCTION("SPLIT(
  TRIM(
    SUBSTITUTE(
      SUBSTITUTE(
        SUBSTITUTE(
          SUBSTITUTE(
            C355,
            ""√©"", ""é""
          ),
          ""√±"", ""ñ""
        ),
        ""√°"", ""á""
      ),
      ""√≥"", ""ó""
    )
  ),
  ""-""
)
"),"Auriculares")</f>
        <v>Auriculares</v>
      </c>
      <c r="O355" s="28" t="str">
        <f>IFERROR(__xludf.DUMMYFUNCTION("""COMPUTED_VALUE"""),"Con cable")</f>
        <v>Con cable</v>
      </c>
      <c r="P355" s="28" t="str">
        <f>IFERROR(__xludf.DUMMYFUNCTION("""COMPUTED_VALUE"""),"32GB")</f>
        <v>32GB</v>
      </c>
      <c r="Q355" s="29">
        <f t="shared" si="1"/>
        <v>2323.09</v>
      </c>
      <c r="R355" s="28">
        <f t="shared" si="2"/>
        <v>1</v>
      </c>
      <c r="S355" s="29">
        <f t="shared" si="3"/>
        <v>2323.09</v>
      </c>
      <c r="T355" s="28" t="str">
        <f>IFERROR(__xludf.DUMMYFUNCTION("PROPER(TRIM(
  LET(
    texto1, REGEXREPLACE(G355,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"),"Omar Alicia Mendoza Barrientos")</f>
        <v>Omar Alicia Mendoza Barrientos</v>
      </c>
      <c r="U355" s="28" t="str">
        <f t="shared" si="4"/>
        <v>67b34291-ecc9-476a-bf0b-8643f28dc5e3</v>
      </c>
      <c r="V355" s="30" t="str">
        <f t="shared" si="5"/>
        <v>Auriculares Con cable 32GB</v>
      </c>
    </row>
    <row r="356" ht="15.75" customHeight="1">
      <c r="A356" s="6">
        <v>45589.0</v>
      </c>
      <c r="B356" s="2" t="s">
        <v>101</v>
      </c>
      <c r="C356" s="2" t="s">
        <v>1015</v>
      </c>
      <c r="D356" s="7">
        <v>1518.43</v>
      </c>
      <c r="E356" s="2">
        <v>5.0</v>
      </c>
      <c r="F356" s="7">
        <v>7592.15</v>
      </c>
      <c r="G356" s="2" t="s">
        <v>1349</v>
      </c>
      <c r="H356" s="2" t="s">
        <v>1350</v>
      </c>
      <c r="I356" s="2" t="s">
        <v>1351</v>
      </c>
      <c r="K356" s="19" t="str">
        <f>IFERROR(__xludf.DUMMYFUNCTION("IF(ISBLANK(A356),
  """",
  IF(ISNUMBER(A356),
    TEXT(A356,""dd/mm/yyyy""),
    IF(
      REGEXMATCH(TRIM(A356),""^\d{1,2}/\d{1,2}/\d{4}$""),
      TRIM(A356),
      IFERROR(
        TEXT(DATEVALUE(SUBSTITUTE(SUBSTITUTE(TRIM(A356),""-"",""/""),""."",""/"&amp;""")),""dd/mm/yyyy""),
        TRIM(A356)
      )
    )
  )
)
"),"24/10/2024")</f>
        <v>24/10/2024</v>
      </c>
      <c r="L356" s="20">
        <v>45589.0</v>
      </c>
      <c r="M356" s="21" t="str">
        <f>IFERROR(__xludf.DUMMYFUNCTION("PROPER(TRIM(
  REGEXREPLACE(
    REGEXREPLACE(
      SUBSTITUTE(SUBSTITUTE(SUBSTITUTE(SUBSTITUTE(SUBSTITUTE(SUBSTITUTE(SUBSTITUTE(SUBSTITUTE(SUBSTITUTE(SUBSTITUTE(SUBSTITUTE(
        B356,""√©"",""é""),""√°"",""á""),""√±"",""ñ""),""√≥"",""ó""),""√â"",""é"&amp;"""),""√Å"",""á""),""√ç"",""í""),""√Ç"",""Í""),""√Â"",""é""),""√≠"",""í""),""√º"",""ú""),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56" s="22" t="str">
        <f>IFERROR(__xludf.DUMMYFUNCTION("SPLIT(
  TRIM(
    SUBSTITUTE(
      SUBSTITUTE(
        SUBSTITUTE(
          SUBSTITUTE(
            C356,
            ""√©"", ""é""
          ),
          ""√±"", ""ñ""
        ),
        ""√°"", ""á""
      ),
      ""√≥"", ""ó""
    )
  ),
  ""-""
)
"),"Auriculares")</f>
        <v>Auriculares</v>
      </c>
      <c r="O356" s="22" t="str">
        <f>IFERROR(__xludf.DUMMYFUNCTION("""COMPUTED_VALUE"""),"Bluetooth")</f>
        <v>Bluetooth</v>
      </c>
      <c r="P356" s="22" t="str">
        <f>IFERROR(__xludf.DUMMYFUNCTION("""COMPUTED_VALUE"""),"32GB")</f>
        <v>32GB</v>
      </c>
      <c r="Q356" s="23">
        <f t="shared" si="1"/>
        <v>1518.43</v>
      </c>
      <c r="R356" s="22">
        <f t="shared" si="2"/>
        <v>5</v>
      </c>
      <c r="S356" s="23">
        <f t="shared" si="3"/>
        <v>7592.15</v>
      </c>
      <c r="T356" s="22" t="str">
        <f>IFERROR(__xludf.DUMMYFUNCTION("PROPER(TRIM(
  LET(
    texto1, REGEXREPLACE(G356,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"),"Esperanza Domínguez")</f>
        <v>Esperanza Domínguez</v>
      </c>
      <c r="U356" s="22" t="str">
        <f t="shared" si="4"/>
        <v>159a0e2b-f468-4295-9e69-b0d9dd79d890</v>
      </c>
      <c r="V356" s="24" t="str">
        <f t="shared" si="5"/>
        <v>Auriculares Bluetooth 32GB</v>
      </c>
    </row>
    <row r="357" ht="15.75" customHeight="1">
      <c r="A357" s="36">
        <v>45362.0</v>
      </c>
      <c r="B357" s="2" t="s">
        <v>27</v>
      </c>
      <c r="C357" s="2" t="s">
        <v>45</v>
      </c>
      <c r="D357" s="7">
        <v>1779.15</v>
      </c>
      <c r="E357" s="2">
        <v>5.0</v>
      </c>
      <c r="F357" s="7">
        <v>8895.75</v>
      </c>
      <c r="G357" s="2" t="s">
        <v>1352</v>
      </c>
      <c r="H357" s="2" t="s">
        <v>1353</v>
      </c>
      <c r="I357" s="2" t="s">
        <v>1354</v>
      </c>
      <c r="K357" s="25" t="str">
        <f>IFERROR(__xludf.DUMMYFUNCTION("IF(ISBLANK(A357),
  """",
  IF(ISNUMBER(A357),
    TEXT(A357,""dd/mm/yyyy""),
    IF(
      REGEXMATCH(TRIM(A357),""^\d{1,2}/\d{1,2}/\d{4}$""),
      TRIM(A357),
      IFERROR(
        TEXT(DATEVALUE(SUBSTITUTE(SUBSTITUTE(TRIM(A357),""-"",""/""),""."",""/"&amp;""")),""dd/mm/yyyy""),
        TRIM(A357)
      )
    )
  )
)
"),"11/03/2024")</f>
        <v>11/03/2024</v>
      </c>
      <c r="L357" s="26">
        <v>45362.0</v>
      </c>
      <c r="M357" s="27" t="str">
        <f>IFERROR(__xludf.DUMMYFUNCTION("PROPER(TRIM(
  REGEXREPLACE(
    REGEXREPLACE(
      SUBSTITUTE(SUBSTITUTE(SUBSTITUTE(SUBSTITUTE(SUBSTITUTE(SUBSTITUTE(SUBSTITUTE(SUBSTITUTE(SUBSTITUTE(SUBSTITUTE(SUBSTITUTE(
        B357,""√©"",""é""),""√°"",""á""),""√±"",""ñ""),""√≥"",""ó""),""√â"",""é"&amp;"""),""√Å"",""á""),""√ç"",""í""),""√Ç"",""Í""),""√Â"",""é""),""√≠"",""í""),""√º"",""ú""),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57" s="28" t="str">
        <f>IFERROR(__xludf.DUMMYFUNCTION("SPLIT(
  TRIM(
    SUBSTITUTE(
      SUBSTITUTE(
        SUBSTITUTE(
          SUBSTITUTE(
            C357,
            ""√©"", ""é""
          ),
          ""√±"", ""ñ""
        ),
        ""√°"", ""á""
      ),
      ""√≥"", ""ó""
    )
  ),
  ""-""
)
"),"Tablet")</f>
        <v>Tablet</v>
      </c>
      <c r="O357" s="28" t="str">
        <f>IFERROR(__xludf.DUMMYFUNCTION("""COMPUTED_VALUE"""),"Mini")</f>
        <v>Mini</v>
      </c>
      <c r="P357" s="28" t="str">
        <f>IFERROR(__xludf.DUMMYFUNCTION("""COMPUTED_VALUE"""),"4GB")</f>
        <v>4GB</v>
      </c>
      <c r="Q357" s="29">
        <f t="shared" si="1"/>
        <v>1779.15</v>
      </c>
      <c r="R357" s="28">
        <f t="shared" si="2"/>
        <v>5</v>
      </c>
      <c r="S357" s="29">
        <f t="shared" si="3"/>
        <v>8895.75</v>
      </c>
      <c r="T357" s="28" t="str">
        <f>IFERROR(__xludf.DUMMYFUNCTION("PROPER(TRIM(
  LET(
    texto1, REGEXREPLACE(G357,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"),"Salvador Bahena")</f>
        <v>Salvador Bahena</v>
      </c>
      <c r="U357" s="28" t="str">
        <f t="shared" si="4"/>
        <v>d7706a15-f812-457c-8d85-83d2a2d32412</v>
      </c>
      <c r="V357" s="30" t="str">
        <f t="shared" si="5"/>
        <v>Tablet Mini 4GB</v>
      </c>
    </row>
    <row r="358" ht="15.75" customHeight="1">
      <c r="A358" s="6">
        <v>45610.0</v>
      </c>
      <c r="B358" s="2" t="s">
        <v>85</v>
      </c>
      <c r="C358" s="2" t="s">
        <v>11</v>
      </c>
      <c r="D358" s="7">
        <v>1051.49</v>
      </c>
      <c r="E358" s="2">
        <v>3.0</v>
      </c>
      <c r="F358" s="7">
        <v>3154.47</v>
      </c>
      <c r="G358" s="2" t="s">
        <v>1355</v>
      </c>
      <c r="H358" s="2" t="s">
        <v>1356</v>
      </c>
      <c r="I358" s="2" t="s">
        <v>1357</v>
      </c>
      <c r="K358" s="19" t="str">
        <f>IFERROR(__xludf.DUMMYFUNCTION("IF(ISBLANK(A358),
  """",
  IF(ISNUMBER(A358),
    TEXT(A358,""dd/mm/yyyy""),
    IF(
      REGEXMATCH(TRIM(A358),""^\d{1,2}/\d{1,2}/\d{4}$""),
      TRIM(A358),
      IFERROR(
        TEXT(DATEVALUE(SUBSTITUTE(SUBSTITUTE(TRIM(A358),""-"",""/""),""."",""/"&amp;""")),""dd/mm/yyyy""),
        TRIM(A358)
      )
    )
  )
)
"),"14/11/2024")</f>
        <v>14/11/2024</v>
      </c>
      <c r="L358" s="20">
        <v>45610.0</v>
      </c>
      <c r="M358" s="21" t="str">
        <f>IFERROR(__xludf.DUMMYFUNCTION("PROPER(TRIM(
  REGEXREPLACE(
    REGEXREPLACE(
      SUBSTITUTE(SUBSTITUTE(SUBSTITUTE(SUBSTITUTE(SUBSTITUTE(SUBSTITUTE(SUBSTITUTE(SUBSTITUTE(SUBSTITUTE(SUBSTITUTE(SUBSTITUTE(
        B358,""√©"",""é""),""√°"",""á""),""√±"",""ñ""),""√≥"",""ó""),""√â"",""é"&amp;"""),""√Å"",""á""),""√ç"",""í""),""√Ç"",""Í""),""√Â"",""é""),""√≠"",""í""),""√º"",""ú""),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58" s="22" t="str">
        <f>IFERROR(__xludf.DUMMYFUNCTION("SPLIT(
  TRIM(
    SUBSTITUTE(
      SUBSTITUTE(
        SUBSTITUTE(
          SUBSTITUTE(
            C358,
            ""√©"", ""é""
          ),
          ""√±"", ""ñ""
        ),
        ""√°"", ""á""
      ),
      ""√≥"", ""ó""
    )
  ),
  ""-""
)
"),"Auriculares")</f>
        <v>Auriculares</v>
      </c>
      <c r="O358" s="22" t="str">
        <f>IFERROR(__xludf.DUMMYFUNCTION("""COMPUTED_VALUE"""),"Con cable")</f>
        <v>Con cable</v>
      </c>
      <c r="P358" s="22" t="str">
        <f>IFERROR(__xludf.DUMMYFUNCTION("""COMPUTED_VALUE"""),"32GB")</f>
        <v>32GB</v>
      </c>
      <c r="Q358" s="23">
        <f t="shared" si="1"/>
        <v>1051.49</v>
      </c>
      <c r="R358" s="22">
        <f t="shared" si="2"/>
        <v>3</v>
      </c>
      <c r="S358" s="23">
        <f t="shared" si="3"/>
        <v>3154.47</v>
      </c>
      <c r="T358" s="22" t="str">
        <f>IFERROR(__xludf.DUMMYFUNCTION("PROPER(TRIM(
  LET(
    texto1, REGEXREPLACE(G358,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"),"Marisol Lucio Perea")</f>
        <v>Marisol Lucio Perea</v>
      </c>
      <c r="U358" s="22" t="str">
        <f t="shared" si="4"/>
        <v>43e6f253-5964-4977-b9a4-0e5736909a2d</v>
      </c>
      <c r="V358" s="24" t="str">
        <f t="shared" si="5"/>
        <v>Auriculares Con cable 32GB</v>
      </c>
    </row>
    <row r="359" ht="15.75" customHeight="1">
      <c r="A359" s="6">
        <v>45360.0</v>
      </c>
      <c r="B359" s="2" t="s">
        <v>161</v>
      </c>
      <c r="C359" s="2" t="s">
        <v>55</v>
      </c>
      <c r="D359" s="7">
        <v>1014.61</v>
      </c>
      <c r="E359" s="2">
        <v>2.0</v>
      </c>
      <c r="F359" s="7">
        <v>2029.22</v>
      </c>
      <c r="G359" s="2" t="s">
        <v>1359</v>
      </c>
      <c r="H359" s="2" t="s">
        <v>1360</v>
      </c>
      <c r="I359" s="2" t="s">
        <v>1361</v>
      </c>
      <c r="K359" s="25" t="str">
        <f>IFERROR(__xludf.DUMMYFUNCTION("IF(ISBLANK(A359),
  """",
  IF(ISNUMBER(A359),
    TEXT(A359,""dd/mm/yyyy""),
    IF(
      REGEXMATCH(TRIM(A359),""^\d{1,2}/\d{1,2}/\d{4}$""),
      TRIM(A359),
      IFERROR(
        TEXT(DATEVALUE(SUBSTITUTE(SUBSTITUTE(TRIM(A359),""-"",""/""),""."",""/"&amp;""")),""dd/mm/yyyy""),
        TRIM(A359)
      )
    )
  )
)
"),"09/03/2024")</f>
        <v>09/03/2024</v>
      </c>
      <c r="L359" s="26">
        <v>45360.0</v>
      </c>
      <c r="M359" s="27" t="str">
        <f>IFERROR(__xludf.DUMMYFUNCTION("PROPER(TRIM(
  REGEXREPLACE(
    REGEXREPLACE(
      SUBSTITUTE(SUBSTITUTE(SUBSTITUTE(SUBSTITUTE(SUBSTITUTE(SUBSTITUTE(SUBSTITUTE(SUBSTITUTE(SUBSTITUTE(SUBSTITUTE(SUBSTITUTE(
        B359,""√©"",""é""),""√°"",""á""),""√±"",""ñ""),""√≥"",""ó""),""√â"",""é"&amp;"""),""√Å"",""á""),""√ç"",""í""),""√Ç"",""Í""),""√Â"",""é""),""√≠"",""í""),""√º"",""ú""),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359" s="28" t="str">
        <f>IFERROR(__xludf.DUMMYFUNCTION("SPLIT(
  TRIM(
    SUBSTITUTE(
      SUBSTITUTE(
        SUBSTITUTE(
          SUBSTITUTE(
            C359,
            ""√©"", ""é""
          ),
          ""√±"", ""ñ""
        ),
        ""√°"", ""á""
      ),
      ""√≥"", ""ó""
    )
  ),
  ""-""
)
"),"Laptop")</f>
        <v>Laptop</v>
      </c>
      <c r="O359" s="28" t="str">
        <f>IFERROR(__xludf.DUMMYFUNCTION("""COMPUTED_VALUE"""),"Ultraliviana")</f>
        <v>Ultraliviana</v>
      </c>
      <c r="P359" s="28" t="str">
        <f>IFERROR(__xludf.DUMMYFUNCTION("""COMPUTED_VALUE"""),"16GB")</f>
        <v>16GB</v>
      </c>
      <c r="Q359" s="29">
        <f t="shared" si="1"/>
        <v>1014.61</v>
      </c>
      <c r="R359" s="28">
        <f t="shared" si="2"/>
        <v>2</v>
      </c>
      <c r="S359" s="29">
        <f t="shared" si="3"/>
        <v>2029.22</v>
      </c>
      <c r="T359" s="28" t="str">
        <f>IFERROR(__xludf.DUMMYFUNCTION("PROPER(TRIM(
  LET(
    texto1, REGEXREPLACE(G359,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"),"Celia Madrid")</f>
        <v>Celia Madrid</v>
      </c>
      <c r="U359" s="28" t="str">
        <f t="shared" si="4"/>
        <v>d316fe37-6f89-4145-b9d0-9c1a80acf0c5</v>
      </c>
      <c r="V359" s="30" t="str">
        <f t="shared" si="5"/>
        <v>Laptop Ultraliviana 16GB</v>
      </c>
    </row>
    <row r="360" ht="15.75" customHeight="1">
      <c r="A360" s="36">
        <v>45422.0</v>
      </c>
      <c r="B360" s="2" t="s">
        <v>16</v>
      </c>
      <c r="C360" s="2" t="s">
        <v>452</v>
      </c>
      <c r="D360" s="7">
        <v>1745.0</v>
      </c>
      <c r="E360" s="2">
        <v>5.0</v>
      </c>
      <c r="F360" s="7">
        <v>8725.0</v>
      </c>
      <c r="G360" s="2" t="s">
        <v>1362</v>
      </c>
      <c r="H360" s="2" t="s">
        <v>1363</v>
      </c>
      <c r="I360" s="2" t="s">
        <v>1364</v>
      </c>
      <c r="K360" s="19" t="str">
        <f>IFERROR(__xludf.DUMMYFUNCTION("IF(ISBLANK(A360),
  """",
  IF(ISNUMBER(A360),
    TEXT(A360,""dd/mm/yyyy""),
    IF(
      REGEXMATCH(TRIM(A360),""^\d{1,2}/\d{1,2}/\d{4}$""),
      TRIM(A360),
      IFERROR(
        TEXT(DATEVALUE(SUBSTITUTE(SUBSTITUTE(TRIM(A360),""-"",""/""),""."",""/"&amp;""")),""dd/mm/yyyy""),
        TRIM(A360)
      )
    )
  )
)
"),"10/05/2024")</f>
        <v>10/05/2024</v>
      </c>
      <c r="L360" s="20">
        <v>45422.0</v>
      </c>
      <c r="M360" s="21" t="str">
        <f>IFERROR(__xludf.DUMMYFUNCTION("PROPER(TRIM(
  REGEXREPLACE(
    REGEXREPLACE(
      SUBSTITUTE(SUBSTITUTE(SUBSTITUTE(SUBSTITUTE(SUBSTITUTE(SUBSTITUTE(SUBSTITUTE(SUBSTITUTE(SUBSTITUTE(SUBSTITUTE(SUBSTITUTE(
        B360,""√©"",""é""),""√°"",""á""),""√±"",""ñ""),""√≥"",""ó""),""√â"",""é"&amp;"""),""√Å"",""á""),""√ç"",""í""),""√Ç"",""Í""),""√Â"",""é""),""√≠"",""í""),""√º"",""ú""),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60" s="22" t="str">
        <f>IFERROR(__xludf.DUMMYFUNCTION("SPLIT(
  TRIM(
    SUBSTITUTE(
      SUBSTITUTE(
        SUBSTITUTE(
          SUBSTITUTE(
            C360,
            ""√©"", ""é""
          ),
          ""√±"", ""ñ""
        ),
        ""√°"", ""á""
      ),
      ""√≥"", ""ó""
    )
  ),
  ""-""
)
"),"Teléfono")</f>
        <v>Teléfono</v>
      </c>
      <c r="O360" s="22" t="str">
        <f>IFERROR(__xludf.DUMMYFUNCTION("""COMPUTED_VALUE"""),"Gama media")</f>
        <v>Gama media</v>
      </c>
      <c r="P360" s="22" t="str">
        <f>IFERROR(__xludf.DUMMYFUNCTION("""COMPUTED_VALUE"""),"16GB")</f>
        <v>16GB</v>
      </c>
      <c r="Q360" s="23">
        <f t="shared" si="1"/>
        <v>1745</v>
      </c>
      <c r="R360" s="22">
        <f t="shared" si="2"/>
        <v>5</v>
      </c>
      <c r="S360" s="23">
        <f t="shared" si="3"/>
        <v>8725</v>
      </c>
      <c r="T360" s="22" t="str">
        <f>IFERROR(__xludf.DUMMYFUNCTION("PROPER(TRIM(
  LET(
    texto1, REGEXREPLACE(G360,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"),"Sonia Nancy Burgos")</f>
        <v>Sonia Nancy Burgos</v>
      </c>
      <c r="U360" s="22" t="str">
        <f t="shared" si="4"/>
        <v>ffc0eaa2-dede-4a7c-951e-989249dddf91</v>
      </c>
      <c r="V360" s="24" t="str">
        <f t="shared" si="5"/>
        <v>Teléfono Gama media 16GB</v>
      </c>
    </row>
    <row r="361" ht="15.75" customHeight="1">
      <c r="A361" s="6">
        <v>45618.0</v>
      </c>
      <c r="B361" s="2" t="s">
        <v>101</v>
      </c>
      <c r="C361" s="2" t="s">
        <v>33</v>
      </c>
      <c r="D361" s="7">
        <v>1273.61</v>
      </c>
      <c r="E361" s="2">
        <v>4.0</v>
      </c>
      <c r="F361" s="7">
        <v>5094.44</v>
      </c>
      <c r="G361" s="2" t="s">
        <v>1365</v>
      </c>
      <c r="H361" s="2" t="s">
        <v>1366</v>
      </c>
      <c r="I361" s="2" t="s">
        <v>1367</v>
      </c>
      <c r="K361" s="25" t="str">
        <f>IFERROR(__xludf.DUMMYFUNCTION("IF(ISBLANK(A361),
  """",
  IF(ISNUMBER(A361),
    TEXT(A361,""dd/mm/yyyy""),
    IF(
      REGEXMATCH(TRIM(A361),""^\d{1,2}/\d{1,2}/\d{4}$""),
      TRIM(A361),
      IFERROR(
        TEXT(DATEVALUE(SUBSTITUTE(SUBSTITUTE(TRIM(A361),""-"",""/""),""."",""/"&amp;""")),""dd/mm/yyyy""),
        TRIM(A361)
      )
    )
  )
)
"),"22/11/2024")</f>
        <v>22/11/2024</v>
      </c>
      <c r="L361" s="26">
        <v>45618.0</v>
      </c>
      <c r="M361" s="27" t="str">
        <f>IFERROR(__xludf.DUMMYFUNCTION("PROPER(TRIM(
  REGEXREPLACE(
    REGEXREPLACE(
      SUBSTITUTE(SUBSTITUTE(SUBSTITUTE(SUBSTITUTE(SUBSTITUTE(SUBSTITUTE(SUBSTITUTE(SUBSTITUTE(SUBSTITUTE(SUBSTITUTE(SUBSTITUTE(
        B361,""√©"",""é""),""√°"",""á""),""√±"",""ñ""),""√≥"",""ó""),""√â"",""é"&amp;"""),""√Å"",""á""),""√ç"",""í""),""√Ç"",""Í""),""√Â"",""é""),""√≠"",""í""),""√º"",""ú""),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61" s="28" t="str">
        <f>IFERROR(__xludf.DUMMYFUNCTION("SPLIT(
  TRIM(
    SUBSTITUTE(
      SUBSTITUTE(
        SUBSTITUTE(
          SUBSTITUTE(
            C361,
            ""√©"", ""é""
          ),
          ""√±"", ""ñ""
        ),
        ""√°"", ""á""
      ),
      ""√≥"", ""ó""
    )
  ),
  ""-""
)
"),"Teléfono")</f>
        <v>Teléfono</v>
      </c>
      <c r="O361" s="28" t="str">
        <f>IFERROR(__xludf.DUMMYFUNCTION("""COMPUTED_VALUE"""),"Gama alta")</f>
        <v>Gama alta</v>
      </c>
      <c r="P361" s="28" t="str">
        <f>IFERROR(__xludf.DUMMYFUNCTION("""COMPUTED_VALUE"""),"4GB")</f>
        <v>4GB</v>
      </c>
      <c r="Q361" s="29">
        <f t="shared" si="1"/>
        <v>1273.61</v>
      </c>
      <c r="R361" s="28">
        <f t="shared" si="2"/>
        <v>4</v>
      </c>
      <c r="S361" s="29">
        <f t="shared" si="3"/>
        <v>5094.44</v>
      </c>
      <c r="T361" s="28" t="str">
        <f>IFERROR(__xludf.DUMMYFUNCTION("PROPER(TRIM(
  LET(
    texto1, REGEXREPLACE(G361,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"),"Ernesto Cavazos")</f>
        <v>Ernesto Cavazos</v>
      </c>
      <c r="U361" s="28" t="str">
        <f t="shared" si="4"/>
        <v>1c737d8d-798a-48ec-948e-46c132c3393f</v>
      </c>
      <c r="V361" s="30" t="str">
        <f t="shared" si="5"/>
        <v>Teléfono Gama alta 4GB</v>
      </c>
    </row>
    <row r="362" ht="15.75" customHeight="1">
      <c r="A362" s="36">
        <v>45453.0</v>
      </c>
      <c r="B362" s="2" t="s">
        <v>101</v>
      </c>
      <c r="C362" s="2" t="s">
        <v>348</v>
      </c>
      <c r="D362" s="7">
        <v>1361.77</v>
      </c>
      <c r="E362" s="2">
        <v>2.0</v>
      </c>
      <c r="F362" s="7">
        <v>2723.54</v>
      </c>
      <c r="G362" s="2" t="s">
        <v>1369</v>
      </c>
      <c r="H362" s="2" t="s">
        <v>1370</v>
      </c>
      <c r="I362" s="2" t="s">
        <v>1371</v>
      </c>
      <c r="K362" s="19" t="str">
        <f>IFERROR(__xludf.DUMMYFUNCTION("IF(ISBLANK(A362),
  """",
  IF(ISNUMBER(A362),
    TEXT(A362,""dd/mm/yyyy""),
    IF(
      REGEXMATCH(TRIM(A362),""^\d{1,2}/\d{1,2}/\d{4}$""),
      TRIM(A362),
      IFERROR(
        TEXT(DATEVALUE(SUBSTITUTE(SUBSTITUTE(TRIM(A362),""-"",""/""),""."",""/"&amp;""")),""dd/mm/yyyy""),
        TRIM(A362)
      )
    )
  )
)
"),"10/06/2024")</f>
        <v>10/06/2024</v>
      </c>
      <c r="L362" s="20">
        <v>45453.0</v>
      </c>
      <c r="M362" s="21" t="str">
        <f>IFERROR(__xludf.DUMMYFUNCTION("PROPER(TRIM(
  REGEXREPLACE(
    REGEXREPLACE(
      SUBSTITUTE(SUBSTITUTE(SUBSTITUTE(SUBSTITUTE(SUBSTITUTE(SUBSTITUTE(SUBSTITUTE(SUBSTITUTE(SUBSTITUTE(SUBSTITUTE(SUBSTITUTE(
        B362,""√©"",""é""),""√°"",""á""),""√±"",""ñ""),""√≥"",""ó""),""√â"",""é"&amp;"""),""√Å"",""á""),""√ç"",""í""),""√Ç"",""Í""),""√Â"",""é""),""√≠"",""í""),""√º"",""ú""),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62" s="22" t="str">
        <f>IFERROR(__xludf.DUMMYFUNCTION("SPLIT(
  TRIM(
    SUBSTITUTE(
      SUBSTITUTE(
        SUBSTITUTE(
          SUBSTITUTE(
            C362,
            ""√©"", ""é""
          ),
          ""√±"", ""ñ""
        ),
        ""√°"", ""á""
      ),
      ""√≥"", ""ó""
    )
  ),
  ""-""
)
"),"Teléfono")</f>
        <v>Teléfono</v>
      </c>
      <c r="O362" s="22" t="str">
        <f>IFERROR(__xludf.DUMMYFUNCTION("""COMPUTED_VALUE"""),"Gama media")</f>
        <v>Gama media</v>
      </c>
      <c r="P362" s="22" t="str">
        <f>IFERROR(__xludf.DUMMYFUNCTION("""COMPUTED_VALUE"""),"8GB")</f>
        <v>8GB</v>
      </c>
      <c r="Q362" s="23">
        <f t="shared" si="1"/>
        <v>1361.77</v>
      </c>
      <c r="R362" s="22">
        <f t="shared" si="2"/>
        <v>2</v>
      </c>
      <c r="S362" s="23">
        <f t="shared" si="3"/>
        <v>2723.54</v>
      </c>
      <c r="T362" s="22" t="str">
        <f>IFERROR(__xludf.DUMMYFUNCTION("PROPER(TRIM(
  LET(
    texto1, REGEXREPLACE(G362,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"),"Samuel Alonzo")</f>
        <v>Samuel Alonzo</v>
      </c>
      <c r="U362" s="22" t="str">
        <f t="shared" si="4"/>
        <v>fc5fb02d-66ba-4eb7-8c96-53c743ac52e7</v>
      </c>
      <c r="V362" s="24" t="str">
        <f t="shared" si="5"/>
        <v>Teléfono Gama media 8GB</v>
      </c>
    </row>
    <row r="363" ht="15.75" customHeight="1">
      <c r="A363" s="6">
        <v>45641.0</v>
      </c>
      <c r="B363" s="2" t="s">
        <v>101</v>
      </c>
      <c r="C363" s="2" t="s">
        <v>80</v>
      </c>
      <c r="D363" s="7">
        <v>1710.52</v>
      </c>
      <c r="E363" s="2">
        <v>2.0</v>
      </c>
      <c r="F363" s="7">
        <v>3421.04</v>
      </c>
      <c r="G363" s="2" t="s">
        <v>1373</v>
      </c>
      <c r="H363" s="2" t="s">
        <v>1374</v>
      </c>
      <c r="I363" s="2" t="s">
        <v>1375</v>
      </c>
      <c r="K363" s="25" t="str">
        <f>IFERROR(__xludf.DUMMYFUNCTION("IF(ISBLANK(A363),
  """",
  IF(ISNUMBER(A363),
    TEXT(A363,""dd/mm/yyyy""),
    IF(
      REGEXMATCH(TRIM(A363),""^\d{1,2}/\d{1,2}/\d{4}$""),
      TRIM(A363),
      IFERROR(
        TEXT(DATEVALUE(SUBSTITUTE(SUBSTITUTE(TRIM(A363),""-"",""/""),""."",""/"&amp;""")),""dd/mm/yyyy""),
        TRIM(A363)
      )
    )
  )
)
"),"15/12/2024")</f>
        <v>15/12/2024</v>
      </c>
      <c r="L363" s="26">
        <v>45641.0</v>
      </c>
      <c r="M363" s="27" t="str">
        <f>IFERROR(__xludf.DUMMYFUNCTION("PROPER(TRIM(
  REGEXREPLACE(
    REGEXREPLACE(
      SUBSTITUTE(SUBSTITUTE(SUBSTITUTE(SUBSTITUTE(SUBSTITUTE(SUBSTITUTE(SUBSTITUTE(SUBSTITUTE(SUBSTITUTE(SUBSTITUTE(SUBSTITUTE(
        B363,""√©"",""é""),""√°"",""á""),""√±"",""ñ""),""√≥"",""ó""),""√â"",""é"&amp;"""),""√Å"",""á""),""√ç"",""í""),""√Ç"",""Í""),""√Â"",""é""),""√≠"",""í""),""√º"",""ú""),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63" s="28" t="str">
        <f>IFERROR(__xludf.DUMMYFUNCTION("SPLIT(
  TRIM(
    SUBSTITUTE(
      SUBSTITUTE(
        SUBSTITUTE(
          SUBSTITUTE(
            C363,
            ""√©"", ""é""
          ),
          ""√±"", ""ñ""
        ),
        ""√°"", ""á""
      ),
      ""√≥"", ""ó""
    )
  ),
  ""-""
)
"),"Teléfono")</f>
        <v>Teléfono</v>
      </c>
      <c r="O363" s="28" t="str">
        <f>IFERROR(__xludf.DUMMYFUNCTION("""COMPUTED_VALUE"""),"Gama baja")</f>
        <v>Gama baja</v>
      </c>
      <c r="P363" s="28" t="str">
        <f>IFERROR(__xludf.DUMMYFUNCTION("""COMPUTED_VALUE"""),"16GB")</f>
        <v>16GB</v>
      </c>
      <c r="Q363" s="29">
        <f t="shared" si="1"/>
        <v>1710.52</v>
      </c>
      <c r="R363" s="28">
        <f t="shared" si="2"/>
        <v>2</v>
      </c>
      <c r="S363" s="29">
        <f t="shared" si="3"/>
        <v>3421.04</v>
      </c>
      <c r="T363" s="28" t="str">
        <f>IFERROR(__xludf.DUMMYFUNCTION("PROPER(TRIM(
  LET(
    texto1, REGEXREPLACE(G363,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"),"Rafaél Gerardo Serrato")</f>
        <v>Rafaél Gerardo Serrato</v>
      </c>
      <c r="U363" s="28" t="str">
        <f t="shared" si="4"/>
        <v>f778848a-1ec7-484b-a619-98ff8730961f</v>
      </c>
      <c r="V363" s="30" t="str">
        <f t="shared" si="5"/>
        <v>Teléfono Gama baja 16GB</v>
      </c>
    </row>
    <row r="364" ht="15.75" customHeight="1">
      <c r="A364" s="6">
        <v>45622.0</v>
      </c>
      <c r="B364" s="2" t="s">
        <v>50</v>
      </c>
      <c r="C364" s="2" t="s">
        <v>96</v>
      </c>
      <c r="D364" s="7">
        <v>412.36</v>
      </c>
      <c r="E364" s="2">
        <v>4.0</v>
      </c>
      <c r="F364" s="7">
        <v>1649.44</v>
      </c>
      <c r="G364" s="2" t="s">
        <v>1376</v>
      </c>
      <c r="H364" s="2" t="s">
        <v>1377</v>
      </c>
      <c r="I364" s="2" t="s">
        <v>1378</v>
      </c>
      <c r="K364" s="19" t="str">
        <f>IFERROR(__xludf.DUMMYFUNCTION("IF(ISBLANK(A364),
  """",
  IF(ISNUMBER(A364),
    TEXT(A364,""dd/mm/yyyy""),
    IF(
      REGEXMATCH(TRIM(A364),""^\d{1,2}/\d{1,2}/\d{4}$""),
      TRIM(A364),
      IFERROR(
        TEXT(DATEVALUE(SUBSTITUTE(SUBSTITUTE(TRIM(A364),""-"",""/""),""."",""/"&amp;""")),""dd/mm/yyyy""),
        TRIM(A364)
      )
    )
  )
)
"),"26/11/2024")</f>
        <v>26/11/2024</v>
      </c>
      <c r="L364" s="20">
        <v>45622.0</v>
      </c>
      <c r="M364" s="21" t="str">
        <f>IFERROR(__xludf.DUMMYFUNCTION("PROPER(TRIM(
  REGEXREPLACE(
    REGEXREPLACE(
      SUBSTITUTE(SUBSTITUTE(SUBSTITUTE(SUBSTITUTE(SUBSTITUTE(SUBSTITUTE(SUBSTITUTE(SUBSTITUTE(SUBSTITUTE(SUBSTITUTE(SUBSTITUTE(
        B364,""√©"",""é""),""√°"",""á""),""√±"",""ñ""),""√≥"",""ó""),""√â"",""é"&amp;"""),""√Å"",""á""),""√ç"",""í""),""√Ç"",""Í""),""√Â"",""é""),""√≠"",""í""),""√º"",""ú""),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64" s="22" t="str">
        <f>IFERROR(__xludf.DUMMYFUNCTION("SPLIT(
  TRIM(
    SUBSTITUTE(
      SUBSTITUTE(
        SUBSTITUTE(
          SUBSTITUTE(
            C364,
            ""√©"", ""é""
          ),
          ""√±"", ""ñ""
        ),
        ""√°"", ""á""
      ),
      ""√≥"", ""ó""
    )
  ),
  ""-""
)
"),"Auriculares")</f>
        <v>Auriculares</v>
      </c>
      <c r="O364" s="22" t="str">
        <f>IFERROR(__xludf.DUMMYFUNCTION("""COMPUTED_VALUE"""),"Cancelación de ruido")</f>
        <v>Cancelación de ruido</v>
      </c>
      <c r="P364" s="22" t="str">
        <f>IFERROR(__xludf.DUMMYFUNCTION("""COMPUTED_VALUE"""),"4GB")</f>
        <v>4GB</v>
      </c>
      <c r="Q364" s="23">
        <f t="shared" si="1"/>
        <v>412.36</v>
      </c>
      <c r="R364" s="22">
        <f t="shared" si="2"/>
        <v>4</v>
      </c>
      <c r="S364" s="23">
        <f t="shared" si="3"/>
        <v>1649.44</v>
      </c>
      <c r="T364" s="22" t="str">
        <f>IFERROR(__xludf.DUMMYFUNCTION("PROPER(TRIM(
  LET(
    texto1, REGEXREPLACE(G364,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"),"Trinidad Holguín Bustamante")</f>
        <v>Trinidad Holguín Bustamante</v>
      </c>
      <c r="U364" s="22" t="str">
        <f t="shared" si="4"/>
        <v>009ae06d-cf99-467d-9ca4-a01697f72e27</v>
      </c>
      <c r="V364" s="24" t="str">
        <f t="shared" si="5"/>
        <v>Auriculares Cancelación de ruido 4GB</v>
      </c>
    </row>
    <row r="365" ht="15.75" customHeight="1">
      <c r="A365" s="36">
        <v>45514.0</v>
      </c>
      <c r="B365" s="2" t="s">
        <v>38</v>
      </c>
      <c r="C365" s="2" t="s">
        <v>385</v>
      </c>
      <c r="D365" s="7">
        <v>718.45</v>
      </c>
      <c r="E365" s="2">
        <v>1.0</v>
      </c>
      <c r="F365" s="7">
        <v>718.45</v>
      </c>
      <c r="G365" s="2" t="s">
        <v>1379</v>
      </c>
      <c r="H365" s="2" t="s">
        <v>1380</v>
      </c>
      <c r="I365" s="2" t="s">
        <v>1381</v>
      </c>
      <c r="K365" s="25" t="str">
        <f>IFERROR(__xludf.DUMMYFUNCTION("IF(ISBLANK(A365),
  """",
  IF(ISNUMBER(A365),
    TEXT(A365,""dd/mm/yyyy""),
    IF(
      REGEXMATCH(TRIM(A365),""^\d{1,2}/\d{1,2}/\d{4}$""),
      TRIM(A365),
      IFERROR(
        TEXT(DATEVALUE(SUBSTITUTE(SUBSTITUTE(TRIM(A365),""-"",""/""),""."",""/"&amp;""")),""dd/mm/yyyy""),
        TRIM(A365)
      )
    )
  )
)
"),"10/08/2024")</f>
        <v>10/08/2024</v>
      </c>
      <c r="L365" s="26">
        <v>45514.0</v>
      </c>
      <c r="M365" s="27" t="str">
        <f>IFERROR(__xludf.DUMMYFUNCTION("PROPER(TRIM(
  REGEXREPLACE(
    REGEXREPLACE(
      SUBSTITUTE(SUBSTITUTE(SUBSTITUTE(SUBSTITUTE(SUBSTITUTE(SUBSTITUTE(SUBSTITUTE(SUBSTITUTE(SUBSTITUTE(SUBSTITUTE(SUBSTITUTE(
        B365,""√©"",""é""),""√°"",""á""),""√±"",""ñ""),""√≥"",""ó""),""√â"",""é"&amp;"""),""√Å"",""á""),""√ç"",""í""),""√Ç"",""Í""),""√Â"",""é""),""√≠"",""í""),""√º"",""ú""),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65" s="28" t="str">
        <f>IFERROR(__xludf.DUMMYFUNCTION("SPLIT(
  TRIM(
    SUBSTITUTE(
      SUBSTITUTE(
        SUBSTITUTE(
          SUBSTITUTE(
            C365,
            ""√©"", ""é""
          ),
          ""√±"", ""ñ""
        ),
        ""√°"", ""á""
      ),
      ""√≥"", ""ó""
    )
  ),
  ""-""
)
"),"Tablet")</f>
        <v>Tablet</v>
      </c>
      <c r="O365" s="28" t="str">
        <f>IFERROR(__xludf.DUMMYFUNCTION("""COMPUTED_VALUE"""),"Estándar")</f>
        <v>Estándar</v>
      </c>
      <c r="P365" s="28" t="str">
        <f>IFERROR(__xludf.DUMMYFUNCTION("""COMPUTED_VALUE"""),"32GB")</f>
        <v>32GB</v>
      </c>
      <c r="Q365" s="29">
        <f t="shared" si="1"/>
        <v>718.45</v>
      </c>
      <c r="R365" s="28">
        <f t="shared" si="2"/>
        <v>1</v>
      </c>
      <c r="S365" s="29">
        <f t="shared" si="3"/>
        <v>718.45</v>
      </c>
      <c r="T365" s="28" t="str">
        <f>IFERROR(__xludf.DUMMYFUNCTION("PROPER(TRIM(
  LET(
    texto1, REGEXREPLACE(G365,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 Godínez")</f>
        <v>Rosa Godínez</v>
      </c>
      <c r="U365" s="28" t="str">
        <f t="shared" si="4"/>
        <v>c2fdb9cb-b220-4f3e-952f-61a657955f70</v>
      </c>
      <c r="V365" s="30" t="str">
        <f t="shared" si="5"/>
        <v>Tablet Estándar 32GB</v>
      </c>
    </row>
    <row r="366" ht="15.75" customHeight="1">
      <c r="A366" s="6">
        <v>45612.0</v>
      </c>
      <c r="B366" s="2" t="s">
        <v>16</v>
      </c>
      <c r="C366" s="2" t="s">
        <v>147</v>
      </c>
      <c r="D366" s="7">
        <v>1141.88</v>
      </c>
      <c r="E366" s="2">
        <v>5.0</v>
      </c>
      <c r="F366" s="7">
        <v>5709.4</v>
      </c>
      <c r="G366" s="2" t="s">
        <v>1382</v>
      </c>
      <c r="H366" s="2" t="s">
        <v>1383</v>
      </c>
      <c r="I366" s="2" t="s">
        <v>1384</v>
      </c>
      <c r="K366" s="19" t="str">
        <f>IFERROR(__xludf.DUMMYFUNCTION("IF(ISBLANK(A366),
  """",
  IF(ISNUMBER(A366),
    TEXT(A366,""dd/mm/yyyy""),
    IF(
      REGEXMATCH(TRIM(A366),""^\d{1,2}/\d{1,2}/\d{4}$""),
      TRIM(A366),
      IFERROR(
        TEXT(DATEVALUE(SUBSTITUTE(SUBSTITUTE(TRIM(A366),""-"",""/""),""."",""/"&amp;""")),""dd/mm/yyyy""),
        TRIM(A366)
      )
    )
  )
)
"),"16/11/2024")</f>
        <v>16/11/2024</v>
      </c>
      <c r="L366" s="20">
        <v>45612.0</v>
      </c>
      <c r="M366" s="21" t="str">
        <f>IFERROR(__xludf.DUMMYFUNCTION("PROPER(TRIM(
  REGEXREPLACE(
    REGEXREPLACE(
      SUBSTITUTE(SUBSTITUTE(SUBSTITUTE(SUBSTITUTE(SUBSTITUTE(SUBSTITUTE(SUBSTITUTE(SUBSTITUTE(SUBSTITUTE(SUBSTITUTE(SUBSTITUTE(
        B366,""√©"",""é""),""√°"",""á""),""√±"",""ñ""),""√≥"",""ó""),""√â"",""é"&amp;"""),""√Å"",""á""),""√ç"",""í""),""√Ç"",""Í""),""√Â"",""é""),""√≠"",""í""),""√º"",""ú""),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66" s="22" t="str">
        <f>IFERROR(__xludf.DUMMYFUNCTION("SPLIT(
  TRIM(
    SUBSTITUTE(
      SUBSTITUTE(
        SUBSTITUTE(
          SUBSTITUTE(
            C366,
            ""√©"", ""é""
          ),
          ""√±"", ""ñ""
        ),
        ""√°"", ""á""
      ),
      ""√≥"", ""ó""
    )
  ),
  ""-""
)
"),"Laptop")</f>
        <v>Laptop</v>
      </c>
      <c r="O366" s="22" t="str">
        <f>IFERROR(__xludf.DUMMYFUNCTION("""COMPUTED_VALUE"""),"Oficina")</f>
        <v>Oficina</v>
      </c>
      <c r="P366" s="22" t="str">
        <f>IFERROR(__xludf.DUMMYFUNCTION("""COMPUTED_VALUE"""),"16GB")</f>
        <v>16GB</v>
      </c>
      <c r="Q366" s="23">
        <f t="shared" si="1"/>
        <v>1141.88</v>
      </c>
      <c r="R366" s="22">
        <f t="shared" si="2"/>
        <v>5</v>
      </c>
      <c r="S366" s="23">
        <f t="shared" si="3"/>
        <v>5709.4</v>
      </c>
      <c r="T366" s="22" t="str">
        <f>IFERROR(__xludf.DUMMYFUNCTION("PROPER(TRIM(
  LET(
    texto1, REGEXREPLACE(G366,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"),"Alvaro Ontiveros")</f>
        <v>Alvaro Ontiveros</v>
      </c>
      <c r="U366" s="22" t="str">
        <f t="shared" si="4"/>
        <v>f04eeda0-c720-4430-b322-240c09bd8019</v>
      </c>
      <c r="V366" s="24" t="str">
        <f t="shared" si="5"/>
        <v>Laptop Oficina 16GB</v>
      </c>
    </row>
    <row r="367" ht="15.75" customHeight="1">
      <c r="A367" s="36">
        <v>45485.0</v>
      </c>
      <c r="B367" s="2" t="s">
        <v>16</v>
      </c>
      <c r="C367" s="2" t="s">
        <v>86</v>
      </c>
      <c r="D367" s="7">
        <v>345.81</v>
      </c>
      <c r="E367" s="2">
        <v>3.0</v>
      </c>
      <c r="F367" s="7">
        <v>1037.43</v>
      </c>
      <c r="G367" s="2" t="s">
        <v>1385</v>
      </c>
      <c r="H367" s="2" t="s">
        <v>1386</v>
      </c>
      <c r="I367" s="2" t="s">
        <v>1387</v>
      </c>
      <c r="K367" s="25" t="str">
        <f>IFERROR(__xludf.DUMMYFUNCTION("IF(ISBLANK(A367),
  """",
  IF(ISNUMBER(A367),
    TEXT(A367,""dd/mm/yyyy""),
    IF(
      REGEXMATCH(TRIM(A367),""^\d{1,2}/\d{1,2}/\d{4}$""),
      TRIM(A367),
      IFERROR(
        TEXT(DATEVALUE(SUBSTITUTE(SUBSTITUTE(TRIM(A367),""-"",""/""),""."",""/"&amp;""")),""dd/mm/yyyy""),
        TRIM(A367)
      )
    )
  )
)
"),"12/07/2024")</f>
        <v>12/07/2024</v>
      </c>
      <c r="L367" s="26">
        <v>45485.0</v>
      </c>
      <c r="M367" s="27" t="str">
        <f>IFERROR(__xludf.DUMMYFUNCTION("PROPER(TRIM(
  REGEXREPLACE(
    REGEXREPLACE(
      SUBSTITUTE(SUBSTITUTE(SUBSTITUTE(SUBSTITUTE(SUBSTITUTE(SUBSTITUTE(SUBSTITUTE(SUBSTITUTE(SUBSTITUTE(SUBSTITUTE(SUBSTITUTE(
        B367,""√©"",""é""),""√°"",""á""),""√±"",""ñ""),""√≥"",""ó""),""√â"",""é"&amp;"""),""√Å"",""á""),""√ç"",""í""),""√Ç"",""Í""),""√Â"",""é""),""√≠"",""í""),""√º"",""ú""),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67" s="28" t="str">
        <f>IFERROR(__xludf.DUMMYFUNCTION("SPLIT(
  TRIM(
    SUBSTITUTE(
      SUBSTITUTE(
        SUBSTITUTE(
          SUBSTITUTE(
            C367,
            ""√©"", ""é""
          ),
          ""√±"", ""ñ""
        ),
        ""√°"", ""á""
      ),
      ""√≥"", ""ó""
    )
  ),
  ""-""
)
"),"Tablet")</f>
        <v>Tablet</v>
      </c>
      <c r="O367" s="28" t="str">
        <f>IFERROR(__xludf.DUMMYFUNCTION("""COMPUTED_VALUE"""),"Pro")</f>
        <v>Pro</v>
      </c>
      <c r="P367" s="28" t="str">
        <f>IFERROR(__xludf.DUMMYFUNCTION("""COMPUTED_VALUE"""),"32GB")</f>
        <v>32GB</v>
      </c>
      <c r="Q367" s="29">
        <f t="shared" si="1"/>
        <v>345.81</v>
      </c>
      <c r="R367" s="28">
        <f t="shared" si="2"/>
        <v>3</v>
      </c>
      <c r="S367" s="29">
        <f t="shared" si="3"/>
        <v>1037.43</v>
      </c>
      <c r="T367" s="28" t="str">
        <f>IFERROR(__xludf.DUMMYFUNCTION("PROPER(TRIM(
  LET(
    texto1, REGEXREPLACE(G367,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"),"Ángel Bruno Peña Ulibarri")</f>
        <v>Ángel Bruno Peña Ulibarri</v>
      </c>
      <c r="U367" s="28" t="str">
        <f t="shared" si="4"/>
        <v>9929413b-4955-42b3-b759-d93919a6a2c6</v>
      </c>
      <c r="V367" s="30" t="str">
        <f t="shared" si="5"/>
        <v>Tablet Pro 32GB</v>
      </c>
    </row>
    <row r="368" ht="15.75" customHeight="1">
      <c r="A368" s="36">
        <v>45515.0</v>
      </c>
      <c r="B368" s="2" t="s">
        <v>16</v>
      </c>
      <c r="C368" s="2" t="s">
        <v>201</v>
      </c>
      <c r="D368" s="7">
        <v>1602.14</v>
      </c>
      <c r="E368" s="2">
        <v>5.0</v>
      </c>
      <c r="F368" s="7">
        <v>8010.7</v>
      </c>
      <c r="G368" s="2" t="s">
        <v>1389</v>
      </c>
      <c r="H368" s="2" t="s">
        <v>1390</v>
      </c>
      <c r="I368" s="2" t="s">
        <v>1391</v>
      </c>
      <c r="K368" s="19" t="str">
        <f>IFERROR(__xludf.DUMMYFUNCTION("IF(ISBLANK(A368),
  """",
  IF(ISNUMBER(A368),
    TEXT(A368,""dd/mm/yyyy""),
    IF(
      REGEXMATCH(TRIM(A368),""^\d{1,2}/\d{1,2}/\d{4}$""),
      TRIM(A368),
      IFERROR(
        TEXT(DATEVALUE(SUBSTITUTE(SUBSTITUTE(TRIM(A368),""-"",""/""),""."",""/"&amp;""")),""dd/mm/yyyy""),
        TRIM(A368)
      )
    )
  )
)
"),"11/08/2024")</f>
        <v>11/08/2024</v>
      </c>
      <c r="L368" s="20">
        <v>45515.0</v>
      </c>
      <c r="M368" s="21" t="str">
        <f>IFERROR(__xludf.DUMMYFUNCTION("PROPER(TRIM(
  REGEXREPLACE(
    REGEXREPLACE(
      SUBSTITUTE(SUBSTITUTE(SUBSTITUTE(SUBSTITUTE(SUBSTITUTE(SUBSTITUTE(SUBSTITUTE(SUBSTITUTE(SUBSTITUTE(SUBSTITUTE(SUBSTITUTE(
        B368,""√©"",""é""),""√°"",""á""),""√±"",""ñ""),""√≥"",""ó""),""√â"",""é"&amp;"""),""√Å"",""á""),""√ç"",""í""),""√Ç"",""Í""),""√Â"",""é""),""√≠"",""í""),""√º"",""ú""),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68" s="22" t="str">
        <f>IFERROR(__xludf.DUMMYFUNCTION("SPLIT(
  TRIM(
    SUBSTITUTE(
      SUBSTITUTE(
        SUBSTITUTE(
          SUBSTITUTE(
            C368,
            ""√©"", ""é""
          ),
          ""√±"", ""ñ""
        ),
        ""√°"", ""á""
      ),
      ""√≥"", ""ó""
    )
  ),
  ""-""
)
"),"Laptop")</f>
        <v>Laptop</v>
      </c>
      <c r="O368" s="22" t="str">
        <f>IFERROR(__xludf.DUMMYFUNCTION("""COMPUTED_VALUE"""),"Gaming")</f>
        <v>Gaming</v>
      </c>
      <c r="P368" s="22" t="str">
        <f>IFERROR(__xludf.DUMMYFUNCTION("""COMPUTED_VALUE"""),"4GB")</f>
        <v>4GB</v>
      </c>
      <c r="Q368" s="23">
        <f t="shared" si="1"/>
        <v>1602.14</v>
      </c>
      <c r="R368" s="22">
        <f t="shared" si="2"/>
        <v>5</v>
      </c>
      <c r="S368" s="23">
        <f t="shared" si="3"/>
        <v>8010.7</v>
      </c>
      <c r="T368" s="22" t="str">
        <f>IFERROR(__xludf.DUMMYFUNCTION("PROPER(TRIM(
  LET(
    texto1, REGEXREPLACE(G368,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"),"Cecilia Abelardo Soto Quintana")</f>
        <v>Cecilia Abelardo Soto Quintana</v>
      </c>
      <c r="U368" s="22" t="str">
        <f t="shared" si="4"/>
        <v>36802342-00cd-4228-8e94-cc30c83b0652</v>
      </c>
      <c r="V368" s="24" t="str">
        <f t="shared" si="5"/>
        <v>Laptop Gaming 4GB</v>
      </c>
    </row>
    <row r="369" ht="15.75" customHeight="1">
      <c r="A369" s="36">
        <v>45637.0</v>
      </c>
      <c r="B369" s="2" t="s">
        <v>85</v>
      </c>
      <c r="C369" s="2" t="s">
        <v>807</v>
      </c>
      <c r="D369" s="7">
        <v>1198.31</v>
      </c>
      <c r="E369" s="2">
        <v>3.0</v>
      </c>
      <c r="F369" s="7">
        <v>3594.93</v>
      </c>
      <c r="G369" s="2" t="s">
        <v>1392</v>
      </c>
      <c r="H369" s="2" t="s">
        <v>1393</v>
      </c>
      <c r="I369" s="2" t="s">
        <v>1394</v>
      </c>
      <c r="K369" s="25" t="str">
        <f>IFERROR(__xludf.DUMMYFUNCTION("IF(ISBLANK(A369),
  """",
  IF(ISNUMBER(A369),
    TEXT(A369,""dd/mm/yyyy""),
    IF(
      REGEXMATCH(TRIM(A369),""^\d{1,2}/\d{1,2}/\d{4}$""),
      TRIM(A369),
      IFERROR(
        TEXT(DATEVALUE(SUBSTITUTE(SUBSTITUTE(TRIM(A369),""-"",""/""),""."",""/"&amp;""")),""dd/mm/yyyy""),
        TRIM(A369)
      )
    )
  )
)
"),"11/12/2024")</f>
        <v>11/12/2024</v>
      </c>
      <c r="L369" s="26">
        <v>45637.0</v>
      </c>
      <c r="M369" s="27" t="str">
        <f>IFERROR(__xludf.DUMMYFUNCTION("PROPER(TRIM(
  REGEXREPLACE(
    REGEXREPLACE(
      SUBSTITUTE(SUBSTITUTE(SUBSTITUTE(SUBSTITUTE(SUBSTITUTE(SUBSTITUTE(SUBSTITUTE(SUBSTITUTE(SUBSTITUTE(SUBSTITUTE(SUBSTITUTE(
        B369,""√©"",""é""),""√°"",""á""),""√±"",""ñ""),""√≥"",""ó""),""√â"",""é"&amp;"""),""√Å"",""á""),""√ç"",""í""),""√Ç"",""Í""),""√Â"",""é""),""√≠"",""í""),""√º"",""ú""),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69" s="28" t="str">
        <f>IFERROR(__xludf.DUMMYFUNCTION("SPLIT(
  TRIM(
    SUBSTITUTE(
      SUBSTITUTE(
        SUBSTITUTE(
          SUBSTITUTE(
            C369,
            ""√©"", ""é""
          ),
          ""√±"", ""ñ""
        ),
        ""√°"", ""á""
      ),
      ""√≥"", ""ó""
    )
  ),
  ""-""
)
"),"Auriculares")</f>
        <v>Auriculares</v>
      </c>
      <c r="O369" s="28" t="str">
        <f>IFERROR(__xludf.DUMMYFUNCTION("""COMPUTED_VALUE"""),"Con cable")</f>
        <v>Con cable</v>
      </c>
      <c r="P369" s="28" t="str">
        <f>IFERROR(__xludf.DUMMYFUNCTION("""COMPUTED_VALUE"""),"4GB")</f>
        <v>4GB</v>
      </c>
      <c r="Q369" s="29">
        <f t="shared" si="1"/>
        <v>1198.31</v>
      </c>
      <c r="R369" s="28">
        <f t="shared" si="2"/>
        <v>3</v>
      </c>
      <c r="S369" s="29">
        <f t="shared" si="3"/>
        <v>3594.93</v>
      </c>
      <c r="T369" s="28" t="str">
        <f>IFERROR(__xludf.DUMMYFUNCTION("PROPER(TRIM(
  LET(
    texto1, REGEXREPLACE(G369,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"),"Alma Paola Godoy")</f>
        <v>Alma Paola Godoy</v>
      </c>
      <c r="U369" s="28" t="str">
        <f t="shared" si="4"/>
        <v>e9aad92b-b3bc-438a-9893-00066fab9810</v>
      </c>
      <c r="V369" s="30" t="str">
        <f t="shared" si="5"/>
        <v>Auriculares Con cable 4GB</v>
      </c>
    </row>
    <row r="370" ht="15.75" customHeight="1">
      <c r="A370" s="36">
        <v>45363.0</v>
      </c>
      <c r="B370" s="2" t="s">
        <v>101</v>
      </c>
      <c r="C370" s="2" t="s">
        <v>96</v>
      </c>
      <c r="D370" s="7">
        <v>633.09</v>
      </c>
      <c r="E370" s="2">
        <v>3.0</v>
      </c>
      <c r="F370" s="7">
        <v>1899.27</v>
      </c>
      <c r="G370" s="2" t="s">
        <v>1396</v>
      </c>
      <c r="H370" s="2" t="s">
        <v>1397</v>
      </c>
      <c r="I370" s="2" t="s">
        <v>1398</v>
      </c>
      <c r="K370" s="19" t="str">
        <f>IFERROR(__xludf.DUMMYFUNCTION("IF(ISBLANK(A370),
  """",
  IF(ISNUMBER(A370),
    TEXT(A370,""dd/mm/yyyy""),
    IF(
      REGEXMATCH(TRIM(A370),""^\d{1,2}/\d{1,2}/\d{4}$""),
      TRIM(A370),
      IFERROR(
        TEXT(DATEVALUE(SUBSTITUTE(SUBSTITUTE(TRIM(A370),""-"",""/""),""."",""/"&amp;""")),""dd/mm/yyyy""),
        TRIM(A370)
      )
    )
  )
)
"),"12/03/2024")</f>
        <v>12/03/2024</v>
      </c>
      <c r="L370" s="20">
        <v>45363.0</v>
      </c>
      <c r="M370" s="21" t="str">
        <f>IFERROR(__xludf.DUMMYFUNCTION("PROPER(TRIM(
  REGEXREPLACE(
    REGEXREPLACE(
      SUBSTITUTE(SUBSTITUTE(SUBSTITUTE(SUBSTITUTE(SUBSTITUTE(SUBSTITUTE(SUBSTITUTE(SUBSTITUTE(SUBSTITUTE(SUBSTITUTE(SUBSTITUTE(
        B370,""√©"",""é""),""√°"",""á""),""√±"",""ñ""),""√≥"",""ó""),""√â"",""é"&amp;"""),""√Å"",""á""),""√ç"",""í""),""√Ç"",""Í""),""√Â"",""é""),""√≠"",""í""),""√º"",""ú""),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70" s="22" t="str">
        <f>IFERROR(__xludf.DUMMYFUNCTION("SPLIT(
  TRIM(
    SUBSTITUTE(
      SUBSTITUTE(
        SUBSTITUTE(
          SUBSTITUTE(
            C370,
            ""√©"", ""é""
          ),
          ""√±"", ""ñ""
        ),
        ""√°"", ""á""
      ),
      ""√≥"", ""ó""
    )
  ),
  ""-""
)
"),"Auriculares")</f>
        <v>Auriculares</v>
      </c>
      <c r="O370" s="22" t="str">
        <f>IFERROR(__xludf.DUMMYFUNCTION("""COMPUTED_VALUE"""),"Cancelación de ruido")</f>
        <v>Cancelación de ruido</v>
      </c>
      <c r="P370" s="22" t="str">
        <f>IFERROR(__xludf.DUMMYFUNCTION("""COMPUTED_VALUE"""),"4GB")</f>
        <v>4GB</v>
      </c>
      <c r="Q370" s="23">
        <f t="shared" si="1"/>
        <v>633.09</v>
      </c>
      <c r="R370" s="22">
        <f t="shared" si="2"/>
        <v>3</v>
      </c>
      <c r="S370" s="23">
        <f t="shared" si="3"/>
        <v>1899.27</v>
      </c>
      <c r="T370" s="22" t="str">
        <f>IFERROR(__xludf.DUMMYFUNCTION("PROPER(TRIM(
  LET(
    texto1, REGEXREPLACE(G370,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"),"Marisol Mota")</f>
        <v>Marisol Mota</v>
      </c>
      <c r="U370" s="22" t="str">
        <f t="shared" si="4"/>
        <v>c7d6ecb9-b4e6-44ac-bf56-caf4c24db02f</v>
      </c>
      <c r="V370" s="24" t="str">
        <f t="shared" si="5"/>
        <v>Auriculares Cancelación de ruido 4GB</v>
      </c>
    </row>
    <row r="371" ht="15.75" customHeight="1">
      <c r="A371" s="6">
        <v>45589.0</v>
      </c>
      <c r="B371" s="2" t="s">
        <v>16</v>
      </c>
      <c r="C371" s="2" t="s">
        <v>28</v>
      </c>
      <c r="D371" s="7">
        <v>2100.84</v>
      </c>
      <c r="E371" s="2">
        <v>5.0</v>
      </c>
      <c r="F371" s="7">
        <v>10504.2</v>
      </c>
      <c r="G371" s="2" t="s">
        <v>1399</v>
      </c>
      <c r="H371" s="2" t="s">
        <v>1400</v>
      </c>
      <c r="I371" s="2" t="s">
        <v>1401</v>
      </c>
      <c r="K371" s="25" t="str">
        <f>IFERROR(__xludf.DUMMYFUNCTION("IF(ISBLANK(A371),
  """",
  IF(ISNUMBER(A371),
    TEXT(A371,""dd/mm/yyyy""),
    IF(
      REGEXMATCH(TRIM(A371),""^\d{1,2}/\d{1,2}/\d{4}$""),
      TRIM(A371),
      IFERROR(
        TEXT(DATEVALUE(SUBSTITUTE(SUBSTITUTE(TRIM(A371),""-"",""/""),""."",""/"&amp;""")),""dd/mm/yyyy""),
        TRIM(A371)
      )
    )
  )
)
"),"24/10/2024")</f>
        <v>24/10/2024</v>
      </c>
      <c r="L371" s="26">
        <v>45589.0</v>
      </c>
      <c r="M371" s="27" t="str">
        <f>IFERROR(__xludf.DUMMYFUNCTION("PROPER(TRIM(
  REGEXREPLACE(
    REGEXREPLACE(
      SUBSTITUTE(SUBSTITUTE(SUBSTITUTE(SUBSTITUTE(SUBSTITUTE(SUBSTITUTE(SUBSTITUTE(SUBSTITUTE(SUBSTITUTE(SUBSTITUTE(SUBSTITUTE(
        B371,""√©"",""é""),""√°"",""á""),""√±"",""ñ""),""√≥"",""ó""),""√â"",""é"&amp;"""),""√Å"",""á""),""√ç"",""í""),""√Ç"",""Í""),""√Â"",""é""),""√≠"",""í""),""√º"",""ú""),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71" s="28" t="str">
        <f>IFERROR(__xludf.DUMMYFUNCTION("SPLIT(
  TRIM(
    SUBSTITUTE(
      SUBSTITUTE(
        SUBSTITUTE(
          SUBSTITUTE(
            C371,
            ""√©"", ""é""
          ),
          ""√±"", ""ñ""
        ),
        ""√°"", ""á""
      ),
      ""√≥"", ""ó""
    )
  ),
  ""-""
)
"),"Tablet")</f>
        <v>Tablet</v>
      </c>
      <c r="O371" s="28" t="str">
        <f>IFERROR(__xludf.DUMMYFUNCTION("""COMPUTED_VALUE"""),"Pro")</f>
        <v>Pro</v>
      </c>
      <c r="P371" s="28" t="str">
        <f>IFERROR(__xludf.DUMMYFUNCTION("""COMPUTED_VALUE"""),"8GB")</f>
        <v>8GB</v>
      </c>
      <c r="Q371" s="29">
        <f t="shared" si="1"/>
        <v>2100.84</v>
      </c>
      <c r="R371" s="28">
        <f t="shared" si="2"/>
        <v>5</v>
      </c>
      <c r="S371" s="29">
        <f t="shared" si="3"/>
        <v>10504.2</v>
      </c>
      <c r="T371" s="28" t="str">
        <f>IFERROR(__xludf.DUMMYFUNCTION("PROPER(TRIM(
  LET(
    texto1, REGEXREPLACE(G371,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"),"Carlota Tórrez")</f>
        <v>Carlota Tórrez</v>
      </c>
      <c r="U371" s="28" t="str">
        <f t="shared" si="4"/>
        <v>32958c32-9158-41e9-a53a-1fc911df997a</v>
      </c>
      <c r="V371" s="30" t="str">
        <f t="shared" si="5"/>
        <v>Tablet Pro 8GB</v>
      </c>
    </row>
    <row r="372" ht="15.75" customHeight="1">
      <c r="A372" s="6">
        <v>45653.0</v>
      </c>
      <c r="B372" s="2" t="s">
        <v>38</v>
      </c>
      <c r="C372" s="2" t="s">
        <v>96</v>
      </c>
      <c r="D372" s="7">
        <v>2263.78</v>
      </c>
      <c r="E372" s="2">
        <v>5.0</v>
      </c>
      <c r="F372" s="7">
        <v>11318.9</v>
      </c>
      <c r="G372" s="2" t="s">
        <v>1402</v>
      </c>
      <c r="H372" s="2" t="s">
        <v>1403</v>
      </c>
      <c r="I372" s="2" t="s">
        <v>1404</v>
      </c>
      <c r="K372" s="19" t="str">
        <f>IFERROR(__xludf.DUMMYFUNCTION("IF(ISBLANK(A372),
  """",
  IF(ISNUMBER(A372),
    TEXT(A372,""dd/mm/yyyy""),
    IF(
      REGEXMATCH(TRIM(A372),""^\d{1,2}/\d{1,2}/\d{4}$""),
      TRIM(A372),
      IFERROR(
        TEXT(DATEVALUE(SUBSTITUTE(SUBSTITUTE(TRIM(A372),""-"",""/""),""."",""/"&amp;""")),""dd/mm/yyyy""),
        TRIM(A372)
      )
    )
  )
)
"),"27/12/2024")</f>
        <v>27/12/2024</v>
      </c>
      <c r="L372" s="20">
        <v>45653.0</v>
      </c>
      <c r="M372" s="21" t="str">
        <f>IFERROR(__xludf.DUMMYFUNCTION("PROPER(TRIM(
  REGEXREPLACE(
    REGEXREPLACE(
      SUBSTITUTE(SUBSTITUTE(SUBSTITUTE(SUBSTITUTE(SUBSTITUTE(SUBSTITUTE(SUBSTITUTE(SUBSTITUTE(SUBSTITUTE(SUBSTITUTE(SUBSTITUTE(
        B372,""√©"",""é""),""√°"",""á""),""√±"",""ñ""),""√≥"",""ó""),""√â"",""é"&amp;"""),""√Å"",""á""),""√ç"",""í""),""√Ç"",""Í""),""√Â"",""é""),""√≠"",""í""),""√º"",""ú""),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72" s="22" t="str">
        <f>IFERROR(__xludf.DUMMYFUNCTION("SPLIT(
  TRIM(
    SUBSTITUTE(
      SUBSTITUTE(
        SUBSTITUTE(
          SUBSTITUTE(
            C372,
            ""√©"", ""é""
          ),
          ""√±"", ""ñ""
        ),
        ""√°"", ""á""
      ),
      ""√≥"", ""ó""
    )
  ),
  ""-""
)
"),"Auriculares")</f>
        <v>Auriculares</v>
      </c>
      <c r="O372" s="22" t="str">
        <f>IFERROR(__xludf.DUMMYFUNCTION("""COMPUTED_VALUE"""),"Cancelación de ruido")</f>
        <v>Cancelación de ruido</v>
      </c>
      <c r="P372" s="22" t="str">
        <f>IFERROR(__xludf.DUMMYFUNCTION("""COMPUTED_VALUE"""),"4GB")</f>
        <v>4GB</v>
      </c>
      <c r="Q372" s="23">
        <f t="shared" si="1"/>
        <v>2263.78</v>
      </c>
      <c r="R372" s="22">
        <f t="shared" si="2"/>
        <v>5</v>
      </c>
      <c r="S372" s="23">
        <f t="shared" si="3"/>
        <v>11318.9</v>
      </c>
      <c r="T372" s="22" t="str">
        <f>IFERROR(__xludf.DUMMYFUNCTION("PROPER(TRIM(
  LET(
    texto1, REGEXREPLACE(G372,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"),"Pamela Homero Arreola Godoy")</f>
        <v>Pamela Homero Arreola Godoy</v>
      </c>
      <c r="U372" s="22" t="str">
        <f t="shared" si="4"/>
        <v>7a049296-c624-4bff-8f06-3b6b06011495</v>
      </c>
      <c r="V372" s="24" t="str">
        <f t="shared" si="5"/>
        <v>Auriculares Cancelación de ruido 4GB</v>
      </c>
    </row>
    <row r="373" ht="15.75" customHeight="1">
      <c r="A373" s="6">
        <v>45585.0</v>
      </c>
      <c r="B373" s="2" t="s">
        <v>161</v>
      </c>
      <c r="C373" s="2" t="s">
        <v>698</v>
      </c>
      <c r="D373" s="7">
        <v>1840.11</v>
      </c>
      <c r="E373" s="2">
        <v>1.0</v>
      </c>
      <c r="F373" s="7">
        <v>1840.11</v>
      </c>
      <c r="G373" s="2" t="s">
        <v>1405</v>
      </c>
      <c r="H373" s="2" t="s">
        <v>1406</v>
      </c>
      <c r="I373" s="2" t="s">
        <v>1407</v>
      </c>
      <c r="K373" s="25" t="str">
        <f>IFERROR(__xludf.DUMMYFUNCTION("IF(ISBLANK(A373),
  """",
  IF(ISNUMBER(A373),
    TEXT(A373,""dd/mm/yyyy""),
    IF(
      REGEXMATCH(TRIM(A373),""^\d{1,2}/\d{1,2}/\d{4}$""),
      TRIM(A373),
      IFERROR(
        TEXT(DATEVALUE(SUBSTITUTE(SUBSTITUTE(TRIM(A373),""-"",""/""),""."",""/"&amp;""")),""dd/mm/yyyy""),
        TRIM(A373)
      )
    )
  )
)
"),"20/10/2024")</f>
        <v>20/10/2024</v>
      </c>
      <c r="L373" s="26">
        <v>45585.0</v>
      </c>
      <c r="M373" s="27" t="str">
        <f>IFERROR(__xludf.DUMMYFUNCTION("PROPER(TRIM(
  REGEXREPLACE(
    REGEXREPLACE(
      SUBSTITUTE(SUBSTITUTE(SUBSTITUTE(SUBSTITUTE(SUBSTITUTE(SUBSTITUTE(SUBSTITUTE(SUBSTITUTE(SUBSTITUTE(SUBSTITUTE(SUBSTITUTE(
        B373,""√©"",""é""),""√°"",""á""),""√±"",""ñ""),""√≥"",""ó""),""√â"",""é"&amp;"""),""√Å"",""á""),""√ç"",""í""),""√Ç"",""Í""),""√Â"",""é""),""√≠"",""í""),""√º"",""ú""),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373" s="28" t="str">
        <f>IFERROR(__xludf.DUMMYFUNCTION("SPLIT(
  TRIM(
    SUBSTITUTE(
      SUBSTITUTE(
        SUBSTITUTE(
          SUBSTITUTE(
            C373,
            ""√©"", ""é""
          ),
          ""√±"", ""ñ""
        ),
        ""√°"", ""á""
      ),
      ""√≥"", ""ó""
    )
  ),
  ""-""
)
"),"Laptop")</f>
        <v>Laptop</v>
      </c>
      <c r="O373" s="28" t="str">
        <f>IFERROR(__xludf.DUMMYFUNCTION("""COMPUTED_VALUE"""),"Ultraliviana")</f>
        <v>Ultraliviana</v>
      </c>
      <c r="P373" s="28" t="str">
        <f>IFERROR(__xludf.DUMMYFUNCTION("""COMPUTED_VALUE"""),"8GB")</f>
        <v>8GB</v>
      </c>
      <c r="Q373" s="29">
        <f t="shared" si="1"/>
        <v>1840.11</v>
      </c>
      <c r="R373" s="28">
        <f t="shared" si="2"/>
        <v>1</v>
      </c>
      <c r="S373" s="29">
        <f t="shared" si="3"/>
        <v>1840.11</v>
      </c>
      <c r="T373" s="28" t="str">
        <f>IFERROR(__xludf.DUMMYFUNCTION("PROPER(TRIM(
  LET(
    texto1, REGEXREPLACE(G373,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"),"Bianca Mayorga")</f>
        <v>Bianca Mayorga</v>
      </c>
      <c r="U373" s="28" t="str">
        <f t="shared" si="4"/>
        <v>028c3012-bbb3-43aa-964f-69aba65f05aa</v>
      </c>
      <c r="V373" s="30" t="str">
        <f t="shared" si="5"/>
        <v>Laptop Ultraliviana 8GB</v>
      </c>
    </row>
    <row r="374" ht="15.75" customHeight="1">
      <c r="A374" s="36">
        <v>45392.0</v>
      </c>
      <c r="B374" s="2" t="s">
        <v>50</v>
      </c>
      <c r="C374" s="2" t="s">
        <v>807</v>
      </c>
      <c r="D374" s="7">
        <v>2008.39</v>
      </c>
      <c r="E374" s="2">
        <v>4.0</v>
      </c>
      <c r="F374" s="7">
        <v>8033.56</v>
      </c>
      <c r="G374" s="2" t="s">
        <v>1408</v>
      </c>
      <c r="H374" s="2" t="s">
        <v>1409</v>
      </c>
      <c r="I374" s="2" t="s">
        <v>1410</v>
      </c>
      <c r="K374" s="19" t="str">
        <f>IFERROR(__xludf.DUMMYFUNCTION("IF(ISBLANK(A374),
  """",
  IF(ISNUMBER(A374),
    TEXT(A374,""dd/mm/yyyy""),
    IF(
      REGEXMATCH(TRIM(A374),""^\d{1,2}/\d{1,2}/\d{4}$""),
      TRIM(A374),
      IFERROR(
        TEXT(DATEVALUE(SUBSTITUTE(SUBSTITUTE(TRIM(A374),""-"",""/""),""."",""/"&amp;""")),""dd/mm/yyyy""),
        TRIM(A374)
      )
    )
  )
)
"),"10/04/2024")</f>
        <v>10/04/2024</v>
      </c>
      <c r="L374" s="20">
        <v>45392.0</v>
      </c>
      <c r="M374" s="21" t="str">
        <f>IFERROR(__xludf.DUMMYFUNCTION("PROPER(TRIM(
  REGEXREPLACE(
    REGEXREPLACE(
      SUBSTITUTE(SUBSTITUTE(SUBSTITUTE(SUBSTITUTE(SUBSTITUTE(SUBSTITUTE(SUBSTITUTE(SUBSTITUTE(SUBSTITUTE(SUBSTITUTE(SUBSTITUTE(
        B374,""√©"",""é""),""√°"",""á""),""√±"",""ñ""),""√≥"",""ó""),""√â"",""é"&amp;"""),""√Å"",""á""),""√ç"",""í""),""√Ç"",""Í""),""√Â"",""é""),""√≠"",""í""),""√º"",""ú""),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74" s="22" t="str">
        <f>IFERROR(__xludf.DUMMYFUNCTION("SPLIT(
  TRIM(
    SUBSTITUTE(
      SUBSTITUTE(
        SUBSTITUTE(
          SUBSTITUTE(
            C374,
            ""√©"", ""é""
          ),
          ""√±"", ""ñ""
        ),
        ""√°"", ""á""
      ),
      ""√≥"", ""ó""
    )
  ),
  ""-""
)
"),"Auriculares")</f>
        <v>Auriculares</v>
      </c>
      <c r="O374" s="22" t="str">
        <f>IFERROR(__xludf.DUMMYFUNCTION("""COMPUTED_VALUE"""),"Con cable")</f>
        <v>Con cable</v>
      </c>
      <c r="P374" s="22" t="str">
        <f>IFERROR(__xludf.DUMMYFUNCTION("""COMPUTED_VALUE"""),"4GB")</f>
        <v>4GB</v>
      </c>
      <c r="Q374" s="23">
        <f t="shared" si="1"/>
        <v>2008.39</v>
      </c>
      <c r="R374" s="22">
        <f t="shared" si="2"/>
        <v>4</v>
      </c>
      <c r="S374" s="23">
        <f t="shared" si="3"/>
        <v>8033.56</v>
      </c>
      <c r="T374" s="22" t="str">
        <f>IFERROR(__xludf.DUMMYFUNCTION("PROPER(TRIM(
  LET(
    texto1, REGEXREPLACE(G374,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"),"Horacio Emilio Espinosa Padrón")</f>
        <v>Horacio Emilio Espinosa Padrón</v>
      </c>
      <c r="U374" s="22" t="str">
        <f t="shared" si="4"/>
        <v>93adef20-4cdb-4207-bbba-d4412eb8840b</v>
      </c>
      <c r="V374" s="24" t="str">
        <f t="shared" si="5"/>
        <v>Auriculares Con cable 4GB</v>
      </c>
    </row>
    <row r="375" ht="15.75" customHeight="1">
      <c r="A375" s="6">
        <v>45609.0</v>
      </c>
      <c r="B375" s="2" t="s">
        <v>101</v>
      </c>
      <c r="C375" s="2" t="s">
        <v>11</v>
      </c>
      <c r="D375" s="7">
        <v>724.54</v>
      </c>
      <c r="E375" s="2">
        <v>5.0</v>
      </c>
      <c r="F375" s="7">
        <v>3622.7</v>
      </c>
      <c r="G375" s="2" t="s">
        <v>1411</v>
      </c>
      <c r="H375" s="2" t="s">
        <v>1412</v>
      </c>
      <c r="I375" s="2" t="s">
        <v>1413</v>
      </c>
      <c r="K375" s="25" t="str">
        <f>IFERROR(__xludf.DUMMYFUNCTION("IF(ISBLANK(A375),
  """",
  IF(ISNUMBER(A375),
    TEXT(A375,""dd/mm/yyyy""),
    IF(
      REGEXMATCH(TRIM(A375),""^\d{1,2}/\d{1,2}/\d{4}$""),
      TRIM(A375),
      IFERROR(
        TEXT(DATEVALUE(SUBSTITUTE(SUBSTITUTE(TRIM(A375),""-"",""/""),""."",""/"&amp;""")),""dd/mm/yyyy""),
        TRIM(A375)
      )
    )
  )
)
"),"13/11/2024")</f>
        <v>13/11/2024</v>
      </c>
      <c r="L375" s="26">
        <v>45609.0</v>
      </c>
      <c r="M375" s="27" t="str">
        <f>IFERROR(__xludf.DUMMYFUNCTION("PROPER(TRIM(
  REGEXREPLACE(
    REGEXREPLACE(
      SUBSTITUTE(SUBSTITUTE(SUBSTITUTE(SUBSTITUTE(SUBSTITUTE(SUBSTITUTE(SUBSTITUTE(SUBSTITUTE(SUBSTITUTE(SUBSTITUTE(SUBSTITUTE(
        B375,""√©"",""é""),""√°"",""á""),""√±"",""ñ""),""√≥"",""ó""),""√â"",""é"&amp;"""),""√Å"",""á""),""√ç"",""í""),""√Ç"",""Í""),""√Â"",""é""),""√≠"",""í""),""√º"",""ú""),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75" s="28" t="str">
        <f>IFERROR(__xludf.DUMMYFUNCTION("SPLIT(
  TRIM(
    SUBSTITUTE(
      SUBSTITUTE(
        SUBSTITUTE(
          SUBSTITUTE(
            C375,
            ""√©"", ""é""
          ),
          ""√±"", ""ñ""
        ),
        ""√°"", ""á""
      ),
      ""√≥"", ""ó""
    )
  ),
  ""-""
)
"),"Auriculares")</f>
        <v>Auriculares</v>
      </c>
      <c r="O375" s="28" t="str">
        <f>IFERROR(__xludf.DUMMYFUNCTION("""COMPUTED_VALUE"""),"Con cable")</f>
        <v>Con cable</v>
      </c>
      <c r="P375" s="28" t="str">
        <f>IFERROR(__xludf.DUMMYFUNCTION("""COMPUTED_VALUE"""),"32GB")</f>
        <v>32GB</v>
      </c>
      <c r="Q375" s="29">
        <f t="shared" si="1"/>
        <v>724.54</v>
      </c>
      <c r="R375" s="28">
        <f t="shared" si="2"/>
        <v>5</v>
      </c>
      <c r="S375" s="29">
        <f t="shared" si="3"/>
        <v>3622.7</v>
      </c>
      <c r="T375" s="28" t="str">
        <f>IFERROR(__xludf.DUMMYFUNCTION("PROPER(TRIM(
  LET(
    texto1, REGEXREPLACE(G375,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"),"Israel Paredes")</f>
        <v>Israel Paredes</v>
      </c>
      <c r="U375" s="28" t="str">
        <f t="shared" si="4"/>
        <v>448e14d0-eae1-4771-8c1c-dd1f4ea21088</v>
      </c>
      <c r="V375" s="30" t="str">
        <f t="shared" si="5"/>
        <v>Auriculares Con cable 32GB</v>
      </c>
    </row>
    <row r="376" ht="15.75" customHeight="1">
      <c r="A376" s="36">
        <v>45334.0</v>
      </c>
      <c r="B376" s="2" t="s">
        <v>50</v>
      </c>
      <c r="C376" s="2" t="s">
        <v>121</v>
      </c>
      <c r="D376" s="7">
        <v>1923.49</v>
      </c>
      <c r="E376" s="2">
        <v>5.0</v>
      </c>
      <c r="F376" s="7">
        <v>9617.45</v>
      </c>
      <c r="G376" s="2" t="s">
        <v>1414</v>
      </c>
      <c r="H376" s="2" t="s">
        <v>1415</v>
      </c>
      <c r="I376" s="2" t="s">
        <v>1416</v>
      </c>
      <c r="K376" s="19" t="str">
        <f>IFERROR(__xludf.DUMMYFUNCTION("IF(ISBLANK(A376),
  """",
  IF(ISNUMBER(A376),
    TEXT(A376,""dd/mm/yyyy""),
    IF(
      REGEXMATCH(TRIM(A376),""^\d{1,2}/\d{1,2}/\d{4}$""),
      TRIM(A376),
      IFERROR(
        TEXT(DATEVALUE(SUBSTITUTE(SUBSTITUTE(TRIM(A376),""-"",""/""),""."",""/"&amp;""")),""dd/mm/yyyy""),
        TRIM(A376)
      )
    )
  )
)
"),"12/02/2024")</f>
        <v>12/02/2024</v>
      </c>
      <c r="L376" s="20">
        <v>45334.0</v>
      </c>
      <c r="M376" s="21" t="str">
        <f>IFERROR(__xludf.DUMMYFUNCTION("PROPER(TRIM(
  REGEXREPLACE(
    REGEXREPLACE(
      SUBSTITUTE(SUBSTITUTE(SUBSTITUTE(SUBSTITUTE(SUBSTITUTE(SUBSTITUTE(SUBSTITUTE(SUBSTITUTE(SUBSTITUTE(SUBSTITUTE(SUBSTITUTE(
        B376,""√©"",""é""),""√°"",""á""),""√±"",""ñ""),""√≥"",""ó""),""√â"",""é"&amp;"""),""√Å"",""á""),""√ç"",""í""),""√Ç"",""Í""),""√Â"",""é""),""√≠"",""í""),""√º"",""ú""),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76" s="22" t="str">
        <f>IFERROR(__xludf.DUMMYFUNCTION("SPLIT(
  TRIM(
    SUBSTITUTE(
      SUBSTITUTE(
        SUBSTITUTE(
          SUBSTITUTE(
            C376,
            ""√©"", ""é""
          ),
          ""√±"", ""ñ""
        ),
        ""√°"", ""á""
      ),
      ""√≥"", ""ó""
    )
  ),
  ""-""
)
"),"Teléfono")</f>
        <v>Teléfono</v>
      </c>
      <c r="O376" s="22" t="str">
        <f>IFERROR(__xludf.DUMMYFUNCTION("""COMPUTED_VALUE"""),"Gama baja")</f>
        <v>Gama baja</v>
      </c>
      <c r="P376" s="22" t="str">
        <f>IFERROR(__xludf.DUMMYFUNCTION("""COMPUTED_VALUE"""),"8GB")</f>
        <v>8GB</v>
      </c>
      <c r="Q376" s="23">
        <f t="shared" si="1"/>
        <v>1923.49</v>
      </c>
      <c r="R376" s="22">
        <f t="shared" si="2"/>
        <v>5</v>
      </c>
      <c r="S376" s="23">
        <f t="shared" si="3"/>
        <v>9617.45</v>
      </c>
      <c r="T376" s="22" t="str">
        <f>IFERROR(__xludf.DUMMYFUNCTION("PROPER(TRIM(
  LET(
    texto1, REGEXREPLACE(G376,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"),"Ignacio Guzmán Borrego")</f>
        <v>Ignacio Guzmán Borrego</v>
      </c>
      <c r="U376" s="22" t="str">
        <f t="shared" si="4"/>
        <v>fd338d3a-d67f-4c10-bd09-55bbc6c310d1</v>
      </c>
      <c r="V376" s="24" t="str">
        <f t="shared" si="5"/>
        <v>Teléfono Gama baja 8GB</v>
      </c>
    </row>
    <row r="377" ht="15.75" customHeight="1">
      <c r="A377" s="6">
        <v>45615.0</v>
      </c>
      <c r="B377" s="2" t="s">
        <v>50</v>
      </c>
      <c r="C377" s="2" t="s">
        <v>116</v>
      </c>
      <c r="D377" s="7">
        <v>653.09</v>
      </c>
      <c r="E377" s="2">
        <v>4.0</v>
      </c>
      <c r="F377" s="7">
        <v>2612.36</v>
      </c>
      <c r="G377" s="2" t="s">
        <v>1417</v>
      </c>
      <c r="H377" s="2" t="s">
        <v>1418</v>
      </c>
      <c r="I377" s="2" t="s">
        <v>1419</v>
      </c>
      <c r="K377" s="25" t="str">
        <f>IFERROR(__xludf.DUMMYFUNCTION("IF(ISBLANK(A377),
  """",
  IF(ISNUMBER(A377),
    TEXT(A377,""dd/mm/yyyy""),
    IF(
      REGEXMATCH(TRIM(A377),""^\d{1,2}/\d{1,2}/\d{4}$""),
      TRIM(A377),
      IFERROR(
        TEXT(DATEVALUE(SUBSTITUTE(SUBSTITUTE(TRIM(A377),""-"",""/""),""."",""/"&amp;""")),""dd/mm/yyyy""),
        TRIM(A377)
      )
    )
  )
)
"),"19/11/2024")</f>
        <v>19/11/2024</v>
      </c>
      <c r="L377" s="26">
        <v>45615.0</v>
      </c>
      <c r="M377" s="27" t="str">
        <f>IFERROR(__xludf.DUMMYFUNCTION("PROPER(TRIM(
  REGEXREPLACE(
    REGEXREPLACE(
      SUBSTITUTE(SUBSTITUTE(SUBSTITUTE(SUBSTITUTE(SUBSTITUTE(SUBSTITUTE(SUBSTITUTE(SUBSTITUTE(SUBSTITUTE(SUBSTITUTE(SUBSTITUTE(
        B377,""√©"",""é""),""√°"",""á""),""√±"",""ñ""),""√≥"",""ó""),""√â"",""é"&amp;"""),""√Å"",""á""),""√ç"",""í""),""√Ç"",""Í""),""√Â"",""é""),""√≠"",""í""),""√º"",""ú""),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77" s="28" t="str">
        <f>IFERROR(__xludf.DUMMYFUNCTION("SPLIT(
  TRIM(
    SUBSTITUTE(
      SUBSTITUTE(
        SUBSTITUTE(
          SUBSTITUTE(
            C377,
            ""√©"", ""é""
          ),
          ""√±"", ""ñ""
        ),
        ""√°"", ""á""
      ),
      ""√≥"", ""ó""
    )
  ),
  ""-""
)
"),"Teléfono")</f>
        <v>Teléfono</v>
      </c>
      <c r="O377" s="28" t="str">
        <f>IFERROR(__xludf.DUMMYFUNCTION("""COMPUTED_VALUE"""),"Gama media")</f>
        <v>Gama media</v>
      </c>
      <c r="P377" s="28" t="str">
        <f>IFERROR(__xludf.DUMMYFUNCTION("""COMPUTED_VALUE"""),"4GB")</f>
        <v>4GB</v>
      </c>
      <c r="Q377" s="29">
        <f t="shared" si="1"/>
        <v>653.09</v>
      </c>
      <c r="R377" s="28">
        <f t="shared" si="2"/>
        <v>4</v>
      </c>
      <c r="S377" s="29">
        <f t="shared" si="3"/>
        <v>2612.36</v>
      </c>
      <c r="T377" s="28" t="str">
        <f>IFERROR(__xludf.DUMMYFUNCTION("PROPER(TRIM(
  LET(
    texto1, REGEXREPLACE(G377,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"),"Margarita Guadalupe Ceja")</f>
        <v>Margarita Guadalupe Ceja</v>
      </c>
      <c r="U377" s="28" t="str">
        <f t="shared" si="4"/>
        <v>077fd234-6153-410d-a149-184f01f2e37a</v>
      </c>
      <c r="V377" s="30" t="str">
        <f t="shared" si="5"/>
        <v>Teléfono Gama media 4GB</v>
      </c>
    </row>
    <row r="378" ht="15.75" customHeight="1">
      <c r="A378" s="36">
        <v>45453.0</v>
      </c>
      <c r="B378" s="2" t="s">
        <v>50</v>
      </c>
      <c r="C378" s="2" t="s">
        <v>226</v>
      </c>
      <c r="D378" s="7">
        <v>627.66</v>
      </c>
      <c r="E378" s="2">
        <v>1.0</v>
      </c>
      <c r="F378" s="7">
        <v>627.66</v>
      </c>
      <c r="G378" s="2" t="s">
        <v>1420</v>
      </c>
      <c r="H378" s="2" t="s">
        <v>1421</v>
      </c>
      <c r="I378" s="2" t="s">
        <v>1422</v>
      </c>
      <c r="K378" s="19" t="str">
        <f>IFERROR(__xludf.DUMMYFUNCTION("IF(ISBLANK(A378),
  """",
  IF(ISNUMBER(A378),
    TEXT(A378,""dd/mm/yyyy""),
    IF(
      REGEXMATCH(TRIM(A378),""^\d{1,2}/\d{1,2}/\d{4}$""),
      TRIM(A378),
      IFERROR(
        TEXT(DATEVALUE(SUBSTITUTE(SUBSTITUTE(TRIM(A378),""-"",""/""),""."",""/"&amp;""")),""dd/mm/yyyy""),
        TRIM(A378)
      )
    )
  )
)
"),"10/06/2024")</f>
        <v>10/06/2024</v>
      </c>
      <c r="L378" s="20">
        <v>45453.0</v>
      </c>
      <c r="M378" s="21" t="str">
        <f>IFERROR(__xludf.DUMMYFUNCTION("PROPER(TRIM(
  REGEXREPLACE(
    REGEXREPLACE(
      SUBSTITUTE(SUBSTITUTE(SUBSTITUTE(SUBSTITUTE(SUBSTITUTE(SUBSTITUTE(SUBSTITUTE(SUBSTITUTE(SUBSTITUTE(SUBSTITUTE(SUBSTITUTE(
        B378,""√©"",""é""),""√°"",""á""),""√±"",""ñ""),""√≥"",""ó""),""√â"",""é"&amp;"""),""√Å"",""á""),""√ç"",""í""),""√Ç"",""Í""),""√Â"",""é""),""√≠"",""í""),""√º"",""ú""),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78" s="22" t="str">
        <f>IFERROR(__xludf.DUMMYFUNCTION("SPLIT(
  TRIM(
    SUBSTITUTE(
      SUBSTITUTE(
        SUBSTITUTE(
          SUBSTITUTE(
            C378,
            ""√©"", ""é""
          ),
          ""√±"", ""ñ""
        ),
        ""√°"", ""á""
      ),
      ""√≥"", ""ó""
    )
  ),
  ""-""
)
"),"Tablet")</f>
        <v>Tablet</v>
      </c>
      <c r="O378" s="22" t="str">
        <f>IFERROR(__xludf.DUMMYFUNCTION("""COMPUTED_VALUE"""),"Mini")</f>
        <v>Mini</v>
      </c>
      <c r="P378" s="22" t="str">
        <f>IFERROR(__xludf.DUMMYFUNCTION("""COMPUTED_VALUE"""),"16GB")</f>
        <v>16GB</v>
      </c>
      <c r="Q378" s="23">
        <f t="shared" si="1"/>
        <v>627.66</v>
      </c>
      <c r="R378" s="22">
        <f t="shared" si="2"/>
        <v>1</v>
      </c>
      <c r="S378" s="23">
        <f t="shared" si="3"/>
        <v>627.66</v>
      </c>
      <c r="T378" s="22" t="str">
        <f>IFERROR(__xludf.DUMMYFUNCTION("PROPER(TRIM(
  LET(
    texto1, REGEXREPLACE(G378,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"),"Uriel Tafoya Lucio")</f>
        <v>Uriel Tafoya Lucio</v>
      </c>
      <c r="U378" s="22" t="str">
        <f t="shared" si="4"/>
        <v>89765ca7-1472-4672-b556-1f836ca9eae7</v>
      </c>
      <c r="V378" s="24" t="str">
        <f t="shared" si="5"/>
        <v>Tablet Mini 16GB</v>
      </c>
    </row>
    <row r="379" ht="15.75" customHeight="1">
      <c r="A379" s="36">
        <v>45453.0</v>
      </c>
      <c r="B379" s="2" t="s">
        <v>50</v>
      </c>
      <c r="C379" s="2" t="s">
        <v>11</v>
      </c>
      <c r="D379" s="7">
        <v>1194.62</v>
      </c>
      <c r="E379" s="2">
        <v>5.0</v>
      </c>
      <c r="F379" s="7">
        <v>5973.1</v>
      </c>
      <c r="G379" s="2" t="s">
        <v>1423</v>
      </c>
      <c r="H379" s="2" t="s">
        <v>1424</v>
      </c>
      <c r="I379" s="2" t="s">
        <v>1425</v>
      </c>
      <c r="K379" s="25" t="str">
        <f>IFERROR(__xludf.DUMMYFUNCTION("IF(ISBLANK(A379),
  """",
  IF(ISNUMBER(A379),
    TEXT(A379,""dd/mm/yyyy""),
    IF(
      REGEXMATCH(TRIM(A379),""^\d{1,2}/\d{1,2}/\d{4}$""),
      TRIM(A379),
      IFERROR(
        TEXT(DATEVALUE(SUBSTITUTE(SUBSTITUTE(TRIM(A379),""-"",""/""),""."",""/"&amp;""")),""dd/mm/yyyy""),
        TRIM(A379)
      )
    )
  )
)
"),"10/06/2024")</f>
        <v>10/06/2024</v>
      </c>
      <c r="L379" s="26">
        <v>45453.0</v>
      </c>
      <c r="M379" s="27" t="str">
        <f>IFERROR(__xludf.DUMMYFUNCTION("PROPER(TRIM(
  REGEXREPLACE(
    REGEXREPLACE(
      SUBSTITUTE(SUBSTITUTE(SUBSTITUTE(SUBSTITUTE(SUBSTITUTE(SUBSTITUTE(SUBSTITUTE(SUBSTITUTE(SUBSTITUTE(SUBSTITUTE(SUBSTITUTE(
        B379,""√©"",""é""),""√°"",""á""),""√±"",""ñ""),""√≥"",""ó""),""√â"",""é"&amp;"""),""√Å"",""á""),""√ç"",""í""),""√Ç"",""Í""),""√Â"",""é""),""√≠"",""í""),""√º"",""ú""),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79" s="28" t="str">
        <f>IFERROR(__xludf.DUMMYFUNCTION("SPLIT(
  TRIM(
    SUBSTITUTE(
      SUBSTITUTE(
        SUBSTITUTE(
          SUBSTITUTE(
            C379,
            ""√©"", ""é""
          ),
          ""√±"", ""ñ""
        ),
        ""√°"", ""á""
      ),
      ""√≥"", ""ó""
    )
  ),
  ""-""
)
"),"Auriculares")</f>
        <v>Auriculares</v>
      </c>
      <c r="O379" s="28" t="str">
        <f>IFERROR(__xludf.DUMMYFUNCTION("""COMPUTED_VALUE"""),"Con cable")</f>
        <v>Con cable</v>
      </c>
      <c r="P379" s="28" t="str">
        <f>IFERROR(__xludf.DUMMYFUNCTION("""COMPUTED_VALUE"""),"32GB")</f>
        <v>32GB</v>
      </c>
      <c r="Q379" s="29">
        <f t="shared" si="1"/>
        <v>1194.62</v>
      </c>
      <c r="R379" s="28">
        <f t="shared" si="2"/>
        <v>5</v>
      </c>
      <c r="S379" s="29">
        <f t="shared" si="3"/>
        <v>5973.1</v>
      </c>
      <c r="T379" s="28" t="str">
        <f>IFERROR(__xludf.DUMMYFUNCTION("PROPER(TRIM(
  LET(
    texto1, REGEXREPLACE(G379,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"),"Salma Vega")</f>
        <v>Salma Vega</v>
      </c>
      <c r="U379" s="28" t="str">
        <f t="shared" si="4"/>
        <v>01e64b83-374e-4aac-8ea2-166257f545a7</v>
      </c>
      <c r="V379" s="30" t="str">
        <f t="shared" si="5"/>
        <v>Auriculares Con cable 32GB</v>
      </c>
    </row>
    <row r="380" ht="15.75" customHeight="1">
      <c r="A380" s="6">
        <v>45583.0</v>
      </c>
      <c r="B380" s="2" t="s">
        <v>16</v>
      </c>
      <c r="C380" s="2" t="s">
        <v>162</v>
      </c>
      <c r="D380" s="7">
        <v>169.21</v>
      </c>
      <c r="E380" s="2">
        <v>3.0</v>
      </c>
      <c r="F380" s="7">
        <v>507.63</v>
      </c>
      <c r="G380" s="2" t="s">
        <v>1426</v>
      </c>
      <c r="H380" s="2" t="s">
        <v>1427</v>
      </c>
      <c r="I380" s="2" t="s">
        <v>1428</v>
      </c>
      <c r="K380" s="19" t="str">
        <f>IFERROR(__xludf.DUMMYFUNCTION("IF(ISBLANK(A380),
  """",
  IF(ISNUMBER(A380),
    TEXT(A380,""dd/mm/yyyy""),
    IF(
      REGEXMATCH(TRIM(A380),""^\d{1,2}/\d{1,2}/\d{4}$""),
      TRIM(A380),
      IFERROR(
        TEXT(DATEVALUE(SUBSTITUTE(SUBSTITUTE(TRIM(A380),""-"",""/""),""."",""/"&amp;""")),""dd/mm/yyyy""),
        TRIM(A380)
      )
    )
  )
)
"),"18/10/2024")</f>
        <v>18/10/2024</v>
      </c>
      <c r="L380" s="20">
        <v>45583.0</v>
      </c>
      <c r="M380" s="21" t="str">
        <f>IFERROR(__xludf.DUMMYFUNCTION("PROPER(TRIM(
  REGEXREPLACE(
    REGEXREPLACE(
      SUBSTITUTE(SUBSTITUTE(SUBSTITUTE(SUBSTITUTE(SUBSTITUTE(SUBSTITUTE(SUBSTITUTE(SUBSTITUTE(SUBSTITUTE(SUBSTITUTE(SUBSTITUTE(
        B380,""√©"",""é""),""√°"",""á""),""√±"",""ñ""),""√≥"",""ó""),""√â"",""é"&amp;"""),""√Å"",""á""),""√ç"",""í""),""√Ç"",""Í""),""√Â"",""é""),""√≠"",""í""),""√º"",""ú""),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80" s="22" t="str">
        <f>IFERROR(__xludf.DUMMYFUNCTION("SPLIT(
  TRIM(
    SUBSTITUTE(
      SUBSTITUTE(
        SUBSTITUTE(
          SUBSTITUTE(
            C380,
            ""√©"", ""é""
          ),
          ""√±"", ""ñ""
        ),
        ""√°"", ""á""
      ),
      ""√≥"", ""ó""
    )
  ),
  ""-""
)
"),"Teléfono")</f>
        <v>Teléfono</v>
      </c>
      <c r="O380" s="22" t="str">
        <f>IFERROR(__xludf.DUMMYFUNCTION("""COMPUTED_VALUE"""),"Gama alta")</f>
        <v>Gama alta</v>
      </c>
      <c r="P380" s="22" t="str">
        <f>IFERROR(__xludf.DUMMYFUNCTION("""COMPUTED_VALUE"""),"16GB")</f>
        <v>16GB</v>
      </c>
      <c r="Q380" s="23">
        <f t="shared" si="1"/>
        <v>169.21</v>
      </c>
      <c r="R380" s="22">
        <f t="shared" si="2"/>
        <v>3</v>
      </c>
      <c r="S380" s="23">
        <f t="shared" si="3"/>
        <v>507.63</v>
      </c>
      <c r="T380" s="22" t="str">
        <f>IFERROR(__xludf.DUMMYFUNCTION("PROPER(TRIM(
  LET(
    texto1, REGEXREPLACE(G380,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"),"Hermelinda Clemente Sisneros")</f>
        <v>Hermelinda Clemente Sisneros</v>
      </c>
      <c r="U380" s="22" t="str">
        <f t="shared" si="4"/>
        <v>af40dcd7-913c-4661-9539-8e5b477bae0b</v>
      </c>
      <c r="V380" s="24" t="str">
        <f t="shared" si="5"/>
        <v>Teléfono Gama alta 16GB</v>
      </c>
    </row>
    <row r="381" ht="15.75" customHeight="1">
      <c r="A381" s="6">
        <v>45585.0</v>
      </c>
      <c r="B381" s="2" t="s">
        <v>793</v>
      </c>
      <c r="C381" s="2" t="s">
        <v>135</v>
      </c>
      <c r="D381" s="7">
        <v>2081.9</v>
      </c>
      <c r="E381" s="2">
        <v>1.0</v>
      </c>
      <c r="F381" s="7">
        <v>2081.9</v>
      </c>
      <c r="G381" s="2" t="s">
        <v>1429</v>
      </c>
      <c r="H381" s="2" t="s">
        <v>1430</v>
      </c>
      <c r="I381" s="2" t="s">
        <v>1431</v>
      </c>
      <c r="K381" s="25" t="str">
        <f>IFERROR(__xludf.DUMMYFUNCTION("IF(ISBLANK(A381),
  """",
  IF(ISNUMBER(A381),
    TEXT(A381,""dd/mm/yyyy""),
    IF(
      REGEXMATCH(TRIM(A381),""^\d{1,2}/\d{1,2}/\d{4}$""),
      TRIM(A381),
      IFERROR(
        TEXT(DATEVALUE(SUBSTITUTE(SUBSTITUTE(TRIM(A381),""-"",""/""),""."",""/"&amp;""")),""dd/mm/yyyy""),
        TRIM(A381)
      )
    )
  )
)
"),"20/10/2024")</f>
        <v>20/10/2024</v>
      </c>
      <c r="L381" s="26">
        <v>45585.0</v>
      </c>
      <c r="M381" s="27" t="str">
        <f>IFERROR(__xludf.DUMMYFUNCTION("PROPER(TRIM(
  REGEXREPLACE(
    REGEXREPLACE(
      SUBSTITUTE(SUBSTITUTE(SUBSTITUTE(SUBSTITUTE(SUBSTITUTE(SUBSTITUTE(SUBSTITUTE(SUBSTITUTE(SUBSTITUTE(SUBSTITUTE(SUBSTITUTE(
        B381,""√©"",""é""),""√°"",""á""),""√±"",""ñ""),""√≥"",""ó""),""√â"",""é"&amp;"""),""√Å"",""á""),""√ç"",""í""),""√Ç"",""Í""),""√Â"",""é""),""√≠"",""í""),""√º"",""ú""),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81" s="28" t="str">
        <f>IFERROR(__xludf.DUMMYFUNCTION("SPLIT(
  TRIM(
    SUBSTITUTE(
      SUBSTITUTE(
        SUBSTITUTE(
          SUBSTITUTE(
            C381,
            ""√©"", ""é""
          ),
          ""√±"", ""ñ""
        ),
        ""√°"", ""á""
      ),
      ""√≥"", ""ó""
    )
  ),
  ""-""
)
"),"Laptop")</f>
        <v>Laptop</v>
      </c>
      <c r="O381" s="28" t="str">
        <f>IFERROR(__xludf.DUMMYFUNCTION("""COMPUTED_VALUE"""),"Ultraliviana")</f>
        <v>Ultraliviana</v>
      </c>
      <c r="P381" s="28" t="str">
        <f>IFERROR(__xludf.DUMMYFUNCTION("""COMPUTED_VALUE"""),"32GB")</f>
        <v>32GB</v>
      </c>
      <c r="Q381" s="29">
        <f t="shared" si="1"/>
        <v>2081.9</v>
      </c>
      <c r="R381" s="28">
        <f t="shared" si="2"/>
        <v>1</v>
      </c>
      <c r="S381" s="29">
        <f t="shared" si="3"/>
        <v>2081.9</v>
      </c>
      <c r="T381" s="28" t="str">
        <f>IFERROR(__xludf.DUMMYFUNCTION("PROPER(TRIM(
  LET(
    texto1, REGEXREPLACE(G381,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"),"Esperanza Victoria Rendón")</f>
        <v>Esperanza Victoria Rendón</v>
      </c>
      <c r="U381" s="28" t="str">
        <f t="shared" si="4"/>
        <v>b3ac9ad7-3336-45ee-8e9c-45dd90295e61</v>
      </c>
      <c r="V381" s="30" t="str">
        <f t="shared" si="5"/>
        <v>Laptop Ultraliviana 32GB</v>
      </c>
    </row>
    <row r="382" ht="15.75" customHeight="1">
      <c r="A382" s="6">
        <v>45588.0</v>
      </c>
      <c r="B382" s="2" t="s">
        <v>50</v>
      </c>
      <c r="C382" s="2" t="s">
        <v>147</v>
      </c>
      <c r="D382" s="7">
        <v>324.46</v>
      </c>
      <c r="E382" s="2">
        <v>2.0</v>
      </c>
      <c r="F382" s="7">
        <v>648.92</v>
      </c>
      <c r="G382" s="2" t="s">
        <v>1432</v>
      </c>
      <c r="H382" s="2" t="s">
        <v>1433</v>
      </c>
      <c r="I382" s="2" t="s">
        <v>1434</v>
      </c>
      <c r="K382" s="19" t="str">
        <f>IFERROR(__xludf.DUMMYFUNCTION("IF(ISBLANK(A382),
  """",
  IF(ISNUMBER(A382),
    TEXT(A382,""dd/mm/yyyy""),
    IF(
      REGEXMATCH(TRIM(A382),""^\d{1,2}/\d{1,2}/\d{4}$""),
      TRIM(A382),
      IFERROR(
        TEXT(DATEVALUE(SUBSTITUTE(SUBSTITUTE(TRIM(A382),""-"",""/""),""."",""/"&amp;""")),""dd/mm/yyyy""),
        TRIM(A382)
      )
    )
  )
)
"),"23/10/2024")</f>
        <v>23/10/2024</v>
      </c>
      <c r="L382" s="20">
        <v>45588.0</v>
      </c>
      <c r="M382" s="21" t="str">
        <f>IFERROR(__xludf.DUMMYFUNCTION("PROPER(TRIM(
  REGEXREPLACE(
    REGEXREPLACE(
      SUBSTITUTE(SUBSTITUTE(SUBSTITUTE(SUBSTITUTE(SUBSTITUTE(SUBSTITUTE(SUBSTITUTE(SUBSTITUTE(SUBSTITUTE(SUBSTITUTE(SUBSTITUTE(
        B382,""√©"",""é""),""√°"",""á""),""√±"",""ñ""),""√≥"",""ó""),""√â"",""é"&amp;"""),""√Å"",""á""),""√ç"",""í""),""√Ç"",""Í""),""√Â"",""é""),""√≠"",""í""),""√º"",""ú""),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82" s="22" t="str">
        <f>IFERROR(__xludf.DUMMYFUNCTION("SPLIT(
  TRIM(
    SUBSTITUTE(
      SUBSTITUTE(
        SUBSTITUTE(
          SUBSTITUTE(
            C382,
            ""√©"", ""é""
          ),
          ""√±"", ""ñ""
        ),
        ""√°"", ""á""
      ),
      ""√≥"", ""ó""
    )
  ),
  ""-""
)
"),"Laptop")</f>
        <v>Laptop</v>
      </c>
      <c r="O382" s="22" t="str">
        <f>IFERROR(__xludf.DUMMYFUNCTION("""COMPUTED_VALUE"""),"Oficina")</f>
        <v>Oficina</v>
      </c>
      <c r="P382" s="22" t="str">
        <f>IFERROR(__xludf.DUMMYFUNCTION("""COMPUTED_VALUE"""),"16GB")</f>
        <v>16GB</v>
      </c>
      <c r="Q382" s="23">
        <f t="shared" si="1"/>
        <v>324.46</v>
      </c>
      <c r="R382" s="22">
        <f t="shared" si="2"/>
        <v>2</v>
      </c>
      <c r="S382" s="23">
        <f t="shared" si="3"/>
        <v>648.92</v>
      </c>
      <c r="T382" s="22" t="str">
        <f>IFERROR(__xludf.DUMMYFUNCTION("PROPER(TRIM(
  LET(
    texto1, REGEXREPLACE(G382,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"),"Israel Barragán")</f>
        <v>Israel Barragán</v>
      </c>
      <c r="U382" s="22" t="str">
        <f t="shared" si="4"/>
        <v>0cede563-5f38-42bf-93ca-f67930084cf1</v>
      </c>
      <c r="V382" s="24" t="str">
        <f t="shared" si="5"/>
        <v>Laptop Oficina 16GB</v>
      </c>
    </row>
    <row r="383" ht="15.75" customHeight="1">
      <c r="A383" s="6">
        <v>45614.0</v>
      </c>
      <c r="B383" s="2" t="s">
        <v>16</v>
      </c>
      <c r="C383" s="2" t="s">
        <v>360</v>
      </c>
      <c r="D383" s="7">
        <v>1178.53</v>
      </c>
      <c r="E383" s="2">
        <v>2.0</v>
      </c>
      <c r="F383" s="7">
        <v>2357.06</v>
      </c>
      <c r="G383" s="2" t="s">
        <v>1435</v>
      </c>
      <c r="H383" s="2" t="s">
        <v>1436</v>
      </c>
      <c r="I383" s="2" t="s">
        <v>1437</v>
      </c>
      <c r="K383" s="25" t="str">
        <f>IFERROR(__xludf.DUMMYFUNCTION("IF(ISBLANK(A383),
  """",
  IF(ISNUMBER(A383),
    TEXT(A383,""dd/mm/yyyy""),
    IF(
      REGEXMATCH(TRIM(A383),""^\d{1,2}/\d{1,2}/\d{4}$""),
      TRIM(A383),
      IFERROR(
        TEXT(DATEVALUE(SUBSTITUTE(SUBSTITUTE(TRIM(A383),""-"",""/""),""."",""/"&amp;""")),""dd/mm/yyyy""),
        TRIM(A383)
      )
    )
  )
)
"),"18/11/2024")</f>
        <v>18/11/2024</v>
      </c>
      <c r="L383" s="26">
        <v>45614.0</v>
      </c>
      <c r="M383" s="27" t="str">
        <f>IFERROR(__xludf.DUMMYFUNCTION("PROPER(TRIM(
  REGEXREPLACE(
    REGEXREPLACE(
      SUBSTITUTE(SUBSTITUTE(SUBSTITUTE(SUBSTITUTE(SUBSTITUTE(SUBSTITUTE(SUBSTITUTE(SUBSTITUTE(SUBSTITUTE(SUBSTITUTE(SUBSTITUTE(
        B383,""√©"",""é""),""√°"",""á""),""√±"",""ñ""),""√≥"",""ó""),""√â"",""é"&amp;"""),""√Å"",""á""),""√ç"",""í""),""√Ç"",""Í""),""√Â"",""é""),""√≠"",""í""),""√º"",""ú""),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83" s="28" t="str">
        <f>IFERROR(__xludf.DUMMYFUNCTION("SPLIT(
  TRIM(
    SUBSTITUTE(
      SUBSTITUTE(
        SUBSTITUTE(
          SUBSTITUTE(
            C383,
            ""√©"", ""é""
          ),
          ""√±"", ""ñ""
        ),
        ""√°"", ""á""
      ),
      ""√≥"", ""ó""
    )
  ),
  ""-""
)
"),"Tablet")</f>
        <v>Tablet</v>
      </c>
      <c r="O383" s="28" t="str">
        <f>IFERROR(__xludf.DUMMYFUNCTION("""COMPUTED_VALUE"""),"Estándar")</f>
        <v>Estándar</v>
      </c>
      <c r="P383" s="28" t="str">
        <f>IFERROR(__xludf.DUMMYFUNCTION("""COMPUTED_VALUE"""),"8GB")</f>
        <v>8GB</v>
      </c>
      <c r="Q383" s="29">
        <f t="shared" si="1"/>
        <v>1178.53</v>
      </c>
      <c r="R383" s="28">
        <f t="shared" si="2"/>
        <v>2</v>
      </c>
      <c r="S383" s="29">
        <f t="shared" si="3"/>
        <v>2357.06</v>
      </c>
      <c r="T383" s="28" t="str">
        <f>IFERROR(__xludf.DUMMYFUNCTION("PROPER(TRIM(
  LET(
    texto1, REGEXREPLACE(G383,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"),"Bernabé Colunga Cordero")</f>
        <v>Bernabé Colunga Cordero</v>
      </c>
      <c r="U383" s="28" t="str">
        <f t="shared" si="4"/>
        <v>a0229848-67ee-4a81-b13f-f722ded36349</v>
      </c>
      <c r="V383" s="30" t="str">
        <f t="shared" si="5"/>
        <v>Tablet Estándar 8GB</v>
      </c>
    </row>
    <row r="384" ht="15.75" customHeight="1">
      <c r="A384" s="36">
        <v>45363.0</v>
      </c>
      <c r="B384" s="2" t="s">
        <v>85</v>
      </c>
      <c r="C384" s="2" t="s">
        <v>65</v>
      </c>
      <c r="D384" s="7">
        <v>2196.48</v>
      </c>
      <c r="E384" s="2">
        <v>5.0</v>
      </c>
      <c r="F384" s="7">
        <v>10982.4</v>
      </c>
      <c r="G384" s="2" t="s">
        <v>1438</v>
      </c>
      <c r="H384" s="2" t="s">
        <v>1439</v>
      </c>
      <c r="I384" s="2" t="s">
        <v>1440</v>
      </c>
      <c r="K384" s="19" t="str">
        <f>IFERROR(__xludf.DUMMYFUNCTION("IF(ISBLANK(A384),
  """",
  IF(ISNUMBER(A384),
    TEXT(A384,""dd/mm/yyyy""),
    IF(
      REGEXMATCH(TRIM(A384),""^\d{1,2}/\d{1,2}/\d{4}$""),
      TRIM(A384),
      IFERROR(
        TEXT(DATEVALUE(SUBSTITUTE(SUBSTITUTE(TRIM(A384),""-"",""/""),""."",""/"&amp;""")),""dd/mm/yyyy""),
        TRIM(A384)
      )
    )
  )
)
"),"12/03/2024")</f>
        <v>12/03/2024</v>
      </c>
      <c r="L384" s="20">
        <v>45363.0</v>
      </c>
      <c r="M384" s="21" t="str">
        <f>IFERROR(__xludf.DUMMYFUNCTION("PROPER(TRIM(
  REGEXREPLACE(
    REGEXREPLACE(
      SUBSTITUTE(SUBSTITUTE(SUBSTITUTE(SUBSTITUTE(SUBSTITUTE(SUBSTITUTE(SUBSTITUTE(SUBSTITUTE(SUBSTITUTE(SUBSTITUTE(SUBSTITUTE(
        B384,""√©"",""é""),""√°"",""á""),""√±"",""ñ""),""√≥"",""ó""),""√â"",""é"&amp;"""),""√Å"",""á""),""√ç"",""í""),""√Ç"",""Í""),""√Â"",""é""),""√≠"",""í""),""√º"",""ú""),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84" s="22" t="str">
        <f>IFERROR(__xludf.DUMMYFUNCTION("SPLIT(
  TRIM(
    SUBSTITUTE(
      SUBSTITUTE(
        SUBSTITUTE(
          SUBSTITUTE(
            C384,
            ""√©"", ""é""
          ),
          ""√±"", ""ñ""
        ),
        ""√°"", ""á""
      ),
      ""√≥"", ""ó""
    )
  ),
  ""-""
)
"),"Auriculares")</f>
        <v>Auriculares</v>
      </c>
      <c r="O384" s="22" t="str">
        <f>IFERROR(__xludf.DUMMYFUNCTION("""COMPUTED_VALUE"""),"Bluetooth")</f>
        <v>Bluetooth</v>
      </c>
      <c r="P384" s="22" t="str">
        <f>IFERROR(__xludf.DUMMYFUNCTION("""COMPUTED_VALUE"""),"16GB")</f>
        <v>16GB</v>
      </c>
      <c r="Q384" s="23">
        <f t="shared" si="1"/>
        <v>2196.48</v>
      </c>
      <c r="R384" s="22">
        <f t="shared" si="2"/>
        <v>5</v>
      </c>
      <c r="S384" s="23">
        <f t="shared" si="3"/>
        <v>10982.4</v>
      </c>
      <c r="T384" s="22" t="str">
        <f>IFERROR(__xludf.DUMMYFUNCTION("PROPER(TRIM(
  LET(
    texto1, REGEXREPLACE(G384,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"),"Agustín Dalia Rojo")</f>
        <v>Agustín Dalia Rojo</v>
      </c>
      <c r="U384" s="22" t="str">
        <f t="shared" si="4"/>
        <v>c0cd7087-1cf5-4a4a-88c0-5880b8793c33</v>
      </c>
      <c r="V384" s="24" t="str">
        <f t="shared" si="5"/>
        <v>Auriculares Bluetooth 16GB</v>
      </c>
    </row>
    <row r="385" ht="15.75" customHeight="1">
      <c r="A385" s="36">
        <v>45514.0</v>
      </c>
      <c r="B385" s="2" t="s">
        <v>50</v>
      </c>
      <c r="C385" s="2" t="s">
        <v>147</v>
      </c>
      <c r="D385" s="7">
        <v>1527.82</v>
      </c>
      <c r="E385" s="2">
        <v>3.0</v>
      </c>
      <c r="F385" s="7">
        <v>4583.46</v>
      </c>
      <c r="G385" s="2" t="s">
        <v>1441</v>
      </c>
      <c r="H385" s="2" t="s">
        <v>1442</v>
      </c>
      <c r="I385" s="2" t="s">
        <v>1443</v>
      </c>
      <c r="K385" s="25" t="str">
        <f>IFERROR(__xludf.DUMMYFUNCTION("IF(ISBLANK(A385),
  """",
  IF(ISNUMBER(A385),
    TEXT(A385,""dd/mm/yyyy""),
    IF(
      REGEXMATCH(TRIM(A385),""^\d{1,2}/\d{1,2}/\d{4}$""),
      TRIM(A385),
      IFERROR(
        TEXT(DATEVALUE(SUBSTITUTE(SUBSTITUTE(TRIM(A385),""-"",""/""),""."",""/"&amp;""")),""dd/mm/yyyy""),
        TRIM(A385)
      )
    )
  )
)
"),"10/08/2024")</f>
        <v>10/08/2024</v>
      </c>
      <c r="L385" s="26">
        <v>45514.0</v>
      </c>
      <c r="M385" s="27" t="str">
        <f>IFERROR(__xludf.DUMMYFUNCTION("PROPER(TRIM(
  REGEXREPLACE(
    REGEXREPLACE(
      SUBSTITUTE(SUBSTITUTE(SUBSTITUTE(SUBSTITUTE(SUBSTITUTE(SUBSTITUTE(SUBSTITUTE(SUBSTITUTE(SUBSTITUTE(SUBSTITUTE(SUBSTITUTE(
        B385,""√©"",""é""),""√°"",""á""),""√±"",""ñ""),""√≥"",""ó""),""√â"",""é"&amp;"""),""√Å"",""á""),""√ç"",""í""),""√Ç"",""Í""),""√Â"",""é""),""√≠"",""í""),""√º"",""ú""),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85" s="28" t="str">
        <f>IFERROR(__xludf.DUMMYFUNCTION("SPLIT(
  TRIM(
    SUBSTITUTE(
      SUBSTITUTE(
        SUBSTITUTE(
          SUBSTITUTE(
            C385,
            ""√©"", ""é""
          ),
          ""√±"", ""ñ""
        ),
        ""√°"", ""á""
      ),
      ""√≥"", ""ó""
    )
  ),
  ""-""
)
"),"Laptop")</f>
        <v>Laptop</v>
      </c>
      <c r="O385" s="28" t="str">
        <f>IFERROR(__xludf.DUMMYFUNCTION("""COMPUTED_VALUE"""),"Oficina")</f>
        <v>Oficina</v>
      </c>
      <c r="P385" s="28" t="str">
        <f>IFERROR(__xludf.DUMMYFUNCTION("""COMPUTED_VALUE"""),"16GB")</f>
        <v>16GB</v>
      </c>
      <c r="Q385" s="29">
        <f t="shared" si="1"/>
        <v>1527.82</v>
      </c>
      <c r="R385" s="28">
        <f t="shared" si="2"/>
        <v>3</v>
      </c>
      <c r="S385" s="29">
        <f t="shared" si="3"/>
        <v>4583.46</v>
      </c>
      <c r="T385" s="28" t="str">
        <f>IFERROR(__xludf.DUMMYFUNCTION("PROPER(TRIM(
  LET(
    texto1, REGEXREPLACE(G385,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"),"Salma Rosas Pedroza")</f>
        <v>Salma Rosas Pedroza</v>
      </c>
      <c r="U385" s="28" t="str">
        <f t="shared" si="4"/>
        <v>21abf1f9-c019-42cc-a2fd-e17bdaa99242</v>
      </c>
      <c r="V385" s="30" t="str">
        <f t="shared" si="5"/>
        <v>Laptop Oficina 16GB</v>
      </c>
    </row>
    <row r="386" ht="15.75" customHeight="1">
      <c r="A386" s="36">
        <v>45515.0</v>
      </c>
      <c r="B386" s="2" t="s">
        <v>27</v>
      </c>
      <c r="C386" s="2" t="s">
        <v>226</v>
      </c>
      <c r="D386" s="7">
        <v>1213.49</v>
      </c>
      <c r="E386" s="2">
        <v>1.0</v>
      </c>
      <c r="F386" s="7">
        <v>1213.49</v>
      </c>
      <c r="G386" s="2" t="s">
        <v>1444</v>
      </c>
      <c r="H386" s="2" t="s">
        <v>1445</v>
      </c>
      <c r="I386" s="2" t="s">
        <v>1446</v>
      </c>
      <c r="K386" s="19" t="str">
        <f>IFERROR(__xludf.DUMMYFUNCTION("IF(ISBLANK(A386),
  """",
  IF(ISNUMBER(A386),
    TEXT(A386,""dd/mm/yyyy""),
    IF(
      REGEXMATCH(TRIM(A386),""^\d{1,2}/\d{1,2}/\d{4}$""),
      TRIM(A386),
      IFERROR(
        TEXT(DATEVALUE(SUBSTITUTE(SUBSTITUTE(TRIM(A386),""-"",""/""),""."",""/"&amp;""")),""dd/mm/yyyy""),
        TRIM(A386)
      )
    )
  )
)
"),"11/08/2024")</f>
        <v>11/08/2024</v>
      </c>
      <c r="L386" s="20">
        <v>45515.0</v>
      </c>
      <c r="M386" s="21" t="str">
        <f>IFERROR(__xludf.DUMMYFUNCTION("PROPER(TRIM(
  REGEXREPLACE(
    REGEXREPLACE(
      SUBSTITUTE(SUBSTITUTE(SUBSTITUTE(SUBSTITUTE(SUBSTITUTE(SUBSTITUTE(SUBSTITUTE(SUBSTITUTE(SUBSTITUTE(SUBSTITUTE(SUBSTITUTE(
        B386,""√©"",""é""),""√°"",""á""),""√±"",""ñ""),""√≥"",""ó""),""√â"",""é"&amp;"""),""√Å"",""á""),""√ç"",""í""),""√Ç"",""Í""),""√Â"",""é""),""√≠"",""í""),""√º"",""ú""),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386" s="22" t="str">
        <f>IFERROR(__xludf.DUMMYFUNCTION("SPLIT(
  TRIM(
    SUBSTITUTE(
      SUBSTITUTE(
        SUBSTITUTE(
          SUBSTITUTE(
            C386,
            ""√©"", ""é""
          ),
          ""√±"", ""ñ""
        ),
        ""√°"", ""á""
      ),
      ""√≥"", ""ó""
    )
  ),
  ""-""
)
"),"Tablet")</f>
        <v>Tablet</v>
      </c>
      <c r="O386" s="22" t="str">
        <f>IFERROR(__xludf.DUMMYFUNCTION("""COMPUTED_VALUE"""),"Mini")</f>
        <v>Mini</v>
      </c>
      <c r="P386" s="22" t="str">
        <f>IFERROR(__xludf.DUMMYFUNCTION("""COMPUTED_VALUE"""),"16GB")</f>
        <v>16GB</v>
      </c>
      <c r="Q386" s="23">
        <f t="shared" si="1"/>
        <v>1213.49</v>
      </c>
      <c r="R386" s="22">
        <f t="shared" si="2"/>
        <v>1</v>
      </c>
      <c r="S386" s="23">
        <f t="shared" si="3"/>
        <v>1213.49</v>
      </c>
      <c r="T386" s="22" t="str">
        <f>IFERROR(__xludf.DUMMYFUNCTION("PROPER(TRIM(
  LET(
    texto1, REGEXREPLACE(G386,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"),"Jaime Esmeralda Márquez Ayala")</f>
        <v>Jaime Esmeralda Márquez Ayala</v>
      </c>
      <c r="U386" s="22" t="str">
        <f t="shared" si="4"/>
        <v>6eb13480-9450-4caa-8024-32e6e36c12ab</v>
      </c>
      <c r="V386" s="24" t="str">
        <f t="shared" si="5"/>
        <v>Tablet Mini 16GB</v>
      </c>
    </row>
    <row r="387" ht="15.75" customHeight="1">
      <c r="A387" s="6">
        <v>45594.0</v>
      </c>
      <c r="B387" s="2" t="s">
        <v>16</v>
      </c>
      <c r="C387" s="2" t="s">
        <v>500</v>
      </c>
      <c r="D387" s="7">
        <v>288.29</v>
      </c>
      <c r="E387" s="2">
        <v>3.0</v>
      </c>
      <c r="F387" s="7">
        <v>864.87</v>
      </c>
      <c r="G387" s="2" t="s">
        <v>1447</v>
      </c>
      <c r="H387" s="2" t="s">
        <v>1448</v>
      </c>
      <c r="I387" s="2" t="s">
        <v>1449</v>
      </c>
      <c r="K387" s="25" t="str">
        <f>IFERROR(__xludf.DUMMYFUNCTION("IF(ISBLANK(A387),
  """",
  IF(ISNUMBER(A387),
    TEXT(A387,""dd/mm/yyyy""),
    IF(
      REGEXMATCH(TRIM(A387),""^\d{1,2}/\d{1,2}/\d{4}$""),
      TRIM(A387),
      IFERROR(
        TEXT(DATEVALUE(SUBSTITUTE(SUBSTITUTE(TRIM(A387),""-"",""/""),""."",""/"&amp;""")),""dd/mm/yyyy""),
        TRIM(A387)
      )
    )
  )
)
"),"29/10/2024")</f>
        <v>29/10/2024</v>
      </c>
      <c r="L387" s="26">
        <v>45594.0</v>
      </c>
      <c r="M387" s="27" t="str">
        <f>IFERROR(__xludf.DUMMYFUNCTION("PROPER(TRIM(
  REGEXREPLACE(
    REGEXREPLACE(
      SUBSTITUTE(SUBSTITUTE(SUBSTITUTE(SUBSTITUTE(SUBSTITUTE(SUBSTITUTE(SUBSTITUTE(SUBSTITUTE(SUBSTITUTE(SUBSTITUTE(SUBSTITUTE(
        B387,""√©"",""é""),""√°"",""á""),""√±"",""ñ""),""√≥"",""ó""),""√â"",""é"&amp;"""),""√Å"",""á""),""√ç"",""í""),""√Ç"",""Í""),""√Â"",""é""),""√≠"",""í""),""√º"",""ú""),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87" s="28" t="str">
        <f>IFERROR(__xludf.DUMMYFUNCTION("SPLIT(
  TRIM(
    SUBSTITUTE(
      SUBSTITUTE(
        SUBSTITUTE(
          SUBSTITUTE(
            C387,
            ""√©"", ""é""
          ),
          ""√±"", ""ñ""
        ),
        ""√°"", ""á""
      ),
      ""√≥"", ""ó""
    )
  ),
  ""-""
)
"),"Teléfono")</f>
        <v>Teléfono</v>
      </c>
      <c r="O387" s="28" t="str">
        <f>IFERROR(__xludf.DUMMYFUNCTION("""COMPUTED_VALUE"""),"Gama alta")</f>
        <v>Gama alta</v>
      </c>
      <c r="P387" s="28" t="str">
        <f>IFERROR(__xludf.DUMMYFUNCTION("""COMPUTED_VALUE"""),"32GB")</f>
        <v>32GB</v>
      </c>
      <c r="Q387" s="29">
        <f t="shared" si="1"/>
        <v>288.29</v>
      </c>
      <c r="R387" s="28">
        <f t="shared" si="2"/>
        <v>3</v>
      </c>
      <c r="S387" s="29">
        <f t="shared" si="3"/>
        <v>864.87</v>
      </c>
      <c r="T387" s="28" t="str">
        <f>IFERROR(__xludf.DUMMYFUNCTION("PROPER(TRIM(
  LET(
    texto1, REGEXREPLACE(G387,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"),"Paulina Garibay Gracia")</f>
        <v>Paulina Garibay Gracia</v>
      </c>
      <c r="U387" s="28" t="str">
        <f t="shared" si="4"/>
        <v>3c957274-31de-4637-8c46-828eb2c095e9</v>
      </c>
      <c r="V387" s="30" t="str">
        <f t="shared" si="5"/>
        <v>Teléfono Gama alta 32GB</v>
      </c>
    </row>
    <row r="388" ht="15.75" customHeight="1">
      <c r="A388" s="6">
        <v>45655.0</v>
      </c>
      <c r="B388" s="2" t="s">
        <v>85</v>
      </c>
      <c r="C388" s="2" t="s">
        <v>181</v>
      </c>
      <c r="D388" s="7">
        <v>1006.61</v>
      </c>
      <c r="E388" s="2">
        <v>4.0</v>
      </c>
      <c r="F388" s="7">
        <v>4026.44</v>
      </c>
      <c r="G388" s="2" t="s">
        <v>1450</v>
      </c>
      <c r="H388" s="2" t="s">
        <v>1451</v>
      </c>
      <c r="I388" s="2" t="s">
        <v>1452</v>
      </c>
      <c r="K388" s="19" t="str">
        <f>IFERROR(__xludf.DUMMYFUNCTION("IF(ISBLANK(A388),
  """",
  IF(ISNUMBER(A388),
    TEXT(A388,""dd/mm/yyyy""),
    IF(
      REGEXMATCH(TRIM(A388),""^\d{1,2}/\d{1,2}/\d{4}$""),
      TRIM(A388),
      IFERROR(
        TEXT(DATEVALUE(SUBSTITUTE(SUBSTITUTE(TRIM(A388),""-"",""/""),""."",""/"&amp;""")),""dd/mm/yyyy""),
        TRIM(A388)
      )
    )
  )
)
"),"29/12/2024")</f>
        <v>29/12/2024</v>
      </c>
      <c r="L388" s="20">
        <v>45655.0</v>
      </c>
      <c r="M388" s="21" t="str">
        <f>IFERROR(__xludf.DUMMYFUNCTION("PROPER(TRIM(
  REGEXREPLACE(
    REGEXREPLACE(
      SUBSTITUTE(SUBSTITUTE(SUBSTITUTE(SUBSTITUTE(SUBSTITUTE(SUBSTITUTE(SUBSTITUTE(SUBSTITUTE(SUBSTITUTE(SUBSTITUTE(SUBSTITUTE(
        B388,""√©"",""é""),""√°"",""á""),""√±"",""ñ""),""√≥"",""ó""),""√â"",""é"&amp;"""),""√Å"",""á""),""√ç"",""í""),""√Ç"",""Í""),""√Â"",""é""),""√≠"",""í""),""√º"",""ú""),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388" s="22" t="str">
        <f>IFERROR(__xludf.DUMMYFUNCTION("SPLIT(
  TRIM(
    SUBSTITUTE(
      SUBSTITUTE(
        SUBSTITUTE(
          SUBSTITUTE(
            C388,
            ""√©"", ""é""
          ),
          ""√±"", ""ñ""
        ),
        ""√°"", ""á""
      ),
      ""√≥"", ""ó""
    )
  ),
  ""-""
)
"),"Laptop")</f>
        <v>Laptop</v>
      </c>
      <c r="O388" s="22" t="str">
        <f>IFERROR(__xludf.DUMMYFUNCTION("""COMPUTED_VALUE"""),"Ultraliviana")</f>
        <v>Ultraliviana</v>
      </c>
      <c r="P388" s="22" t="str">
        <f>IFERROR(__xludf.DUMMYFUNCTION("""COMPUTED_VALUE"""),"4GB")</f>
        <v>4GB</v>
      </c>
      <c r="Q388" s="23">
        <f t="shared" si="1"/>
        <v>1006.61</v>
      </c>
      <c r="R388" s="22">
        <f t="shared" si="2"/>
        <v>4</v>
      </c>
      <c r="S388" s="23">
        <f t="shared" si="3"/>
        <v>4026.44</v>
      </c>
      <c r="T388" s="22" t="str">
        <f>IFERROR(__xludf.DUMMYFUNCTION("PROPER(TRIM(
  LET(
    texto1, REGEXREPLACE(G388,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"),"Zeferino León")</f>
        <v>Zeferino León</v>
      </c>
      <c r="U388" s="22" t="str">
        <f t="shared" si="4"/>
        <v>b7681cb8-fbde-4312-ba1b-0c772e149e82</v>
      </c>
      <c r="V388" s="24" t="str">
        <f t="shared" si="5"/>
        <v>Laptop Ultraliviana 4GB</v>
      </c>
    </row>
    <row r="389" ht="15.75" customHeight="1">
      <c r="A389" s="36">
        <v>45363.0</v>
      </c>
      <c r="B389" s="2" t="s">
        <v>101</v>
      </c>
      <c r="C389" s="2" t="s">
        <v>226</v>
      </c>
      <c r="D389" s="7">
        <v>1388.37</v>
      </c>
      <c r="E389" s="2">
        <v>3.0</v>
      </c>
      <c r="F389" s="7">
        <v>4165.11</v>
      </c>
      <c r="G389" s="2" t="s">
        <v>1453</v>
      </c>
      <c r="H389" s="2" t="s">
        <v>1454</v>
      </c>
      <c r="I389" s="2" t="s">
        <v>1455</v>
      </c>
      <c r="K389" s="25" t="str">
        <f>IFERROR(__xludf.DUMMYFUNCTION("IF(ISBLANK(A389),
  """",
  IF(ISNUMBER(A389),
    TEXT(A389,""dd/mm/yyyy""),
    IF(
      REGEXMATCH(TRIM(A389),""^\d{1,2}/\d{1,2}/\d{4}$""),
      TRIM(A389),
      IFERROR(
        TEXT(DATEVALUE(SUBSTITUTE(SUBSTITUTE(TRIM(A389),""-"",""/""),""."",""/"&amp;""")),""dd/mm/yyyy""),
        TRIM(A389)
      )
    )
  )
)
"),"12/03/2024")</f>
        <v>12/03/2024</v>
      </c>
      <c r="L389" s="26">
        <v>45363.0</v>
      </c>
      <c r="M389" s="27" t="str">
        <f>IFERROR(__xludf.DUMMYFUNCTION("PROPER(TRIM(
  REGEXREPLACE(
    REGEXREPLACE(
      SUBSTITUTE(SUBSTITUTE(SUBSTITUTE(SUBSTITUTE(SUBSTITUTE(SUBSTITUTE(SUBSTITUTE(SUBSTITUTE(SUBSTITUTE(SUBSTITUTE(SUBSTITUTE(
        B389,""√©"",""é""),""√°"",""á""),""√±"",""ñ""),""√≥"",""ó""),""√â"",""é"&amp;"""),""√Å"",""á""),""√ç"",""í""),""√Ç"",""Í""),""√Â"",""é""),""√≠"",""í""),""√º"",""ú""),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89" s="28" t="str">
        <f>IFERROR(__xludf.DUMMYFUNCTION("SPLIT(
  TRIM(
    SUBSTITUTE(
      SUBSTITUTE(
        SUBSTITUTE(
          SUBSTITUTE(
            C389,
            ""√©"", ""é""
          ),
          ""√±"", ""ñ""
        ),
        ""√°"", ""á""
      ),
      ""√≥"", ""ó""
    )
  ),
  ""-""
)
"),"Tablet")</f>
        <v>Tablet</v>
      </c>
      <c r="O389" s="28" t="str">
        <f>IFERROR(__xludf.DUMMYFUNCTION("""COMPUTED_VALUE"""),"Mini")</f>
        <v>Mini</v>
      </c>
      <c r="P389" s="28" t="str">
        <f>IFERROR(__xludf.DUMMYFUNCTION("""COMPUTED_VALUE"""),"16GB")</f>
        <v>16GB</v>
      </c>
      <c r="Q389" s="29">
        <f t="shared" si="1"/>
        <v>1388.37</v>
      </c>
      <c r="R389" s="28">
        <f t="shared" si="2"/>
        <v>3</v>
      </c>
      <c r="S389" s="29">
        <f t="shared" si="3"/>
        <v>4165.11</v>
      </c>
      <c r="T389" s="28" t="str">
        <f>IFERROR(__xludf.DUMMYFUNCTION("PROPER(TRIM(
  LET(
    texto1, REGEXREPLACE(G389,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"),"Concepción Colunga")</f>
        <v>Concepción Colunga</v>
      </c>
      <c r="U389" s="28" t="str">
        <f t="shared" si="4"/>
        <v>b1d25534-830a-470d-a41f-2a8ac404b047</v>
      </c>
      <c r="V389" s="30" t="str">
        <f t="shared" si="5"/>
        <v>Tablet Mini 16GB</v>
      </c>
    </row>
    <row r="390" ht="15.75" customHeight="1">
      <c r="A390" s="36">
        <v>45606.0</v>
      </c>
      <c r="B390" s="2" t="s">
        <v>38</v>
      </c>
      <c r="C390" s="2" t="s">
        <v>80</v>
      </c>
      <c r="D390" s="7">
        <v>2114.99</v>
      </c>
      <c r="E390" s="2">
        <v>1.0</v>
      </c>
      <c r="F390" s="7">
        <v>2114.99</v>
      </c>
      <c r="G390" s="2" t="s">
        <v>1456</v>
      </c>
      <c r="H390" s="2" t="s">
        <v>1457</v>
      </c>
      <c r="I390" s="2" t="s">
        <v>1458</v>
      </c>
      <c r="K390" s="19" t="str">
        <f>IFERROR(__xludf.DUMMYFUNCTION("IF(ISBLANK(A390),
  """",
  IF(ISNUMBER(A390),
    TEXT(A390,""dd/mm/yyyy""),
    IF(
      REGEXMATCH(TRIM(A390),""^\d{1,2}/\d{1,2}/\d{4}$""),
      TRIM(A390),
      IFERROR(
        TEXT(DATEVALUE(SUBSTITUTE(SUBSTITUTE(TRIM(A390),""-"",""/""),""."",""/"&amp;""")),""dd/mm/yyyy""),
        TRIM(A390)
      )
    )
  )
)
"),"10/11/2024")</f>
        <v>10/11/2024</v>
      </c>
      <c r="L390" s="20">
        <v>45606.0</v>
      </c>
      <c r="M390" s="21" t="str">
        <f>IFERROR(__xludf.DUMMYFUNCTION("PROPER(TRIM(
  REGEXREPLACE(
    REGEXREPLACE(
      SUBSTITUTE(SUBSTITUTE(SUBSTITUTE(SUBSTITUTE(SUBSTITUTE(SUBSTITUTE(SUBSTITUTE(SUBSTITUTE(SUBSTITUTE(SUBSTITUTE(SUBSTITUTE(
        B390,""√©"",""é""),""√°"",""á""),""√±"",""ñ""),""√≥"",""ó""),""√â"",""é"&amp;"""),""√Å"",""á""),""√ç"",""í""),""√Ç"",""Í""),""√Â"",""é""),""√≠"",""í""),""√º"",""ú""),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90" s="22" t="str">
        <f>IFERROR(__xludf.DUMMYFUNCTION("SPLIT(
  TRIM(
    SUBSTITUTE(
      SUBSTITUTE(
        SUBSTITUTE(
          SUBSTITUTE(
            C390,
            ""√©"", ""é""
          ),
          ""√±"", ""ñ""
        ),
        ""√°"", ""á""
      ),
      ""√≥"", ""ó""
    )
  ),
  ""-""
)
"),"Teléfono")</f>
        <v>Teléfono</v>
      </c>
      <c r="O390" s="22" t="str">
        <f>IFERROR(__xludf.DUMMYFUNCTION("""COMPUTED_VALUE"""),"Gama baja")</f>
        <v>Gama baja</v>
      </c>
      <c r="P390" s="22" t="str">
        <f>IFERROR(__xludf.DUMMYFUNCTION("""COMPUTED_VALUE"""),"16GB")</f>
        <v>16GB</v>
      </c>
      <c r="Q390" s="23">
        <f t="shared" si="1"/>
        <v>2114.99</v>
      </c>
      <c r="R390" s="22">
        <f t="shared" si="2"/>
        <v>1</v>
      </c>
      <c r="S390" s="23">
        <f t="shared" si="3"/>
        <v>2114.99</v>
      </c>
      <c r="T390" s="22" t="str">
        <f>IFERROR(__xludf.DUMMYFUNCTION("PROPER(TRIM(
  LET(
    texto1, REGEXREPLACE(G390,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"),"Pedro Jasso")</f>
        <v>Pedro Jasso</v>
      </c>
      <c r="U390" s="22" t="str">
        <f t="shared" si="4"/>
        <v>dd6c8ba4-bdce-4e89-8a25-248a85e34e96</v>
      </c>
      <c r="V390" s="24" t="str">
        <f t="shared" si="5"/>
        <v>Teléfono Gama baja 16GB</v>
      </c>
    </row>
    <row r="391" ht="15.75" customHeight="1">
      <c r="A391" s="6">
        <v>45643.0</v>
      </c>
      <c r="B391" s="2" t="s">
        <v>38</v>
      </c>
      <c r="C391" s="2" t="s">
        <v>96</v>
      </c>
      <c r="D391" s="7">
        <v>1627.59</v>
      </c>
      <c r="E391" s="2">
        <v>1.0</v>
      </c>
      <c r="F391" s="7">
        <v>1627.59</v>
      </c>
      <c r="G391" s="2" t="s">
        <v>1459</v>
      </c>
      <c r="H391" s="2" t="s">
        <v>1460</v>
      </c>
      <c r="I391" s="2" t="s">
        <v>1461</v>
      </c>
      <c r="K391" s="25" t="str">
        <f>IFERROR(__xludf.DUMMYFUNCTION("IF(ISBLANK(A391),
  """",
  IF(ISNUMBER(A391),
    TEXT(A391,""dd/mm/yyyy""),
    IF(
      REGEXMATCH(TRIM(A391),""^\d{1,2}/\d{1,2}/\d{4}$""),
      TRIM(A391),
      IFERROR(
        TEXT(DATEVALUE(SUBSTITUTE(SUBSTITUTE(TRIM(A391),""-"",""/""),""."",""/"&amp;""")),""dd/mm/yyyy""),
        TRIM(A391)
      )
    )
  )
)
"),"17/12/2024")</f>
        <v>17/12/2024</v>
      </c>
      <c r="L391" s="26">
        <v>45643.0</v>
      </c>
      <c r="M391" s="27" t="str">
        <f>IFERROR(__xludf.DUMMYFUNCTION("PROPER(TRIM(
  REGEXREPLACE(
    REGEXREPLACE(
      SUBSTITUTE(SUBSTITUTE(SUBSTITUTE(SUBSTITUTE(SUBSTITUTE(SUBSTITUTE(SUBSTITUTE(SUBSTITUTE(SUBSTITUTE(SUBSTITUTE(SUBSTITUTE(
        B391,""√©"",""é""),""√°"",""á""),""√±"",""ñ""),""√≥"",""ó""),""√â"",""é"&amp;"""),""√Å"",""á""),""√ç"",""í""),""√Ç"",""Í""),""√Â"",""é""),""√≠"",""í""),""√º"",""ú""),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91" s="28" t="str">
        <f>IFERROR(__xludf.DUMMYFUNCTION("SPLIT(
  TRIM(
    SUBSTITUTE(
      SUBSTITUTE(
        SUBSTITUTE(
          SUBSTITUTE(
            C391,
            ""√©"", ""é""
          ),
          ""√±"", ""ñ""
        ),
        ""√°"", ""á""
      ),
      ""√≥"", ""ó""
    )
  ),
  ""-""
)
"),"Auriculares")</f>
        <v>Auriculares</v>
      </c>
      <c r="O391" s="28" t="str">
        <f>IFERROR(__xludf.DUMMYFUNCTION("""COMPUTED_VALUE"""),"Cancelación de ruido")</f>
        <v>Cancelación de ruido</v>
      </c>
      <c r="P391" s="28" t="str">
        <f>IFERROR(__xludf.DUMMYFUNCTION("""COMPUTED_VALUE"""),"4GB")</f>
        <v>4GB</v>
      </c>
      <c r="Q391" s="29">
        <f t="shared" si="1"/>
        <v>1627.59</v>
      </c>
      <c r="R391" s="28">
        <f t="shared" si="2"/>
        <v>1</v>
      </c>
      <c r="S391" s="29">
        <f t="shared" si="3"/>
        <v>1627.59</v>
      </c>
      <c r="T391" s="28" t="str">
        <f>IFERROR(__xludf.DUMMYFUNCTION("PROPER(TRIM(
  LET(
    texto1, REGEXREPLACE(G391,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"),"Blanca Juan Carlos Sisneros")</f>
        <v>Blanca Juan Carlos Sisneros</v>
      </c>
      <c r="U391" s="28" t="str">
        <f t="shared" si="4"/>
        <v>1a8c7e9d-606f-43dc-9e8a-38707414cb60</v>
      </c>
      <c r="V391" s="30" t="str">
        <f t="shared" si="5"/>
        <v>Auriculares Cancelación de ruido 4GB</v>
      </c>
    </row>
    <row r="392" ht="15.75" customHeight="1">
      <c r="A392" s="36">
        <v>45332.0</v>
      </c>
      <c r="B392" s="2" t="s">
        <v>16</v>
      </c>
      <c r="C392" s="2" t="s">
        <v>86</v>
      </c>
      <c r="D392" s="7">
        <v>1385.54</v>
      </c>
      <c r="E392" s="2">
        <v>2.0</v>
      </c>
      <c r="F392" s="7">
        <v>2771.08</v>
      </c>
      <c r="G392" s="2" t="s">
        <v>1463</v>
      </c>
      <c r="H392" s="2" t="s">
        <v>1464</v>
      </c>
      <c r="I392" s="2" t="s">
        <v>1465</v>
      </c>
      <c r="K392" s="19" t="str">
        <f>IFERROR(__xludf.DUMMYFUNCTION("IF(ISBLANK(A392),
  """",
  IF(ISNUMBER(A392),
    TEXT(A392,""dd/mm/yyyy""),
    IF(
      REGEXMATCH(TRIM(A392),""^\d{1,2}/\d{1,2}/\d{4}$""),
      TRIM(A392),
      IFERROR(
        TEXT(DATEVALUE(SUBSTITUTE(SUBSTITUTE(TRIM(A392),""-"",""/""),""."",""/"&amp;""")),""dd/mm/yyyy""),
        TRIM(A392)
      )
    )
  )
)
"),"10/02/2024")</f>
        <v>10/02/2024</v>
      </c>
      <c r="L392" s="20">
        <v>45332.0</v>
      </c>
      <c r="M392" s="21" t="str">
        <f>IFERROR(__xludf.DUMMYFUNCTION("PROPER(TRIM(
  REGEXREPLACE(
    REGEXREPLACE(
      SUBSTITUTE(SUBSTITUTE(SUBSTITUTE(SUBSTITUTE(SUBSTITUTE(SUBSTITUTE(SUBSTITUTE(SUBSTITUTE(SUBSTITUTE(SUBSTITUTE(SUBSTITUTE(
        B392,""√©"",""é""),""√°"",""á""),""√±"",""ñ""),""√≥"",""ó""),""√â"",""é"&amp;"""),""√Å"",""á""),""√ç"",""í""),""√Ç"",""Í""),""√Â"",""é""),""√≠"",""í""),""√º"",""ú""),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92" s="22" t="str">
        <f>IFERROR(__xludf.DUMMYFUNCTION("SPLIT(
  TRIM(
    SUBSTITUTE(
      SUBSTITUTE(
        SUBSTITUTE(
          SUBSTITUTE(
            C392,
            ""√©"", ""é""
          ),
          ""√±"", ""ñ""
        ),
        ""√°"", ""á""
      ),
      ""√≥"", ""ó""
    )
  ),
  ""-""
)
"),"Tablet")</f>
        <v>Tablet</v>
      </c>
      <c r="O392" s="22" t="str">
        <f>IFERROR(__xludf.DUMMYFUNCTION("""COMPUTED_VALUE"""),"Pro")</f>
        <v>Pro</v>
      </c>
      <c r="P392" s="22" t="str">
        <f>IFERROR(__xludf.DUMMYFUNCTION("""COMPUTED_VALUE"""),"32GB")</f>
        <v>32GB</v>
      </c>
      <c r="Q392" s="23">
        <f t="shared" si="1"/>
        <v>1385.54</v>
      </c>
      <c r="R392" s="22">
        <f t="shared" si="2"/>
        <v>2</v>
      </c>
      <c r="S392" s="23">
        <f t="shared" si="3"/>
        <v>2771.08</v>
      </c>
      <c r="T392" s="22" t="str">
        <f>IFERROR(__xludf.DUMMYFUNCTION("PROPER(TRIM(
  LET(
    texto1, REGEXREPLACE(G392,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Cristina Bernal")</f>
        <v>María Cristina Bernal</v>
      </c>
      <c r="U392" s="22" t="str">
        <f t="shared" si="4"/>
        <v>9fea2180-a947-4e2f-b6c9-5371f9bac38e</v>
      </c>
      <c r="V392" s="24" t="str">
        <f t="shared" si="5"/>
        <v>Tablet Pro 32GB</v>
      </c>
    </row>
    <row r="393" ht="15.75" customHeight="1">
      <c r="A393" s="6">
        <v>45594.0</v>
      </c>
      <c r="B393" s="2" t="s">
        <v>38</v>
      </c>
      <c r="C393" s="2" t="s">
        <v>45</v>
      </c>
      <c r="D393" s="7">
        <v>1164.32</v>
      </c>
      <c r="E393" s="2">
        <v>3.0</v>
      </c>
      <c r="F393" s="7">
        <v>3492.96</v>
      </c>
      <c r="G393" s="2" t="s">
        <v>1466</v>
      </c>
      <c r="H393" s="2" t="s">
        <v>1467</v>
      </c>
      <c r="I393" s="2" t="s">
        <v>1468</v>
      </c>
      <c r="K393" s="25" t="str">
        <f>IFERROR(__xludf.DUMMYFUNCTION("IF(ISBLANK(A393),
  """",
  IF(ISNUMBER(A393),
    TEXT(A393,""dd/mm/yyyy""),
    IF(
      REGEXMATCH(TRIM(A393),""^\d{1,2}/\d{1,2}/\d{4}$""),
      TRIM(A393),
      IFERROR(
        TEXT(DATEVALUE(SUBSTITUTE(SUBSTITUTE(TRIM(A393),""-"",""/""),""."",""/"&amp;""")),""dd/mm/yyyy""),
        TRIM(A393)
      )
    )
  )
)
"),"29/10/2024")</f>
        <v>29/10/2024</v>
      </c>
      <c r="L393" s="26">
        <v>45594.0</v>
      </c>
      <c r="M393" s="27" t="str">
        <f>IFERROR(__xludf.DUMMYFUNCTION("PROPER(TRIM(
  REGEXREPLACE(
    REGEXREPLACE(
      SUBSTITUTE(SUBSTITUTE(SUBSTITUTE(SUBSTITUTE(SUBSTITUTE(SUBSTITUTE(SUBSTITUTE(SUBSTITUTE(SUBSTITUTE(SUBSTITUTE(SUBSTITUTE(
        B393,""√©"",""é""),""√°"",""á""),""√±"",""ñ""),""√≥"",""ó""),""√â"",""é"&amp;"""),""√Å"",""á""),""√ç"",""í""),""√Ç"",""Í""),""√Â"",""é""),""√≠"",""í""),""√º"",""ú""),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93" s="28" t="str">
        <f>IFERROR(__xludf.DUMMYFUNCTION("SPLIT(
  TRIM(
    SUBSTITUTE(
      SUBSTITUTE(
        SUBSTITUTE(
          SUBSTITUTE(
            C393,
            ""√©"", ""é""
          ),
          ""√±"", ""ñ""
        ),
        ""√°"", ""á""
      ),
      ""√≥"", ""ó""
    )
  ),
  ""-""
)
"),"Tablet")</f>
        <v>Tablet</v>
      </c>
      <c r="O393" s="28" t="str">
        <f>IFERROR(__xludf.DUMMYFUNCTION("""COMPUTED_VALUE"""),"Mini")</f>
        <v>Mini</v>
      </c>
      <c r="P393" s="28" t="str">
        <f>IFERROR(__xludf.DUMMYFUNCTION("""COMPUTED_VALUE"""),"4GB")</f>
        <v>4GB</v>
      </c>
      <c r="Q393" s="29">
        <f t="shared" si="1"/>
        <v>1164.32</v>
      </c>
      <c r="R393" s="28">
        <f t="shared" si="2"/>
        <v>3</v>
      </c>
      <c r="S393" s="29">
        <f t="shared" si="3"/>
        <v>3492.96</v>
      </c>
      <c r="T393" s="28" t="str">
        <f>IFERROR(__xludf.DUMMYFUNCTION("PROPER(TRIM(
  LET(
    texto1, REGEXREPLACE(G393,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"),"Olga Evelio Solorio")</f>
        <v>Olga Evelio Solorio</v>
      </c>
      <c r="U393" s="28" t="str">
        <f t="shared" si="4"/>
        <v>a54ade2d-7062-4dcd-a41a-a92c117729ad</v>
      </c>
      <c r="V393" s="30" t="str">
        <f t="shared" si="5"/>
        <v>Tablet Mini 4GB</v>
      </c>
    </row>
    <row r="394" ht="15.75" customHeight="1">
      <c r="A394" s="36">
        <v>45606.0</v>
      </c>
      <c r="B394" s="2" t="s">
        <v>50</v>
      </c>
      <c r="C394" s="2" t="s">
        <v>500</v>
      </c>
      <c r="D394" s="7">
        <v>169.2</v>
      </c>
      <c r="E394" s="2">
        <v>3.0</v>
      </c>
      <c r="F394" s="7">
        <v>507.6</v>
      </c>
      <c r="G394" s="2" t="s">
        <v>1469</v>
      </c>
      <c r="H394" s="2" t="s">
        <v>1470</v>
      </c>
      <c r="I394" s="2" t="s">
        <v>1471</v>
      </c>
      <c r="K394" s="19" t="str">
        <f>IFERROR(__xludf.DUMMYFUNCTION("IF(ISBLANK(A394),
  """",
  IF(ISNUMBER(A394),
    TEXT(A394,""dd/mm/yyyy""),
    IF(
      REGEXMATCH(TRIM(A394),""^\d{1,2}/\d{1,2}/\d{4}$""),
      TRIM(A394),
      IFERROR(
        TEXT(DATEVALUE(SUBSTITUTE(SUBSTITUTE(TRIM(A394),""-"",""/""),""."",""/"&amp;""")),""dd/mm/yyyy""),
        TRIM(A394)
      )
    )
  )
)
"),"10/11/2024")</f>
        <v>10/11/2024</v>
      </c>
      <c r="L394" s="20">
        <v>45606.0</v>
      </c>
      <c r="M394" s="21" t="str">
        <f>IFERROR(__xludf.DUMMYFUNCTION("PROPER(TRIM(
  REGEXREPLACE(
    REGEXREPLACE(
      SUBSTITUTE(SUBSTITUTE(SUBSTITUTE(SUBSTITUTE(SUBSTITUTE(SUBSTITUTE(SUBSTITUTE(SUBSTITUTE(SUBSTITUTE(SUBSTITUTE(SUBSTITUTE(
        B394,""√©"",""é""),""√°"",""á""),""√±"",""ñ""),""√≥"",""ó""),""√â"",""é"&amp;"""),""√Å"",""á""),""√ç"",""í""),""√Ç"",""Í""),""√Â"",""é""),""√≠"",""í""),""√º"",""ú""),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94" s="22" t="str">
        <f>IFERROR(__xludf.DUMMYFUNCTION("SPLIT(
  TRIM(
    SUBSTITUTE(
      SUBSTITUTE(
        SUBSTITUTE(
          SUBSTITUTE(
            C394,
            ""√©"", ""é""
          ),
          ""√±"", ""ñ""
        ),
        ""√°"", ""á""
      ),
      ""√≥"", ""ó""
    )
  ),
  ""-""
)
"),"Teléfono")</f>
        <v>Teléfono</v>
      </c>
      <c r="O394" s="22" t="str">
        <f>IFERROR(__xludf.DUMMYFUNCTION("""COMPUTED_VALUE"""),"Gama alta")</f>
        <v>Gama alta</v>
      </c>
      <c r="P394" s="22" t="str">
        <f>IFERROR(__xludf.DUMMYFUNCTION("""COMPUTED_VALUE"""),"32GB")</f>
        <v>32GB</v>
      </c>
      <c r="Q394" s="23">
        <f t="shared" si="1"/>
        <v>169.2</v>
      </c>
      <c r="R394" s="22">
        <f t="shared" si="2"/>
        <v>3</v>
      </c>
      <c r="S394" s="23">
        <f t="shared" si="3"/>
        <v>507.6</v>
      </c>
      <c r="T394" s="22" t="str">
        <f>IFERROR(__xludf.DUMMYFUNCTION("PROPER(TRIM(
  LET(
    texto1, REGEXREPLACE(G394,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"),"Patricia Feliciano")</f>
        <v>Patricia Feliciano</v>
      </c>
      <c r="U394" s="22" t="str">
        <f t="shared" si="4"/>
        <v>b9c6fc20-68c7-453f-b881-23c480cd6bd2</v>
      </c>
      <c r="V394" s="24" t="str">
        <f t="shared" si="5"/>
        <v>Teléfono Gama alta 32GB</v>
      </c>
    </row>
    <row r="395" ht="15.75" customHeight="1">
      <c r="A395" s="6">
        <v>45615.0</v>
      </c>
      <c r="B395" s="2" t="s">
        <v>50</v>
      </c>
      <c r="C395" s="2" t="s">
        <v>311</v>
      </c>
      <c r="D395" s="7">
        <v>1057.56</v>
      </c>
      <c r="E395" s="2">
        <v>5.0</v>
      </c>
      <c r="F395" s="7">
        <v>5287.8</v>
      </c>
      <c r="G395" s="2" t="s">
        <v>1472</v>
      </c>
      <c r="H395" s="2" t="s">
        <v>1473</v>
      </c>
      <c r="I395" s="2" t="s">
        <v>1474</v>
      </c>
      <c r="K395" s="25" t="str">
        <f>IFERROR(__xludf.DUMMYFUNCTION("IF(ISBLANK(A395),
  """",
  IF(ISNUMBER(A395),
    TEXT(A395,""dd/mm/yyyy""),
    IF(
      REGEXMATCH(TRIM(A395),""^\d{1,2}/\d{1,2}/\d{4}$""),
      TRIM(A395),
      IFERROR(
        TEXT(DATEVALUE(SUBSTITUTE(SUBSTITUTE(TRIM(A395),""-"",""/""),""."",""/"&amp;""")),""dd/mm/yyyy""),
        TRIM(A395)
      )
    )
  )
)
"),"19/11/2024")</f>
        <v>19/11/2024</v>
      </c>
      <c r="L395" s="26">
        <v>45615.0</v>
      </c>
      <c r="M395" s="27" t="str">
        <f>IFERROR(__xludf.DUMMYFUNCTION("PROPER(TRIM(
  REGEXREPLACE(
    REGEXREPLACE(
      SUBSTITUTE(SUBSTITUTE(SUBSTITUTE(SUBSTITUTE(SUBSTITUTE(SUBSTITUTE(SUBSTITUTE(SUBSTITUTE(SUBSTITUTE(SUBSTITUTE(SUBSTITUTE(
        B395,""√©"",""é""),""√°"",""á""),""√±"",""ñ""),""√≥"",""ó""),""√â"",""é"&amp;"""),""√Å"",""á""),""√ç"",""í""),""√Ç"",""Í""),""√Â"",""é""),""√≠"",""í""),""√º"",""ú""),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395" s="28" t="str">
        <f>IFERROR(__xludf.DUMMYFUNCTION("SPLIT(
  TRIM(
    SUBSTITUTE(
      SUBSTITUTE(
        SUBSTITUTE(
          SUBSTITUTE(
            C395,
            ""√©"", ""é""
          ),
          ""√±"", ""ñ""
        ),
        ""√°"", ""á""
      ),
      ""√≥"", ""ó""
    )
  ),
  ""-""
)
"),"Laptop")</f>
        <v>Laptop</v>
      </c>
      <c r="O395" s="28" t="str">
        <f>IFERROR(__xludf.DUMMYFUNCTION("""COMPUTED_VALUE"""),"Oficina")</f>
        <v>Oficina</v>
      </c>
      <c r="P395" s="28" t="str">
        <f>IFERROR(__xludf.DUMMYFUNCTION("""COMPUTED_VALUE"""),"4GB")</f>
        <v>4GB</v>
      </c>
      <c r="Q395" s="29">
        <f t="shared" si="1"/>
        <v>1057.56</v>
      </c>
      <c r="R395" s="28">
        <f t="shared" si="2"/>
        <v>5</v>
      </c>
      <c r="S395" s="29">
        <f t="shared" si="3"/>
        <v>5287.8</v>
      </c>
      <c r="T395" s="28" t="str">
        <f>IFERROR(__xludf.DUMMYFUNCTION("PROPER(TRIM(
  LET(
    texto1, REGEXREPLACE(G395,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Benito Ramos Galván")</f>
        <v>Diego Benito Ramos Galván</v>
      </c>
      <c r="U395" s="28" t="str">
        <f t="shared" si="4"/>
        <v>557a8a9d-fb81-41f2-9c1e-7c5651463eae</v>
      </c>
      <c r="V395" s="30" t="str">
        <f t="shared" si="5"/>
        <v>Laptop Oficina 4GB</v>
      </c>
    </row>
    <row r="396" ht="15.75" customHeight="1">
      <c r="A396" s="6">
        <v>45648.0</v>
      </c>
      <c r="B396" s="2" t="s">
        <v>101</v>
      </c>
      <c r="C396" s="2" t="s">
        <v>397</v>
      </c>
      <c r="D396" s="7">
        <v>1567.55</v>
      </c>
      <c r="E396" s="2">
        <v>3.0</v>
      </c>
      <c r="F396" s="7">
        <v>4702.65</v>
      </c>
      <c r="G396" s="2" t="s">
        <v>1475</v>
      </c>
      <c r="H396" s="2" t="s">
        <v>1476</v>
      </c>
      <c r="I396" s="2" t="s">
        <v>1477</v>
      </c>
      <c r="K396" s="19" t="str">
        <f>IFERROR(__xludf.DUMMYFUNCTION("IF(ISBLANK(A396),
  """",
  IF(ISNUMBER(A396),
    TEXT(A396,""dd/mm/yyyy""),
    IF(
      REGEXMATCH(TRIM(A396),""^\d{1,2}/\d{1,2}/\d{4}$""),
      TRIM(A396),
      IFERROR(
        TEXT(DATEVALUE(SUBSTITUTE(SUBSTITUTE(TRIM(A396),""-"",""/""),""."",""/"&amp;""")),""dd/mm/yyyy""),
        TRIM(A396)
      )
    )
  )
)
"),"22/12/2024")</f>
        <v>22/12/2024</v>
      </c>
      <c r="L396" s="20">
        <v>45648.0</v>
      </c>
      <c r="M396" s="21" t="str">
        <f>IFERROR(__xludf.DUMMYFUNCTION("PROPER(TRIM(
  REGEXREPLACE(
    REGEXREPLACE(
      SUBSTITUTE(SUBSTITUTE(SUBSTITUTE(SUBSTITUTE(SUBSTITUTE(SUBSTITUTE(SUBSTITUTE(SUBSTITUTE(SUBSTITUTE(SUBSTITUTE(SUBSTITUTE(
        B396,""√©"",""é""),""√°"",""á""),""√±"",""ñ""),""√≥"",""ó""),""√â"",""é"&amp;"""),""√Å"",""á""),""√ç"",""í""),""√Ç"",""Í""),""√Â"",""é""),""√≠"",""í""),""√º"",""ú""),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396" s="22" t="str">
        <f>IFERROR(__xludf.DUMMYFUNCTION("SPLIT(
  TRIM(
    SUBSTITUTE(
      SUBSTITUTE(
        SUBSTITUTE(
          SUBSTITUTE(
            C396,
            ""√©"", ""é""
          ),
          ""√±"", ""ñ""
        ),
        ""√°"", ""á""
      ),
      ""√≥"", ""ó""
    )
  ),
  ""-""
)
"),"Teléfono")</f>
        <v>Teléfono</v>
      </c>
      <c r="O396" s="22" t="str">
        <f>IFERROR(__xludf.DUMMYFUNCTION("""COMPUTED_VALUE"""),"Gama media")</f>
        <v>Gama media</v>
      </c>
      <c r="P396" s="22" t="str">
        <f>IFERROR(__xludf.DUMMYFUNCTION("""COMPUTED_VALUE"""),"32GB")</f>
        <v>32GB</v>
      </c>
      <c r="Q396" s="23">
        <f t="shared" si="1"/>
        <v>1567.55</v>
      </c>
      <c r="R396" s="22">
        <f t="shared" si="2"/>
        <v>3</v>
      </c>
      <c r="S396" s="23">
        <f t="shared" si="3"/>
        <v>4702.65</v>
      </c>
      <c r="T396" s="22" t="str">
        <f>IFERROR(__xludf.DUMMYFUNCTION("PROPER(TRIM(
  LET(
    texto1, REGEXREPLACE(G396,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"),"David Valencia")</f>
        <v>David Valencia</v>
      </c>
      <c r="U396" s="22" t="str">
        <f t="shared" si="4"/>
        <v>f3c3146d-5022-4c1a-8a7c-38632c504802</v>
      </c>
      <c r="V396" s="24" t="str">
        <f t="shared" si="5"/>
        <v>Teléfono Gama media 32GB</v>
      </c>
    </row>
    <row r="397" ht="15.75" customHeight="1">
      <c r="A397" s="36">
        <v>45608.0</v>
      </c>
      <c r="B397" s="2" t="s">
        <v>16</v>
      </c>
      <c r="C397" s="2" t="s">
        <v>369</v>
      </c>
      <c r="D397" s="7">
        <v>2012.81</v>
      </c>
      <c r="E397" s="2">
        <v>4.0</v>
      </c>
      <c r="F397" s="7">
        <v>8051.24</v>
      </c>
      <c r="G397" s="2" t="s">
        <v>1478</v>
      </c>
      <c r="H397" s="2" t="s">
        <v>1479</v>
      </c>
      <c r="I397" s="2" t="s">
        <v>1480</v>
      </c>
      <c r="K397" s="25" t="str">
        <f>IFERROR(__xludf.DUMMYFUNCTION("IF(ISBLANK(A397),
  """",
  IF(ISNUMBER(A397),
    TEXT(A397,""dd/mm/yyyy""),
    IF(
      REGEXMATCH(TRIM(A397),""^\d{1,2}/\d{1,2}/\d{4}$""),
      TRIM(A397),
      IFERROR(
        TEXT(DATEVALUE(SUBSTITUTE(SUBSTITUTE(TRIM(A397),""-"",""/""),""."",""/"&amp;""")),""dd/mm/yyyy""),
        TRIM(A397)
      )
    )
  )
)
"),"12/11/2024")</f>
        <v>12/11/2024</v>
      </c>
      <c r="L397" s="26">
        <v>45608.0</v>
      </c>
      <c r="M397" s="27" t="str">
        <f>IFERROR(__xludf.DUMMYFUNCTION("PROPER(TRIM(
  REGEXREPLACE(
    REGEXREPLACE(
      SUBSTITUTE(SUBSTITUTE(SUBSTITUTE(SUBSTITUTE(SUBSTITUTE(SUBSTITUTE(SUBSTITUTE(SUBSTITUTE(SUBSTITUTE(SUBSTITUTE(SUBSTITUTE(
        B397,""√©"",""é""),""√°"",""á""),""√±"",""ñ""),""√≥"",""ó""),""√â"",""é"&amp;"""),""√Å"",""á""),""√ç"",""í""),""√Ç"",""Í""),""√Â"",""é""),""√≠"",""í""),""√º"",""ú""),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97" s="28" t="str">
        <f>IFERROR(__xludf.DUMMYFUNCTION("SPLIT(
  TRIM(
    SUBSTITUTE(
      SUBSTITUTE(
        SUBSTITUTE(
          SUBSTITUTE(
            C397,
            ""√©"", ""é""
          ),
          ""√±"", ""ñ""
        ),
        ""√°"", ""á""
      ),
      ""√≥"", ""ó""
    )
  ),
  ""-""
)
"),"Tablet")</f>
        <v>Tablet</v>
      </c>
      <c r="O397" s="28" t="str">
        <f>IFERROR(__xludf.DUMMYFUNCTION("""COMPUTED_VALUE"""),"Pro")</f>
        <v>Pro</v>
      </c>
      <c r="P397" s="28" t="str">
        <f>IFERROR(__xludf.DUMMYFUNCTION("""COMPUTED_VALUE"""),"16GB")</f>
        <v>16GB</v>
      </c>
      <c r="Q397" s="29">
        <f t="shared" si="1"/>
        <v>2012.81</v>
      </c>
      <c r="R397" s="28">
        <f t="shared" si="2"/>
        <v>4</v>
      </c>
      <c r="S397" s="29">
        <f t="shared" si="3"/>
        <v>8051.24</v>
      </c>
      <c r="T397" s="28" t="str">
        <f>IFERROR(__xludf.DUMMYFUNCTION("PROPER(TRIM(
  LET(
    texto1, REGEXREPLACE(G397,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"),"Elena Guardado Enríquez")</f>
        <v>Elena Guardado Enríquez</v>
      </c>
      <c r="U397" s="28" t="str">
        <f t="shared" si="4"/>
        <v>a406d85a-6020-4738-b3ed-53d680678126</v>
      </c>
      <c r="V397" s="30" t="str">
        <f t="shared" si="5"/>
        <v>Tablet Pro 16GB</v>
      </c>
    </row>
    <row r="398" ht="15.75" customHeight="1">
      <c r="A398" s="6">
        <v>45591.0</v>
      </c>
      <c r="B398" s="2" t="s">
        <v>16</v>
      </c>
      <c r="C398" s="2" t="s">
        <v>65</v>
      </c>
      <c r="D398" s="7">
        <v>2101.18</v>
      </c>
      <c r="E398" s="2">
        <v>4.0</v>
      </c>
      <c r="F398" s="7">
        <v>8404.72</v>
      </c>
      <c r="G398" s="2" t="s">
        <v>1482</v>
      </c>
      <c r="H398" s="2" t="s">
        <v>1483</v>
      </c>
      <c r="I398" s="2" t="s">
        <v>1484</v>
      </c>
      <c r="K398" s="19" t="str">
        <f>IFERROR(__xludf.DUMMYFUNCTION("IF(ISBLANK(A398),
  """",
  IF(ISNUMBER(A398),
    TEXT(A398,""dd/mm/yyyy""),
    IF(
      REGEXMATCH(TRIM(A398),""^\d{1,2}/\d{1,2}/\d{4}$""),
      TRIM(A398),
      IFERROR(
        TEXT(DATEVALUE(SUBSTITUTE(SUBSTITUTE(TRIM(A398),""-"",""/""),""."",""/"&amp;""")),""dd/mm/yyyy""),
        TRIM(A398)
      )
    )
  )
)
"),"26/10/2024")</f>
        <v>26/10/2024</v>
      </c>
      <c r="L398" s="20">
        <v>45591.0</v>
      </c>
      <c r="M398" s="21" t="str">
        <f>IFERROR(__xludf.DUMMYFUNCTION("PROPER(TRIM(
  REGEXREPLACE(
    REGEXREPLACE(
      SUBSTITUTE(SUBSTITUTE(SUBSTITUTE(SUBSTITUTE(SUBSTITUTE(SUBSTITUTE(SUBSTITUTE(SUBSTITUTE(SUBSTITUTE(SUBSTITUTE(SUBSTITUTE(
        B398,""√©"",""é""),""√°"",""á""),""√±"",""ñ""),""√≥"",""ó""),""√â"",""é"&amp;"""),""√Å"",""á""),""√ç"",""í""),""√Ç"",""Í""),""√Â"",""é""),""√≠"",""í""),""√º"",""ú""),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398" s="22" t="str">
        <f>IFERROR(__xludf.DUMMYFUNCTION("SPLIT(
  TRIM(
    SUBSTITUTE(
      SUBSTITUTE(
        SUBSTITUTE(
          SUBSTITUTE(
            C398,
            ""√©"", ""é""
          ),
          ""√±"", ""ñ""
        ),
        ""√°"", ""á""
      ),
      ""√≥"", ""ó""
    )
  ),
  ""-""
)
"),"Auriculares")</f>
        <v>Auriculares</v>
      </c>
      <c r="O398" s="22" t="str">
        <f>IFERROR(__xludf.DUMMYFUNCTION("""COMPUTED_VALUE"""),"Bluetooth")</f>
        <v>Bluetooth</v>
      </c>
      <c r="P398" s="22" t="str">
        <f>IFERROR(__xludf.DUMMYFUNCTION("""COMPUTED_VALUE"""),"16GB")</f>
        <v>16GB</v>
      </c>
      <c r="Q398" s="23">
        <f t="shared" si="1"/>
        <v>2101.18</v>
      </c>
      <c r="R398" s="22">
        <f t="shared" si="2"/>
        <v>4</v>
      </c>
      <c r="S398" s="23">
        <f t="shared" si="3"/>
        <v>8404.72</v>
      </c>
      <c r="T398" s="22" t="str">
        <f>IFERROR(__xludf.DUMMYFUNCTION("PROPER(TRIM(
  LET(
    texto1, REGEXREPLACE(G398,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"),"Wendolin Elvia Osorio Gallardo")</f>
        <v>Wendolin Elvia Osorio Gallardo</v>
      </c>
      <c r="U398" s="22" t="str">
        <f t="shared" si="4"/>
        <v>b530707f-4d7d-4afc-bde4-e36c5328a487</v>
      </c>
      <c r="V398" s="24" t="str">
        <f t="shared" si="5"/>
        <v>Auriculares Bluetooth 16GB</v>
      </c>
    </row>
    <row r="399" ht="15.75" customHeight="1">
      <c r="A399" s="6">
        <v>45647.0</v>
      </c>
      <c r="B399" s="2" t="s">
        <v>38</v>
      </c>
      <c r="C399" s="2" t="s">
        <v>181</v>
      </c>
      <c r="D399" s="7">
        <v>2008.78</v>
      </c>
      <c r="E399" s="2">
        <v>5.0</v>
      </c>
      <c r="F399" s="7">
        <v>10043.9</v>
      </c>
      <c r="G399" s="2" t="s">
        <v>1485</v>
      </c>
      <c r="H399" s="2" t="s">
        <v>1486</v>
      </c>
      <c r="I399" s="2" t="s">
        <v>1487</v>
      </c>
      <c r="K399" s="25" t="str">
        <f>IFERROR(__xludf.DUMMYFUNCTION("IF(ISBLANK(A399),
  """",
  IF(ISNUMBER(A399),
    TEXT(A399,""dd/mm/yyyy""),
    IF(
      REGEXMATCH(TRIM(A399),""^\d{1,2}/\d{1,2}/\d{4}$""),
      TRIM(A399),
      IFERROR(
        TEXT(DATEVALUE(SUBSTITUTE(SUBSTITUTE(TRIM(A399),""-"",""/""),""."",""/"&amp;""")),""dd/mm/yyyy""),
        TRIM(A399)
      )
    )
  )
)
"),"21/12/2024")</f>
        <v>21/12/2024</v>
      </c>
      <c r="L399" s="26">
        <v>45647.0</v>
      </c>
      <c r="M399" s="27" t="str">
        <f>IFERROR(__xludf.DUMMYFUNCTION("PROPER(TRIM(
  REGEXREPLACE(
    REGEXREPLACE(
      SUBSTITUTE(SUBSTITUTE(SUBSTITUTE(SUBSTITUTE(SUBSTITUTE(SUBSTITUTE(SUBSTITUTE(SUBSTITUTE(SUBSTITUTE(SUBSTITUTE(SUBSTITUTE(
        B399,""√©"",""é""),""√°"",""á""),""√±"",""ñ""),""√≥"",""ó""),""√â"",""é"&amp;"""),""√Å"",""á""),""√ç"",""í""),""√Ç"",""Í""),""√Â"",""é""),""√≠"",""í""),""√º"",""ú""),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399" s="28" t="str">
        <f>IFERROR(__xludf.DUMMYFUNCTION("SPLIT(
  TRIM(
    SUBSTITUTE(
      SUBSTITUTE(
        SUBSTITUTE(
          SUBSTITUTE(
            C399,
            ""√©"", ""é""
          ),
          ""√±"", ""ñ""
        ),
        ""√°"", ""á""
      ),
      ""√≥"", ""ó""
    )
  ),
  ""-""
)
"),"Laptop")</f>
        <v>Laptop</v>
      </c>
      <c r="O399" s="28" t="str">
        <f>IFERROR(__xludf.DUMMYFUNCTION("""COMPUTED_VALUE"""),"Ultraliviana")</f>
        <v>Ultraliviana</v>
      </c>
      <c r="P399" s="28" t="str">
        <f>IFERROR(__xludf.DUMMYFUNCTION("""COMPUTED_VALUE"""),"4GB")</f>
        <v>4GB</v>
      </c>
      <c r="Q399" s="29">
        <f t="shared" si="1"/>
        <v>2008.78</v>
      </c>
      <c r="R399" s="28">
        <f t="shared" si="2"/>
        <v>5</v>
      </c>
      <c r="S399" s="29">
        <f t="shared" si="3"/>
        <v>10043.9</v>
      </c>
      <c r="T399" s="28" t="str">
        <f>IFERROR(__xludf.DUMMYFUNCTION("PROPER(TRIM(
  LET(
    texto1, REGEXREPLACE(G399,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"),"Francisco Javier Blanca Serrato")</f>
        <v>Francisco Javier Blanca Serrato</v>
      </c>
      <c r="U399" s="28" t="str">
        <f t="shared" si="4"/>
        <v>688bf8b0-b0ea-4f26-96a2-bf0bf26b0c06</v>
      </c>
      <c r="V399" s="30" t="str">
        <f t="shared" si="5"/>
        <v>Laptop Ultraliviana 4GB</v>
      </c>
    </row>
    <row r="400" ht="15.75" customHeight="1">
      <c r="A400" s="6">
        <v>45596.0</v>
      </c>
      <c r="B400" s="2" t="s">
        <v>16</v>
      </c>
      <c r="C400" s="2" t="s">
        <v>698</v>
      </c>
      <c r="D400" s="7">
        <v>1451.3</v>
      </c>
      <c r="E400" s="2">
        <v>2.0</v>
      </c>
      <c r="F400" s="7">
        <v>2902.6</v>
      </c>
      <c r="G400" s="2" t="s">
        <v>1489</v>
      </c>
      <c r="H400" s="2" t="s">
        <v>1490</v>
      </c>
      <c r="I400" s="2" t="s">
        <v>1491</v>
      </c>
      <c r="K400" s="19" t="str">
        <f>IFERROR(__xludf.DUMMYFUNCTION("IF(ISBLANK(A400),
  """",
  IF(ISNUMBER(A400),
    TEXT(A400,""dd/mm/yyyy""),
    IF(
      REGEXMATCH(TRIM(A400),""^\d{1,2}/\d{1,2}/\d{4}$""),
      TRIM(A400),
      IFERROR(
        TEXT(DATEVALUE(SUBSTITUTE(SUBSTITUTE(TRIM(A400),""-"",""/""),""."",""/"&amp;""")),""dd/mm/yyyy""),
        TRIM(A400)
      )
    )
  )
)
"),"31/10/2024")</f>
        <v>31/10/2024</v>
      </c>
      <c r="L400" s="20">
        <v>45596.0</v>
      </c>
      <c r="M400" s="21" t="str">
        <f>IFERROR(__xludf.DUMMYFUNCTION("PROPER(TRIM(
  REGEXREPLACE(
    REGEXREPLACE(
      SUBSTITUTE(SUBSTITUTE(SUBSTITUTE(SUBSTITUTE(SUBSTITUTE(SUBSTITUTE(SUBSTITUTE(SUBSTITUTE(SUBSTITUTE(SUBSTITUTE(SUBSTITUTE(
        B400,""√©"",""é""),""√°"",""á""),""√±"",""ñ""),""√≥"",""ó""),""√â"",""é"&amp;"""),""√Å"",""á""),""√ç"",""í""),""√Ç"",""Í""),""√Â"",""é""),""√≠"",""í""),""√º"",""ú""),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00" s="22" t="str">
        <f>IFERROR(__xludf.DUMMYFUNCTION("SPLIT(
  TRIM(
    SUBSTITUTE(
      SUBSTITUTE(
        SUBSTITUTE(
          SUBSTITUTE(
            C400,
            ""√©"", ""é""
          ),
          ""√±"", ""ñ""
        ),
        ""√°"", ""á""
      ),
      ""√≥"", ""ó""
    )
  ),
  ""-""
)
"),"Laptop")</f>
        <v>Laptop</v>
      </c>
      <c r="O400" s="22" t="str">
        <f>IFERROR(__xludf.DUMMYFUNCTION("""COMPUTED_VALUE"""),"Ultraliviana")</f>
        <v>Ultraliviana</v>
      </c>
      <c r="P400" s="22" t="str">
        <f>IFERROR(__xludf.DUMMYFUNCTION("""COMPUTED_VALUE"""),"8GB")</f>
        <v>8GB</v>
      </c>
      <c r="Q400" s="23">
        <f t="shared" si="1"/>
        <v>1451.3</v>
      </c>
      <c r="R400" s="22">
        <f t="shared" si="2"/>
        <v>2</v>
      </c>
      <c r="S400" s="23">
        <f t="shared" si="3"/>
        <v>2902.6</v>
      </c>
      <c r="T400" s="22" t="str">
        <f>IFERROR(__xludf.DUMMYFUNCTION("PROPER(TRIM(
  LET(
    texto1, REGEXREPLACE(G400,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"),"Violeta Celia Valverde")</f>
        <v>Violeta Celia Valverde</v>
      </c>
      <c r="U400" s="22" t="str">
        <f t="shared" si="4"/>
        <v>60d8025a-b531-49e9-a8a9-cc068cf74685</v>
      </c>
      <c r="V400" s="24" t="str">
        <f t="shared" si="5"/>
        <v>Laptop Ultraliviana 8GB</v>
      </c>
    </row>
    <row r="401" ht="15.75" customHeight="1">
      <c r="A401" s="6">
        <v>45579.0</v>
      </c>
      <c r="B401" s="2" t="s">
        <v>85</v>
      </c>
      <c r="C401" s="2" t="s">
        <v>593</v>
      </c>
      <c r="D401" s="7">
        <v>1291.39</v>
      </c>
      <c r="E401" s="2">
        <v>3.0</v>
      </c>
      <c r="F401" s="7">
        <v>3874.17</v>
      </c>
      <c r="G401" s="2" t="s">
        <v>1492</v>
      </c>
      <c r="H401" s="2" t="s">
        <v>1493</v>
      </c>
      <c r="I401" s="2" t="s">
        <v>1494</v>
      </c>
      <c r="K401" s="25" t="str">
        <f>IFERROR(__xludf.DUMMYFUNCTION("IF(ISBLANK(A401),
  """",
  IF(ISNUMBER(A401),
    TEXT(A401,""dd/mm/yyyy""),
    IF(
      REGEXMATCH(TRIM(A401),""^\d{1,2}/\d{1,2}/\d{4}$""),
      TRIM(A401),
      IFERROR(
        TEXT(DATEVALUE(SUBSTITUTE(SUBSTITUTE(TRIM(A401),""-"",""/""),""."",""/"&amp;""")),""dd/mm/yyyy""),
        TRIM(A401)
      )
    )
  )
)
"),"14/10/2024")</f>
        <v>14/10/2024</v>
      </c>
      <c r="L401" s="26">
        <v>45579.0</v>
      </c>
      <c r="M401" s="27" t="str">
        <f>IFERROR(__xludf.DUMMYFUNCTION("PROPER(TRIM(
  REGEXREPLACE(
    REGEXREPLACE(
      SUBSTITUTE(SUBSTITUTE(SUBSTITUTE(SUBSTITUTE(SUBSTITUTE(SUBSTITUTE(SUBSTITUTE(SUBSTITUTE(SUBSTITUTE(SUBSTITUTE(SUBSTITUTE(
        B401,""√©"",""é""),""√°"",""á""),""√±"",""ñ""),""√≥"",""ó""),""√â"",""é"&amp;"""),""√Å"",""á""),""√ç"",""í""),""√Ç"",""Í""),""√Â"",""é""),""√≠"",""í""),""√º"",""ú""),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01" s="28" t="str">
        <f>IFERROR(__xludf.DUMMYFUNCTION("SPLIT(
  TRIM(
    SUBSTITUTE(
      SUBSTITUTE(
        SUBSTITUTE(
          SUBSTITUTE(
            C401,
            ""√©"", ""é""
          ),
          ""√±"", ""ñ""
        ),
        ""√°"", ""á""
      ),
      ""√≥"", ""ó""
    )
  ),
  ""-""
)
"),"Laptop")</f>
        <v>Laptop</v>
      </c>
      <c r="O401" s="28" t="str">
        <f>IFERROR(__xludf.DUMMYFUNCTION("""COMPUTED_VALUE"""),"Gaming")</f>
        <v>Gaming</v>
      </c>
      <c r="P401" s="28" t="str">
        <f>IFERROR(__xludf.DUMMYFUNCTION("""COMPUTED_VALUE"""),"16GB")</f>
        <v>16GB</v>
      </c>
      <c r="Q401" s="29">
        <f t="shared" si="1"/>
        <v>1291.39</v>
      </c>
      <c r="R401" s="28">
        <f t="shared" si="2"/>
        <v>3</v>
      </c>
      <c r="S401" s="29">
        <f t="shared" si="3"/>
        <v>3874.17</v>
      </c>
      <c r="T401" s="28" t="str">
        <f>IFERROR(__xludf.DUMMYFUNCTION("PROPER(TRIM(
  LET(
    texto1, REGEXREPLACE(G401,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"),"Salma De La Garza")</f>
        <v>Salma De La Garza</v>
      </c>
      <c r="U401" s="28" t="str">
        <f t="shared" si="4"/>
        <v>40b3bbac-c623-4647-a606-b5af9a39c69f</v>
      </c>
      <c r="V401" s="30" t="str">
        <f t="shared" si="5"/>
        <v>Laptop Gaming 16GB</v>
      </c>
    </row>
    <row r="402" ht="15.75" customHeight="1">
      <c r="A402" s="6">
        <v>45625.0</v>
      </c>
      <c r="B402" s="2" t="s">
        <v>38</v>
      </c>
      <c r="C402" s="2" t="s">
        <v>181</v>
      </c>
      <c r="D402" s="7">
        <v>1083.91</v>
      </c>
      <c r="E402" s="2">
        <v>3.0</v>
      </c>
      <c r="F402" s="7">
        <v>3251.73</v>
      </c>
      <c r="G402" s="2" t="s">
        <v>1495</v>
      </c>
      <c r="H402" s="2" t="s">
        <v>1496</v>
      </c>
      <c r="I402" s="2" t="s">
        <v>1497</v>
      </c>
      <c r="K402" s="19" t="str">
        <f>IFERROR(__xludf.DUMMYFUNCTION("IF(ISBLANK(A402),
  """",
  IF(ISNUMBER(A402),
    TEXT(A402,""dd/mm/yyyy""),
    IF(
      REGEXMATCH(TRIM(A402),""^\d{1,2}/\d{1,2}/\d{4}$""),
      TRIM(A402),
      IFERROR(
        TEXT(DATEVALUE(SUBSTITUTE(SUBSTITUTE(TRIM(A402),""-"",""/""),""."",""/"&amp;""")),""dd/mm/yyyy""),
        TRIM(A402)
      )
    )
  )
)
"),"29/11/2024")</f>
        <v>29/11/2024</v>
      </c>
      <c r="L402" s="20">
        <v>45625.0</v>
      </c>
      <c r="M402" s="21" t="str">
        <f>IFERROR(__xludf.DUMMYFUNCTION("PROPER(TRIM(
  REGEXREPLACE(
    REGEXREPLACE(
      SUBSTITUTE(SUBSTITUTE(SUBSTITUTE(SUBSTITUTE(SUBSTITUTE(SUBSTITUTE(SUBSTITUTE(SUBSTITUTE(SUBSTITUTE(SUBSTITUTE(SUBSTITUTE(
        B402,""√©"",""é""),""√°"",""á""),""√±"",""ñ""),""√≥"",""ó""),""√â"",""é"&amp;"""),""√Å"",""á""),""√ç"",""í""),""√Ç"",""Í""),""√Â"",""é""),""√≠"",""í""),""√º"",""ú""),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02" s="22" t="str">
        <f>IFERROR(__xludf.DUMMYFUNCTION("SPLIT(
  TRIM(
    SUBSTITUTE(
      SUBSTITUTE(
        SUBSTITUTE(
          SUBSTITUTE(
            C402,
            ""√©"", ""é""
          ),
          ""√±"", ""ñ""
        ),
        ""√°"", ""á""
      ),
      ""√≥"", ""ó""
    )
  ),
  ""-""
)
"),"Laptop")</f>
        <v>Laptop</v>
      </c>
      <c r="O402" s="22" t="str">
        <f>IFERROR(__xludf.DUMMYFUNCTION("""COMPUTED_VALUE"""),"Ultraliviana")</f>
        <v>Ultraliviana</v>
      </c>
      <c r="P402" s="22" t="str">
        <f>IFERROR(__xludf.DUMMYFUNCTION("""COMPUTED_VALUE"""),"4GB")</f>
        <v>4GB</v>
      </c>
      <c r="Q402" s="23">
        <f t="shared" si="1"/>
        <v>1083.91</v>
      </c>
      <c r="R402" s="22">
        <f t="shared" si="2"/>
        <v>3</v>
      </c>
      <c r="S402" s="23">
        <f t="shared" si="3"/>
        <v>3251.73</v>
      </c>
      <c r="T402" s="22" t="str">
        <f>IFERROR(__xludf.DUMMYFUNCTION("PROPER(TRIM(
  LET(
    texto1, REGEXREPLACE(G402,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"),"Ofelia Francisco Javier Rojas")</f>
        <v>Ofelia Francisco Javier Rojas</v>
      </c>
      <c r="U402" s="22" t="str">
        <f t="shared" si="4"/>
        <v>915c486d-4ef1-4e6b-953c-b179a8d2ba80</v>
      </c>
      <c r="V402" s="24" t="str">
        <f t="shared" si="5"/>
        <v>Laptop Ultraliviana 4GB</v>
      </c>
    </row>
    <row r="403" ht="15.75" customHeight="1">
      <c r="A403" s="36">
        <v>45302.0</v>
      </c>
      <c r="B403" s="2" t="s">
        <v>16</v>
      </c>
      <c r="C403" s="2" t="s">
        <v>397</v>
      </c>
      <c r="D403" s="7">
        <v>1181.12</v>
      </c>
      <c r="E403" s="2">
        <v>3.0</v>
      </c>
      <c r="F403" s="7">
        <v>3543.36</v>
      </c>
      <c r="G403" s="2" t="s">
        <v>1499</v>
      </c>
      <c r="H403" s="2" t="s">
        <v>1500</v>
      </c>
      <c r="I403" s="2" t="s">
        <v>1501</v>
      </c>
      <c r="K403" s="25" t="str">
        <f>IFERROR(__xludf.DUMMYFUNCTION("IF(ISBLANK(A403),
  """",
  IF(ISNUMBER(A403),
    TEXT(A403,""dd/mm/yyyy""),
    IF(
      REGEXMATCH(TRIM(A403),""^\d{1,2}/\d{1,2}/\d{4}$""),
      TRIM(A403),
      IFERROR(
        TEXT(DATEVALUE(SUBSTITUTE(SUBSTITUTE(TRIM(A403),""-"",""/""),""."",""/"&amp;""")),""dd/mm/yyyy""),
        TRIM(A403)
      )
    )
  )
)
"),"11/01/2024")</f>
        <v>11/01/2024</v>
      </c>
      <c r="L403" s="26">
        <v>45302.0</v>
      </c>
      <c r="M403" s="27" t="str">
        <f>IFERROR(__xludf.DUMMYFUNCTION("PROPER(TRIM(
  REGEXREPLACE(
    REGEXREPLACE(
      SUBSTITUTE(SUBSTITUTE(SUBSTITUTE(SUBSTITUTE(SUBSTITUTE(SUBSTITUTE(SUBSTITUTE(SUBSTITUTE(SUBSTITUTE(SUBSTITUTE(SUBSTITUTE(
        B403,""√©"",""é""),""√°"",""á""),""√±"",""ñ""),""√≥"",""ó""),""√â"",""é"&amp;"""),""√Å"",""á""),""√ç"",""í""),""√Ç"",""Í""),""√Â"",""é""),""√≠"",""í""),""√º"",""ú""),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03" s="28" t="str">
        <f>IFERROR(__xludf.DUMMYFUNCTION("SPLIT(
  TRIM(
    SUBSTITUTE(
      SUBSTITUTE(
        SUBSTITUTE(
          SUBSTITUTE(
            C403,
            ""√©"", ""é""
          ),
          ""√±"", ""ñ""
        ),
        ""√°"", ""á""
      ),
      ""√≥"", ""ó""
    )
  ),
  ""-""
)
"),"Teléfono")</f>
        <v>Teléfono</v>
      </c>
      <c r="O403" s="28" t="str">
        <f>IFERROR(__xludf.DUMMYFUNCTION("""COMPUTED_VALUE"""),"Gama media")</f>
        <v>Gama media</v>
      </c>
      <c r="P403" s="28" t="str">
        <f>IFERROR(__xludf.DUMMYFUNCTION("""COMPUTED_VALUE"""),"32GB")</f>
        <v>32GB</v>
      </c>
      <c r="Q403" s="29">
        <f t="shared" si="1"/>
        <v>1181.12</v>
      </c>
      <c r="R403" s="28">
        <f t="shared" si="2"/>
        <v>3</v>
      </c>
      <c r="S403" s="29">
        <f t="shared" si="3"/>
        <v>3543.36</v>
      </c>
      <c r="T403" s="28" t="str">
        <f>IFERROR(__xludf.DUMMYFUNCTION("PROPER(TRIM(
  LET(
    texto1, REGEXREPLACE(G403,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"),"Miguel Mariana Murillo Carrera")</f>
        <v>Miguel Mariana Murillo Carrera</v>
      </c>
      <c r="U403" s="28" t="str">
        <f t="shared" si="4"/>
        <v>46e7ea20-4ea9-4a4d-a9d0-fe7ff0edc16b</v>
      </c>
      <c r="V403" s="30" t="str">
        <f t="shared" si="5"/>
        <v>Teléfono Gama media 32GB</v>
      </c>
    </row>
    <row r="404" ht="15.75" customHeight="1">
      <c r="A404" s="6">
        <v>45609.0</v>
      </c>
      <c r="B404" s="2" t="s">
        <v>50</v>
      </c>
      <c r="C404" s="2" t="s">
        <v>196</v>
      </c>
      <c r="D404" s="7">
        <v>1665.73</v>
      </c>
      <c r="E404" s="2">
        <v>2.0</v>
      </c>
      <c r="F404" s="7">
        <v>3331.46</v>
      </c>
      <c r="G404" s="2" t="s">
        <v>1502</v>
      </c>
      <c r="H404" s="2" t="s">
        <v>1503</v>
      </c>
      <c r="I404" s="2" t="s">
        <v>1504</v>
      </c>
      <c r="K404" s="19" t="str">
        <f>IFERROR(__xludf.DUMMYFUNCTION("IF(ISBLANK(A404),
  """",
  IF(ISNUMBER(A404),
    TEXT(A404,""dd/mm/yyyy""),
    IF(
      REGEXMATCH(TRIM(A404),""^\d{1,2}/\d{1,2}/\d{4}$""),
      TRIM(A404),
      IFERROR(
        TEXT(DATEVALUE(SUBSTITUTE(SUBSTITUTE(TRIM(A404),""-"",""/""),""."",""/"&amp;""")),""dd/mm/yyyy""),
        TRIM(A404)
      )
    )
  )
)
"),"13/11/2024")</f>
        <v>13/11/2024</v>
      </c>
      <c r="L404" s="20">
        <v>45609.0</v>
      </c>
      <c r="M404" s="21" t="str">
        <f>IFERROR(__xludf.DUMMYFUNCTION("PROPER(TRIM(
  REGEXREPLACE(
    REGEXREPLACE(
      SUBSTITUTE(SUBSTITUTE(SUBSTITUTE(SUBSTITUTE(SUBSTITUTE(SUBSTITUTE(SUBSTITUTE(SUBSTITUTE(SUBSTITUTE(SUBSTITUTE(SUBSTITUTE(
        B404,""√©"",""é""),""√°"",""á""),""√±"",""ñ""),""√≥"",""ó""),""√â"",""é"&amp;"""),""√Å"",""á""),""√ç"",""í""),""√Ç"",""Í""),""√Â"",""é""),""√≠"",""í""),""√º"",""ú""),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04" s="22" t="str">
        <f>IFERROR(__xludf.DUMMYFUNCTION("SPLIT(
  TRIM(
    SUBSTITUTE(
      SUBSTITUTE(
        SUBSTITUTE(
          SUBSTITUTE(
            C404,
            ""√©"", ""é""
          ),
          ""√±"", ""ñ""
        ),
        ""√°"", ""á""
      ),
      ""√≥"", ""ó""
    )
  ),
  ""-""
)
"),"Auriculares")</f>
        <v>Auriculares</v>
      </c>
      <c r="O404" s="22" t="str">
        <f>IFERROR(__xludf.DUMMYFUNCTION("""COMPUTED_VALUE"""),"Cancelación de ruido")</f>
        <v>Cancelación de ruido</v>
      </c>
      <c r="P404" s="22" t="str">
        <f>IFERROR(__xludf.DUMMYFUNCTION("""COMPUTED_VALUE"""),"8GB")</f>
        <v>8GB</v>
      </c>
      <c r="Q404" s="23">
        <f t="shared" si="1"/>
        <v>1665.73</v>
      </c>
      <c r="R404" s="22">
        <f t="shared" si="2"/>
        <v>2</v>
      </c>
      <c r="S404" s="23">
        <f t="shared" si="3"/>
        <v>3331.46</v>
      </c>
      <c r="T404" s="22" t="str">
        <f>IFERROR(__xludf.DUMMYFUNCTION("PROPER(TRIM(
  LET(
    texto1, REGEXREPLACE(G404,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"),"Lorenzo Collado Gastélum")</f>
        <v>Lorenzo Collado Gastélum</v>
      </c>
      <c r="U404" s="22" t="str">
        <f t="shared" si="4"/>
        <v>ad71df5b-e541-4c69-a100-86824806dfcc</v>
      </c>
      <c r="V404" s="24" t="str">
        <f t="shared" si="5"/>
        <v>Auriculares Cancelación de ruido 8GB</v>
      </c>
    </row>
    <row r="405" ht="15.75" customHeight="1">
      <c r="A405" s="36">
        <v>45362.0</v>
      </c>
      <c r="B405" s="2" t="s">
        <v>85</v>
      </c>
      <c r="C405" s="2" t="s">
        <v>385</v>
      </c>
      <c r="D405" s="7">
        <v>1083.6</v>
      </c>
      <c r="E405" s="2">
        <v>1.0</v>
      </c>
      <c r="F405" s="7">
        <v>1083.6</v>
      </c>
      <c r="G405" s="2" t="s">
        <v>1505</v>
      </c>
      <c r="H405" s="2" t="s">
        <v>1506</v>
      </c>
      <c r="I405" s="2" t="s">
        <v>1507</v>
      </c>
      <c r="K405" s="25" t="str">
        <f>IFERROR(__xludf.DUMMYFUNCTION("IF(ISBLANK(A405),
  """",
  IF(ISNUMBER(A405),
    TEXT(A405,""dd/mm/yyyy""),
    IF(
      REGEXMATCH(TRIM(A405),""^\d{1,2}/\d{1,2}/\d{4}$""),
      TRIM(A405),
      IFERROR(
        TEXT(DATEVALUE(SUBSTITUTE(SUBSTITUTE(TRIM(A405),""-"",""/""),""."",""/"&amp;""")),""dd/mm/yyyy""),
        TRIM(A405)
      )
    )
  )
)
"),"11/03/2024")</f>
        <v>11/03/2024</v>
      </c>
      <c r="L405" s="26">
        <v>45362.0</v>
      </c>
      <c r="M405" s="27" t="str">
        <f>IFERROR(__xludf.DUMMYFUNCTION("PROPER(TRIM(
  REGEXREPLACE(
    REGEXREPLACE(
      SUBSTITUTE(SUBSTITUTE(SUBSTITUTE(SUBSTITUTE(SUBSTITUTE(SUBSTITUTE(SUBSTITUTE(SUBSTITUTE(SUBSTITUTE(SUBSTITUTE(SUBSTITUTE(
        B405,""√©"",""é""),""√°"",""á""),""√±"",""ñ""),""√≥"",""ó""),""√â"",""é"&amp;"""),""√Å"",""á""),""√ç"",""í""),""√Ç"",""Í""),""√Â"",""é""),""√≠"",""í""),""√º"",""ú""),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05" s="28" t="str">
        <f>IFERROR(__xludf.DUMMYFUNCTION("SPLIT(
  TRIM(
    SUBSTITUTE(
      SUBSTITUTE(
        SUBSTITUTE(
          SUBSTITUTE(
            C405,
            ""√©"", ""é""
          ),
          ""√±"", ""ñ""
        ),
        ""√°"", ""á""
      ),
      ""√≥"", ""ó""
    )
  ),
  ""-""
)
"),"Tablet")</f>
        <v>Tablet</v>
      </c>
      <c r="O405" s="28" t="str">
        <f>IFERROR(__xludf.DUMMYFUNCTION("""COMPUTED_VALUE"""),"Estándar")</f>
        <v>Estándar</v>
      </c>
      <c r="P405" s="28" t="str">
        <f>IFERROR(__xludf.DUMMYFUNCTION("""COMPUTED_VALUE"""),"32GB")</f>
        <v>32GB</v>
      </c>
      <c r="Q405" s="29">
        <f t="shared" si="1"/>
        <v>1083.6</v>
      </c>
      <c r="R405" s="28">
        <f t="shared" si="2"/>
        <v>1</v>
      </c>
      <c r="S405" s="29">
        <f t="shared" si="3"/>
        <v>1083.6</v>
      </c>
      <c r="T405" s="28" t="str">
        <f>IFERROR(__xludf.DUMMYFUNCTION("PROPER(TRIM(
  LET(
    texto1, REGEXREPLACE(G405,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"),"Guadalupe Vanesa Navarro")</f>
        <v>Guadalupe Vanesa Navarro</v>
      </c>
      <c r="U405" s="28" t="str">
        <f t="shared" si="4"/>
        <v>6a4bb496-8bb3-4227-aa74-8a7d94a78dd5</v>
      </c>
      <c r="V405" s="30" t="str">
        <f t="shared" si="5"/>
        <v>Tablet Estándar 32GB</v>
      </c>
    </row>
    <row r="406" ht="15.75" customHeight="1">
      <c r="A406" s="36">
        <v>45606.0</v>
      </c>
      <c r="B406" s="2" t="s">
        <v>38</v>
      </c>
      <c r="C406" s="2" t="s">
        <v>96</v>
      </c>
      <c r="D406" s="7">
        <v>1614.84</v>
      </c>
      <c r="E406" s="2">
        <v>3.0</v>
      </c>
      <c r="F406" s="7">
        <v>4844.52</v>
      </c>
      <c r="G406" s="2" t="s">
        <v>1508</v>
      </c>
      <c r="H406" s="2" t="s">
        <v>1509</v>
      </c>
      <c r="I406" s="2" t="s">
        <v>1510</v>
      </c>
      <c r="K406" s="19" t="str">
        <f>IFERROR(__xludf.DUMMYFUNCTION("IF(ISBLANK(A406),
  """",
  IF(ISNUMBER(A406),
    TEXT(A406,""dd/mm/yyyy""),
    IF(
      REGEXMATCH(TRIM(A406),""^\d{1,2}/\d{1,2}/\d{4}$""),
      TRIM(A406),
      IFERROR(
        TEXT(DATEVALUE(SUBSTITUTE(SUBSTITUTE(TRIM(A406),""-"",""/""),""."",""/"&amp;""")),""dd/mm/yyyy""),
        TRIM(A406)
      )
    )
  )
)
"),"10/11/2024")</f>
        <v>10/11/2024</v>
      </c>
      <c r="L406" s="20">
        <v>45606.0</v>
      </c>
      <c r="M406" s="21" t="str">
        <f>IFERROR(__xludf.DUMMYFUNCTION("PROPER(TRIM(
  REGEXREPLACE(
    REGEXREPLACE(
      SUBSTITUTE(SUBSTITUTE(SUBSTITUTE(SUBSTITUTE(SUBSTITUTE(SUBSTITUTE(SUBSTITUTE(SUBSTITUTE(SUBSTITUTE(SUBSTITUTE(SUBSTITUTE(
        B406,""√©"",""é""),""√°"",""á""),""√±"",""ñ""),""√≥"",""ó""),""√â"",""é"&amp;"""),""√Å"",""á""),""√ç"",""í""),""√Ç"",""Í""),""√Â"",""é""),""√≠"",""í""),""√º"",""ú""),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06" s="22" t="str">
        <f>IFERROR(__xludf.DUMMYFUNCTION("SPLIT(
  TRIM(
    SUBSTITUTE(
      SUBSTITUTE(
        SUBSTITUTE(
          SUBSTITUTE(
            C406,
            ""√©"", ""é""
          ),
          ""√±"", ""ñ""
        ),
        ""√°"", ""á""
      ),
      ""√≥"", ""ó""
    )
  ),
  ""-""
)
"),"Auriculares")</f>
        <v>Auriculares</v>
      </c>
      <c r="O406" s="22" t="str">
        <f>IFERROR(__xludf.DUMMYFUNCTION("""COMPUTED_VALUE"""),"Cancelación de ruido")</f>
        <v>Cancelación de ruido</v>
      </c>
      <c r="P406" s="22" t="str">
        <f>IFERROR(__xludf.DUMMYFUNCTION("""COMPUTED_VALUE"""),"4GB")</f>
        <v>4GB</v>
      </c>
      <c r="Q406" s="23">
        <f t="shared" si="1"/>
        <v>1614.84</v>
      </c>
      <c r="R406" s="22">
        <f t="shared" si="2"/>
        <v>3</v>
      </c>
      <c r="S406" s="23">
        <f t="shared" si="3"/>
        <v>4844.52</v>
      </c>
      <c r="T406" s="22" t="str">
        <f>IFERROR(__xludf.DUMMYFUNCTION("PROPER(TRIM(
  LET(
    texto1, REGEXREPLACE(G406,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"),"Fidel Celia Roque Vallejo")</f>
        <v>Fidel Celia Roque Vallejo</v>
      </c>
      <c r="U406" s="22" t="str">
        <f t="shared" si="4"/>
        <v>b2ccd416-d146-4511-9bd6-7eb3bd7333c6</v>
      </c>
      <c r="V406" s="24" t="str">
        <f t="shared" si="5"/>
        <v>Auriculares Cancelación de ruido 4GB</v>
      </c>
    </row>
    <row r="407" ht="15.75" customHeight="1">
      <c r="A407" s="6">
        <v>45589.0</v>
      </c>
      <c r="B407" s="2" t="s">
        <v>38</v>
      </c>
      <c r="C407" s="2" t="s">
        <v>245</v>
      </c>
      <c r="D407" s="7">
        <v>1261.22</v>
      </c>
      <c r="E407" s="2">
        <v>2.0</v>
      </c>
      <c r="F407" s="7">
        <v>2522.44</v>
      </c>
      <c r="G407" s="2" t="s">
        <v>1511</v>
      </c>
      <c r="H407" s="2" t="s">
        <v>1512</v>
      </c>
      <c r="I407" s="2" t="s">
        <v>1513</v>
      </c>
      <c r="K407" s="25" t="str">
        <f>IFERROR(__xludf.DUMMYFUNCTION("IF(ISBLANK(A407),
  """",
  IF(ISNUMBER(A407),
    TEXT(A407,""dd/mm/yyyy""),
    IF(
      REGEXMATCH(TRIM(A407),""^\d{1,2}/\d{1,2}/\d{4}$""),
      TRIM(A407),
      IFERROR(
        TEXT(DATEVALUE(SUBSTITUTE(SUBSTITUTE(TRIM(A407),""-"",""/""),""."",""/"&amp;""")),""dd/mm/yyyy""),
        TRIM(A407)
      )
    )
  )
)
"),"24/10/2024")</f>
        <v>24/10/2024</v>
      </c>
      <c r="L407" s="26">
        <v>45589.0</v>
      </c>
      <c r="M407" s="27" t="str">
        <f>IFERROR(__xludf.DUMMYFUNCTION("PROPER(TRIM(
  REGEXREPLACE(
    REGEXREPLACE(
      SUBSTITUTE(SUBSTITUTE(SUBSTITUTE(SUBSTITUTE(SUBSTITUTE(SUBSTITUTE(SUBSTITUTE(SUBSTITUTE(SUBSTITUTE(SUBSTITUTE(SUBSTITUTE(
        B407,""√©"",""é""),""√°"",""á""),""√±"",""ñ""),""√≥"",""ó""),""√â"",""é"&amp;"""),""√Å"",""á""),""√ç"",""í""),""√Ç"",""Í""),""√Â"",""é""),""√≠"",""í""),""√º"",""ú""),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07" s="28" t="str">
        <f>IFERROR(__xludf.DUMMYFUNCTION("SPLIT(
  TRIM(
    SUBSTITUTE(
      SUBSTITUTE(
        SUBSTITUTE(
          SUBSTITUTE(
            C407,
            ""√©"", ""é""
          ),
          ""√±"", ""ñ""
        ),
        ""√°"", ""á""
      ),
      ""√≥"", ""ó""
    )
  ),
  ""-""
)
"),"Teléfono")</f>
        <v>Teléfono</v>
      </c>
      <c r="O407" s="28" t="str">
        <f>IFERROR(__xludf.DUMMYFUNCTION("""COMPUTED_VALUE"""),"Gama baja")</f>
        <v>Gama baja</v>
      </c>
      <c r="P407" s="28" t="str">
        <f>IFERROR(__xludf.DUMMYFUNCTION("""COMPUTED_VALUE"""),"32GB")</f>
        <v>32GB</v>
      </c>
      <c r="Q407" s="29">
        <f t="shared" si="1"/>
        <v>1261.22</v>
      </c>
      <c r="R407" s="28">
        <f t="shared" si="2"/>
        <v>2</v>
      </c>
      <c r="S407" s="29">
        <f t="shared" si="3"/>
        <v>2522.44</v>
      </c>
      <c r="T407" s="28" t="str">
        <f>IFERROR(__xludf.DUMMYFUNCTION("PROPER(TRIM(
  LET(
    texto1, REGEXREPLACE(G407,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 Bétancourt Parra")</f>
        <v>Lilia Bétancourt Parra</v>
      </c>
      <c r="U407" s="28" t="str">
        <f t="shared" si="4"/>
        <v>5a5c3350-ddcf-484e-8349-4b078818dfc5</v>
      </c>
      <c r="V407" s="30" t="str">
        <f t="shared" si="5"/>
        <v>Teléfono Gama baja 32GB</v>
      </c>
    </row>
    <row r="408" ht="15.75" customHeight="1">
      <c r="A408" s="6">
        <v>45580.0</v>
      </c>
      <c r="B408" s="2" t="s">
        <v>38</v>
      </c>
      <c r="C408" s="2" t="s">
        <v>245</v>
      </c>
      <c r="D408" s="7">
        <v>571.73</v>
      </c>
      <c r="E408" s="2">
        <v>4.0</v>
      </c>
      <c r="F408" s="7">
        <v>2286.92</v>
      </c>
      <c r="G408" s="2" t="s">
        <v>1514</v>
      </c>
      <c r="H408" s="2" t="s">
        <v>1515</v>
      </c>
      <c r="I408" s="2" t="s">
        <v>1516</v>
      </c>
      <c r="K408" s="19" t="str">
        <f>IFERROR(__xludf.DUMMYFUNCTION("IF(ISBLANK(A408),
  """",
  IF(ISNUMBER(A408),
    TEXT(A408,""dd/mm/yyyy""),
    IF(
      REGEXMATCH(TRIM(A408),""^\d{1,2}/\d{1,2}/\d{4}$""),
      TRIM(A408),
      IFERROR(
        TEXT(DATEVALUE(SUBSTITUTE(SUBSTITUTE(TRIM(A408),""-"",""/""),""."",""/"&amp;""")),""dd/mm/yyyy""),
        TRIM(A408)
      )
    )
  )
)
"),"15/10/2024")</f>
        <v>15/10/2024</v>
      </c>
      <c r="L408" s="20">
        <v>45580.0</v>
      </c>
      <c r="M408" s="21" t="str">
        <f>IFERROR(__xludf.DUMMYFUNCTION("PROPER(TRIM(
  REGEXREPLACE(
    REGEXREPLACE(
      SUBSTITUTE(SUBSTITUTE(SUBSTITUTE(SUBSTITUTE(SUBSTITUTE(SUBSTITUTE(SUBSTITUTE(SUBSTITUTE(SUBSTITUTE(SUBSTITUTE(SUBSTITUTE(
        B408,""√©"",""é""),""√°"",""á""),""√±"",""ñ""),""√≥"",""ó""),""√â"",""é"&amp;"""),""√Å"",""á""),""√ç"",""í""),""√Ç"",""Í""),""√Â"",""é""),""√≠"",""í""),""√º"",""ú""),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08" s="22" t="str">
        <f>IFERROR(__xludf.DUMMYFUNCTION("SPLIT(
  TRIM(
    SUBSTITUTE(
      SUBSTITUTE(
        SUBSTITUTE(
          SUBSTITUTE(
            C408,
            ""√©"", ""é""
          ),
          ""√±"", ""ñ""
        ),
        ""√°"", ""á""
      ),
      ""√≥"", ""ó""
    )
  ),
  ""-""
)
"),"Teléfono")</f>
        <v>Teléfono</v>
      </c>
      <c r="O408" s="22" t="str">
        <f>IFERROR(__xludf.DUMMYFUNCTION("""COMPUTED_VALUE"""),"Gama baja")</f>
        <v>Gama baja</v>
      </c>
      <c r="P408" s="22" t="str">
        <f>IFERROR(__xludf.DUMMYFUNCTION("""COMPUTED_VALUE"""),"32GB")</f>
        <v>32GB</v>
      </c>
      <c r="Q408" s="23">
        <f t="shared" si="1"/>
        <v>571.73</v>
      </c>
      <c r="R408" s="22">
        <f t="shared" si="2"/>
        <v>4</v>
      </c>
      <c r="S408" s="23">
        <f t="shared" si="3"/>
        <v>2286.92</v>
      </c>
      <c r="T408" s="22" t="str">
        <f>IFERROR(__xludf.DUMMYFUNCTION("PROPER(TRIM(
  LET(
    texto1, REGEXREPLACE(G408,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"),"Alma Galván")</f>
        <v>Alma Galván</v>
      </c>
      <c r="U408" s="22" t="str">
        <f t="shared" si="4"/>
        <v>bddbebd3-8d7c-4f54-b99a-707a32de78d9</v>
      </c>
      <c r="V408" s="24" t="str">
        <f t="shared" si="5"/>
        <v>Teléfono Gama baja 32GB</v>
      </c>
    </row>
    <row r="409" ht="15.75" customHeight="1">
      <c r="A409" s="6">
        <v>45652.0</v>
      </c>
      <c r="B409" s="2" t="s">
        <v>27</v>
      </c>
      <c r="C409" s="2" t="s">
        <v>96</v>
      </c>
      <c r="D409" s="7">
        <v>1056.48</v>
      </c>
      <c r="E409" s="2">
        <v>4.0</v>
      </c>
      <c r="F409" s="7">
        <v>4225.92</v>
      </c>
      <c r="G409" s="2" t="s">
        <v>1517</v>
      </c>
      <c r="H409" s="2" t="s">
        <v>1518</v>
      </c>
      <c r="I409" s="2" t="s">
        <v>1519</v>
      </c>
      <c r="K409" s="25" t="str">
        <f>IFERROR(__xludf.DUMMYFUNCTION("IF(ISBLANK(A409),
  """",
  IF(ISNUMBER(A409),
    TEXT(A409,""dd/mm/yyyy""),
    IF(
      REGEXMATCH(TRIM(A409),""^\d{1,2}/\d{1,2}/\d{4}$""),
      TRIM(A409),
      IFERROR(
        TEXT(DATEVALUE(SUBSTITUTE(SUBSTITUTE(TRIM(A409),""-"",""/""),""."",""/"&amp;""")),""dd/mm/yyyy""),
        TRIM(A409)
      )
    )
  )
)
"),"26/12/2024")</f>
        <v>26/12/2024</v>
      </c>
      <c r="L409" s="26">
        <v>45652.0</v>
      </c>
      <c r="M409" s="27" t="str">
        <f>IFERROR(__xludf.DUMMYFUNCTION("PROPER(TRIM(
  REGEXREPLACE(
    REGEXREPLACE(
      SUBSTITUTE(SUBSTITUTE(SUBSTITUTE(SUBSTITUTE(SUBSTITUTE(SUBSTITUTE(SUBSTITUTE(SUBSTITUTE(SUBSTITUTE(SUBSTITUTE(SUBSTITUTE(
        B409,""√©"",""é""),""√°"",""á""),""√±"",""ñ""),""√≥"",""ó""),""√â"",""é"&amp;"""),""√Å"",""á""),""√ç"",""í""),""√Ç"",""Í""),""√Â"",""é""),""√≠"",""í""),""√º"",""ú""),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09" s="28" t="str">
        <f>IFERROR(__xludf.DUMMYFUNCTION("SPLIT(
  TRIM(
    SUBSTITUTE(
      SUBSTITUTE(
        SUBSTITUTE(
          SUBSTITUTE(
            C409,
            ""√©"", ""é""
          ),
          ""√±"", ""ñ""
        ),
        ""√°"", ""á""
      ),
      ""√≥"", ""ó""
    )
  ),
  ""-""
)
"),"Auriculares")</f>
        <v>Auriculares</v>
      </c>
      <c r="O409" s="28" t="str">
        <f>IFERROR(__xludf.DUMMYFUNCTION("""COMPUTED_VALUE"""),"Cancelación de ruido")</f>
        <v>Cancelación de ruido</v>
      </c>
      <c r="P409" s="28" t="str">
        <f>IFERROR(__xludf.DUMMYFUNCTION("""COMPUTED_VALUE"""),"4GB")</f>
        <v>4GB</v>
      </c>
      <c r="Q409" s="29">
        <f t="shared" si="1"/>
        <v>1056.48</v>
      </c>
      <c r="R409" s="28">
        <f t="shared" si="2"/>
        <v>4</v>
      </c>
      <c r="S409" s="29">
        <f t="shared" si="3"/>
        <v>4225.92</v>
      </c>
      <c r="T409" s="28" t="str">
        <f>IFERROR(__xludf.DUMMYFUNCTION("PROPER(TRIM(
  LET(
    texto1, REGEXREPLACE(G409,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"),"Marisela Preciado")</f>
        <v>Marisela Preciado</v>
      </c>
      <c r="U409" s="28" t="str">
        <f t="shared" si="4"/>
        <v>3cd2ba34-59ca-4654-b969-558904dc2456</v>
      </c>
      <c r="V409" s="30" t="str">
        <f t="shared" si="5"/>
        <v>Auriculares Cancelación de ruido 4GB</v>
      </c>
    </row>
    <row r="410" ht="15.75" customHeight="1">
      <c r="A410" s="36">
        <v>45454.0</v>
      </c>
      <c r="B410" s="2" t="s">
        <v>27</v>
      </c>
      <c r="C410" s="2" t="s">
        <v>152</v>
      </c>
      <c r="D410" s="7">
        <v>292.81</v>
      </c>
      <c r="E410" s="2">
        <v>5.0</v>
      </c>
      <c r="F410" s="7">
        <v>1464.05</v>
      </c>
      <c r="G410" s="2" t="s">
        <v>1521</v>
      </c>
      <c r="H410" s="2" t="s">
        <v>1522</v>
      </c>
      <c r="I410" s="2" t="s">
        <v>1523</v>
      </c>
      <c r="K410" s="19" t="str">
        <f>IFERROR(__xludf.DUMMYFUNCTION("IF(ISBLANK(A410),
  """",
  IF(ISNUMBER(A410),
    TEXT(A410,""dd/mm/yyyy""),
    IF(
      REGEXMATCH(TRIM(A410),""^\d{1,2}/\d{1,2}/\d{4}$""),
      TRIM(A410),
      IFERROR(
        TEXT(DATEVALUE(SUBSTITUTE(SUBSTITUTE(TRIM(A410),""-"",""/""),""."",""/"&amp;""")),""dd/mm/yyyy""),
        TRIM(A410)
      )
    )
  )
)
"),"11/06/2024")</f>
        <v>11/06/2024</v>
      </c>
      <c r="L410" s="20">
        <v>45454.0</v>
      </c>
      <c r="M410" s="21" t="str">
        <f>IFERROR(__xludf.DUMMYFUNCTION("PROPER(TRIM(
  REGEXREPLACE(
    REGEXREPLACE(
      SUBSTITUTE(SUBSTITUTE(SUBSTITUTE(SUBSTITUTE(SUBSTITUTE(SUBSTITUTE(SUBSTITUTE(SUBSTITUTE(SUBSTITUTE(SUBSTITUTE(SUBSTITUTE(
        B410,""√©"",""é""),""√°"",""á""),""√±"",""ñ""),""√≥"",""ó""),""√â"",""é"&amp;"""),""√Å"",""á""),""√ç"",""í""),""√Ç"",""Í""),""√Â"",""é""),""√≠"",""í""),""√º"",""ú""),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10" s="22" t="str">
        <f>IFERROR(__xludf.DUMMYFUNCTION("SPLIT(
  TRIM(
    SUBSTITUTE(
      SUBSTITUTE(
        SUBSTITUTE(
          SUBSTITUTE(
            C410,
            ""√©"", ""é""
          ),
          ""√±"", ""ñ""
        ),
        ""√°"", ""á""
      ),
      ""√≥"", ""ó""
    )
  ),
  ""-""
)
"),"Teléfono")</f>
        <v>Teléfono</v>
      </c>
      <c r="O410" s="22" t="str">
        <f>IFERROR(__xludf.DUMMYFUNCTION("""COMPUTED_VALUE"""),"Gama baja")</f>
        <v>Gama baja</v>
      </c>
      <c r="P410" s="22" t="str">
        <f>IFERROR(__xludf.DUMMYFUNCTION("""COMPUTED_VALUE"""),"4GB")</f>
        <v>4GB</v>
      </c>
      <c r="Q410" s="23">
        <f t="shared" si="1"/>
        <v>292.81</v>
      </c>
      <c r="R410" s="22">
        <f t="shared" si="2"/>
        <v>5</v>
      </c>
      <c r="S410" s="23">
        <f t="shared" si="3"/>
        <v>1464.05</v>
      </c>
      <c r="T410" s="22" t="str">
        <f>IFERROR(__xludf.DUMMYFUNCTION("PROPER(TRIM(
  LET(
    texto1, REGEXREPLACE(G410,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Manuél Lebrón Peralta")</f>
        <v>José Manuél Lebrón Peralta</v>
      </c>
      <c r="U410" s="22" t="str">
        <f t="shared" si="4"/>
        <v>f72dc1de-5d72-4f3f-b45b-348ffb8c50ea</v>
      </c>
      <c r="V410" s="24" t="str">
        <f t="shared" si="5"/>
        <v>Teléfono Gama baja 4GB</v>
      </c>
    </row>
    <row r="411" ht="15.75" customHeight="1">
      <c r="A411" s="36">
        <v>45576.0</v>
      </c>
      <c r="B411" s="2" t="s">
        <v>27</v>
      </c>
      <c r="C411" s="2" t="s">
        <v>176</v>
      </c>
      <c r="D411" s="7">
        <v>2085.29</v>
      </c>
      <c r="E411" s="2">
        <v>1.0</v>
      </c>
      <c r="F411" s="7">
        <v>2085.29</v>
      </c>
      <c r="G411" s="2" t="s">
        <v>1524</v>
      </c>
      <c r="H411" s="2" t="s">
        <v>1525</v>
      </c>
      <c r="I411" s="2" t="s">
        <v>1526</v>
      </c>
      <c r="K411" s="25" t="str">
        <f>IFERROR(__xludf.DUMMYFUNCTION("IF(ISBLANK(A411),
  """",
  IF(ISNUMBER(A411),
    TEXT(A411,""dd/mm/yyyy""),
    IF(
      REGEXMATCH(TRIM(A411),""^\d{1,2}/\d{1,2}/\d{4}$""),
      TRIM(A411),
      IFERROR(
        TEXT(DATEVALUE(SUBSTITUTE(SUBSTITUTE(TRIM(A411),""-"",""/""),""."",""/"&amp;""")),""dd/mm/yyyy""),
        TRIM(A411)
      )
    )
  )
)
"),"11/10/2024")</f>
        <v>11/10/2024</v>
      </c>
      <c r="L411" s="26">
        <v>45576.0</v>
      </c>
      <c r="M411" s="27" t="str">
        <f>IFERROR(__xludf.DUMMYFUNCTION("PROPER(TRIM(
  REGEXREPLACE(
    REGEXREPLACE(
      SUBSTITUTE(SUBSTITUTE(SUBSTITUTE(SUBSTITUTE(SUBSTITUTE(SUBSTITUTE(SUBSTITUTE(SUBSTITUTE(SUBSTITUTE(SUBSTITUTE(SUBSTITUTE(
        B411,""√©"",""é""),""√°"",""á""),""√±"",""ñ""),""√≥"",""ó""),""√â"",""é"&amp;"""),""√Å"",""á""),""√ç"",""í""),""√Ç"",""Í""),""√Â"",""é""),""√≠"",""í""),""√º"",""ú""),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11" s="28" t="str">
        <f>IFERROR(__xludf.DUMMYFUNCTION("SPLIT(
  TRIM(
    SUBSTITUTE(
      SUBSTITUTE(
        SUBSTITUTE(
          SUBSTITUTE(
            C411,
            ""√©"", ""é""
          ),
          ""√±"", ""ñ""
        ),
        ""√°"", ""á""
      ),
      ""√≥"", ""ó""
    )
  ),
  ""-""
)
"),"Auriculares")</f>
        <v>Auriculares</v>
      </c>
      <c r="O411" s="28" t="str">
        <f>IFERROR(__xludf.DUMMYFUNCTION("""COMPUTED_VALUE"""),"Con cable")</f>
        <v>Con cable</v>
      </c>
      <c r="P411" s="28" t="str">
        <f>IFERROR(__xludf.DUMMYFUNCTION("""COMPUTED_VALUE"""),"8GB")</f>
        <v>8GB</v>
      </c>
      <c r="Q411" s="29">
        <f t="shared" si="1"/>
        <v>2085.29</v>
      </c>
      <c r="R411" s="28">
        <f t="shared" si="2"/>
        <v>1</v>
      </c>
      <c r="S411" s="29">
        <f t="shared" si="3"/>
        <v>2085.29</v>
      </c>
      <c r="T411" s="28" t="str">
        <f>IFERROR(__xludf.DUMMYFUNCTION("PROPER(TRIM(
  LET(
    texto1, REGEXREPLACE(G411,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"),"Eugenio Juana Orta Chapa")</f>
        <v>Eugenio Juana Orta Chapa</v>
      </c>
      <c r="U411" s="28" t="str">
        <f t="shared" si="4"/>
        <v>3786d3a2-e035-4239-845a-3dce8eca0b61</v>
      </c>
      <c r="V411" s="30" t="str">
        <f t="shared" si="5"/>
        <v>Auriculares Con cable 8GB</v>
      </c>
    </row>
    <row r="412" ht="15.75" customHeight="1">
      <c r="A412" s="6">
        <v>45626.0</v>
      </c>
      <c r="B412" s="2" t="s">
        <v>101</v>
      </c>
      <c r="C412" s="2" t="s">
        <v>235</v>
      </c>
      <c r="D412" s="7">
        <v>206.29</v>
      </c>
      <c r="E412" s="2">
        <v>4.0</v>
      </c>
      <c r="F412" s="7">
        <v>825.16</v>
      </c>
      <c r="G412" s="2" t="s">
        <v>1527</v>
      </c>
      <c r="H412" s="2" t="s">
        <v>1528</v>
      </c>
      <c r="I412" s="2" t="s">
        <v>1529</v>
      </c>
      <c r="K412" s="19" t="str">
        <f>IFERROR(__xludf.DUMMYFUNCTION("IF(ISBLANK(A412),
  """",
  IF(ISNUMBER(A412),
    TEXT(A412,""dd/mm/yyyy""),
    IF(
      REGEXMATCH(TRIM(A412),""^\d{1,2}/\d{1,2}/\d{4}$""),
      TRIM(A412),
      IFERROR(
        TEXT(DATEVALUE(SUBSTITUTE(SUBSTITUTE(TRIM(A412),""-"",""/""),""."",""/"&amp;""")),""dd/mm/yyyy""),
        TRIM(A412)
      )
    )
  )
)
"),"30/11/2024")</f>
        <v>30/11/2024</v>
      </c>
      <c r="L412" s="20">
        <v>45626.0</v>
      </c>
      <c r="M412" s="21" t="str">
        <f>IFERROR(__xludf.DUMMYFUNCTION("PROPER(TRIM(
  REGEXREPLACE(
    REGEXREPLACE(
      SUBSTITUTE(SUBSTITUTE(SUBSTITUTE(SUBSTITUTE(SUBSTITUTE(SUBSTITUTE(SUBSTITUTE(SUBSTITUTE(SUBSTITUTE(SUBSTITUTE(SUBSTITUTE(
        B412,""√©"",""é""),""√°"",""á""),""√±"",""ñ""),""√≥"",""ó""),""√â"",""é"&amp;"""),""√Å"",""á""),""√ç"",""í""),""√Ç"",""Í""),""√Â"",""é""),""√≠"",""í""),""√º"",""ú""),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12" s="22" t="str">
        <f>IFERROR(__xludf.DUMMYFUNCTION("SPLIT(
  TRIM(
    SUBSTITUTE(
      SUBSTITUTE(
        SUBSTITUTE(
          SUBSTITUTE(
            C412,
            ""√©"", ""é""
          ),
          ""√±"", ""ñ""
        ),
        ""√°"", ""á""
      ),
      ""√≥"", ""ó""
    )
  ),
  ""-""
)
"),"Tablet")</f>
        <v>Tablet</v>
      </c>
      <c r="O412" s="22" t="str">
        <f>IFERROR(__xludf.DUMMYFUNCTION("""COMPUTED_VALUE"""),"Estándar")</f>
        <v>Estándar</v>
      </c>
      <c r="P412" s="22" t="str">
        <f>IFERROR(__xludf.DUMMYFUNCTION("""COMPUTED_VALUE"""),"4GB")</f>
        <v>4GB</v>
      </c>
      <c r="Q412" s="23">
        <f t="shared" si="1"/>
        <v>206.29</v>
      </c>
      <c r="R412" s="22">
        <f t="shared" si="2"/>
        <v>4</v>
      </c>
      <c r="S412" s="23">
        <f t="shared" si="3"/>
        <v>825.16</v>
      </c>
      <c r="T412" s="22" t="str">
        <f>IFERROR(__xludf.DUMMYFUNCTION("PROPER(TRIM(
  LET(
    texto1, REGEXREPLACE(G412,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Eduardo Conchita Barrientos Pulido")</f>
        <v>José Eduardo Conchita Barrientos Pulido</v>
      </c>
      <c r="U412" s="22" t="str">
        <f t="shared" si="4"/>
        <v>45b7faf6-5799-4708-8c79-9b6b478ccfc3</v>
      </c>
      <c r="V412" s="24" t="str">
        <f t="shared" si="5"/>
        <v>Tablet Estándar 4GB</v>
      </c>
    </row>
    <row r="413" ht="15.75" customHeight="1">
      <c r="A413" s="36">
        <v>45302.0</v>
      </c>
      <c r="B413" s="2" t="s">
        <v>16</v>
      </c>
      <c r="C413" s="2" t="s">
        <v>86</v>
      </c>
      <c r="D413" s="7">
        <v>271.04</v>
      </c>
      <c r="E413" s="2">
        <v>4.0</v>
      </c>
      <c r="F413" s="7">
        <v>1084.16</v>
      </c>
      <c r="G413" s="2" t="s">
        <v>1530</v>
      </c>
      <c r="H413" s="2" t="s">
        <v>1531</v>
      </c>
      <c r="I413" s="2" t="s">
        <v>1532</v>
      </c>
      <c r="K413" s="25" t="str">
        <f>IFERROR(__xludf.DUMMYFUNCTION("IF(ISBLANK(A413),
  """",
  IF(ISNUMBER(A413),
    TEXT(A413,""dd/mm/yyyy""),
    IF(
      REGEXMATCH(TRIM(A413),""^\d{1,2}/\d{1,2}/\d{4}$""),
      TRIM(A413),
      IFERROR(
        TEXT(DATEVALUE(SUBSTITUTE(SUBSTITUTE(TRIM(A413),""-"",""/""),""."",""/"&amp;""")),""dd/mm/yyyy""),
        TRIM(A413)
      )
    )
  )
)
"),"11/01/2024")</f>
        <v>11/01/2024</v>
      </c>
      <c r="L413" s="26">
        <v>45302.0</v>
      </c>
      <c r="M413" s="27" t="str">
        <f>IFERROR(__xludf.DUMMYFUNCTION("PROPER(TRIM(
  REGEXREPLACE(
    REGEXREPLACE(
      SUBSTITUTE(SUBSTITUTE(SUBSTITUTE(SUBSTITUTE(SUBSTITUTE(SUBSTITUTE(SUBSTITUTE(SUBSTITUTE(SUBSTITUTE(SUBSTITUTE(SUBSTITUTE(
        B413,""√©"",""é""),""√°"",""á""),""√±"",""ñ""),""√≥"",""ó""),""√â"",""é"&amp;"""),""√Å"",""á""),""√ç"",""í""),""√Ç"",""Í""),""√Â"",""é""),""√≠"",""í""),""√º"",""ú""),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13" s="28" t="str">
        <f>IFERROR(__xludf.DUMMYFUNCTION("SPLIT(
  TRIM(
    SUBSTITUTE(
      SUBSTITUTE(
        SUBSTITUTE(
          SUBSTITUTE(
            C413,
            ""√©"", ""é""
          ),
          ""√±"", ""ñ""
        ),
        ""√°"", ""á""
      ),
      ""√≥"", ""ó""
    )
  ),
  ""-""
)
"),"Tablet")</f>
        <v>Tablet</v>
      </c>
      <c r="O413" s="28" t="str">
        <f>IFERROR(__xludf.DUMMYFUNCTION("""COMPUTED_VALUE"""),"Pro")</f>
        <v>Pro</v>
      </c>
      <c r="P413" s="28" t="str">
        <f>IFERROR(__xludf.DUMMYFUNCTION("""COMPUTED_VALUE"""),"32GB")</f>
        <v>32GB</v>
      </c>
      <c r="Q413" s="29">
        <f t="shared" si="1"/>
        <v>271.04</v>
      </c>
      <c r="R413" s="28">
        <f t="shared" si="2"/>
        <v>4</v>
      </c>
      <c r="S413" s="29">
        <f t="shared" si="3"/>
        <v>1084.16</v>
      </c>
      <c r="T413" s="28" t="str">
        <f>IFERROR(__xludf.DUMMYFUNCTION("PROPER(TRIM(
  LET(
    texto1, REGEXREPLACE(G413,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"),"Jaqueline Dávila")</f>
        <v>Jaqueline Dávila</v>
      </c>
      <c r="U413" s="28" t="str">
        <f t="shared" si="4"/>
        <v>102c4aaf-9bcf-4c52-b93a-cf8ec01c2ab6</v>
      </c>
      <c r="V413" s="30" t="str">
        <f t="shared" si="5"/>
        <v>Tablet Pro 32GB</v>
      </c>
    </row>
    <row r="414" ht="15.75" customHeight="1">
      <c r="A414" s="36">
        <v>45392.0</v>
      </c>
      <c r="B414" s="2" t="s">
        <v>38</v>
      </c>
      <c r="C414" s="2" t="s">
        <v>226</v>
      </c>
      <c r="D414" s="7">
        <v>1770.13</v>
      </c>
      <c r="E414" s="2">
        <v>1.0</v>
      </c>
      <c r="F414" s="7">
        <v>1770.13</v>
      </c>
      <c r="G414" s="2" t="s">
        <v>1533</v>
      </c>
      <c r="H414" s="2" t="s">
        <v>1534</v>
      </c>
      <c r="I414" s="2" t="s">
        <v>1535</v>
      </c>
      <c r="K414" s="19" t="str">
        <f>IFERROR(__xludf.DUMMYFUNCTION("IF(ISBLANK(A414),
  """",
  IF(ISNUMBER(A414),
    TEXT(A414,""dd/mm/yyyy""),
    IF(
      REGEXMATCH(TRIM(A414),""^\d{1,2}/\d{1,2}/\d{4}$""),
      TRIM(A414),
      IFERROR(
        TEXT(DATEVALUE(SUBSTITUTE(SUBSTITUTE(TRIM(A414),""-"",""/""),""."",""/"&amp;""")),""dd/mm/yyyy""),
        TRIM(A414)
      )
    )
  )
)
"),"10/04/2024")</f>
        <v>10/04/2024</v>
      </c>
      <c r="L414" s="20">
        <v>45392.0</v>
      </c>
      <c r="M414" s="21" t="str">
        <f>IFERROR(__xludf.DUMMYFUNCTION("PROPER(TRIM(
  REGEXREPLACE(
    REGEXREPLACE(
      SUBSTITUTE(SUBSTITUTE(SUBSTITUTE(SUBSTITUTE(SUBSTITUTE(SUBSTITUTE(SUBSTITUTE(SUBSTITUTE(SUBSTITUTE(SUBSTITUTE(SUBSTITUTE(
        B414,""√©"",""é""),""√°"",""á""),""√±"",""ñ""),""√≥"",""ó""),""√â"",""é"&amp;"""),""√Å"",""á""),""√ç"",""í""),""√Ç"",""Í""),""√Â"",""é""),""√≠"",""í""),""√º"",""ú""),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14" s="22" t="str">
        <f>IFERROR(__xludf.DUMMYFUNCTION("SPLIT(
  TRIM(
    SUBSTITUTE(
      SUBSTITUTE(
        SUBSTITUTE(
          SUBSTITUTE(
            C414,
            ""√©"", ""é""
          ),
          ""√±"", ""ñ""
        ),
        ""√°"", ""á""
      ),
      ""√≥"", ""ó""
    )
  ),
  ""-""
)
"),"Tablet")</f>
        <v>Tablet</v>
      </c>
      <c r="O414" s="22" t="str">
        <f>IFERROR(__xludf.DUMMYFUNCTION("""COMPUTED_VALUE"""),"Mini")</f>
        <v>Mini</v>
      </c>
      <c r="P414" s="22" t="str">
        <f>IFERROR(__xludf.DUMMYFUNCTION("""COMPUTED_VALUE"""),"16GB")</f>
        <v>16GB</v>
      </c>
      <c r="Q414" s="23">
        <f t="shared" si="1"/>
        <v>1770.13</v>
      </c>
      <c r="R414" s="22">
        <f t="shared" si="2"/>
        <v>1</v>
      </c>
      <c r="S414" s="23">
        <f t="shared" si="3"/>
        <v>1770.13</v>
      </c>
      <c r="T414" s="22" t="str">
        <f>IFERROR(__xludf.DUMMYFUNCTION("PROPER(TRIM(
  LET(
    texto1, REGEXREPLACE(G414,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"),"Fabiola Tamayo")</f>
        <v>Fabiola Tamayo</v>
      </c>
      <c r="U414" s="22" t="str">
        <f t="shared" si="4"/>
        <v>ea922216-7953-46a5-b039-73b0459c6adf</v>
      </c>
      <c r="V414" s="24" t="str">
        <f t="shared" si="5"/>
        <v>Tablet Mini 16GB</v>
      </c>
    </row>
    <row r="415" ht="15.75" customHeight="1">
      <c r="A415" s="6">
        <v>45649.0</v>
      </c>
      <c r="B415" s="2" t="s">
        <v>16</v>
      </c>
      <c r="C415" s="2" t="s">
        <v>17</v>
      </c>
      <c r="D415" s="7">
        <v>988.8</v>
      </c>
      <c r="E415" s="2">
        <v>5.0</v>
      </c>
      <c r="F415" s="7">
        <v>4944.0</v>
      </c>
      <c r="G415" s="2" t="s">
        <v>1536</v>
      </c>
      <c r="H415" s="2" t="s">
        <v>1537</v>
      </c>
      <c r="I415" s="2" t="s">
        <v>1538</v>
      </c>
      <c r="K415" s="25" t="str">
        <f>IFERROR(__xludf.DUMMYFUNCTION("IF(ISBLANK(A415),
  """",
  IF(ISNUMBER(A415),
    TEXT(A415,""dd/mm/yyyy""),
    IF(
      REGEXMATCH(TRIM(A415),""^\d{1,2}/\d{1,2}/\d{4}$""),
      TRIM(A415),
      IFERROR(
        TEXT(DATEVALUE(SUBSTITUTE(SUBSTITUTE(TRIM(A415),""-"",""/""),""."",""/"&amp;""")),""dd/mm/yyyy""),
        TRIM(A415)
      )
    )
  )
)
"),"23/12/2024")</f>
        <v>23/12/2024</v>
      </c>
      <c r="L415" s="26">
        <v>45649.0</v>
      </c>
      <c r="M415" s="27" t="str">
        <f>IFERROR(__xludf.DUMMYFUNCTION("PROPER(TRIM(
  REGEXREPLACE(
    REGEXREPLACE(
      SUBSTITUTE(SUBSTITUTE(SUBSTITUTE(SUBSTITUTE(SUBSTITUTE(SUBSTITUTE(SUBSTITUTE(SUBSTITUTE(SUBSTITUTE(SUBSTITUTE(SUBSTITUTE(
        B415,""√©"",""é""),""√°"",""á""),""√±"",""ñ""),""√≥"",""ó""),""√â"",""é"&amp;"""),""√Å"",""á""),""√ç"",""í""),""√Ç"",""Í""),""√Â"",""é""),""√≠"",""í""),""√º"",""ú""),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15" s="28" t="str">
        <f>IFERROR(__xludf.DUMMYFUNCTION("SPLIT(
  TRIM(
    SUBSTITUTE(
      SUBSTITUTE(
        SUBSTITUTE(
          SUBSTITUTE(
            C415,
            ""√©"", ""é""
          ),
          ""√±"", ""ñ""
        ),
        ""√°"", ""á""
      ),
      ""√≥"", ""ó""
    )
  ),
  ""-""
)
"),"Auriculares")</f>
        <v>Auriculares</v>
      </c>
      <c r="O415" s="28" t="str">
        <f>IFERROR(__xludf.DUMMYFUNCTION("""COMPUTED_VALUE"""),"Bluetooth")</f>
        <v>Bluetooth</v>
      </c>
      <c r="P415" s="28" t="str">
        <f>IFERROR(__xludf.DUMMYFUNCTION("""COMPUTED_VALUE"""),"8GB")</f>
        <v>8GB</v>
      </c>
      <c r="Q415" s="29">
        <f t="shared" si="1"/>
        <v>988.8</v>
      </c>
      <c r="R415" s="28">
        <f t="shared" si="2"/>
        <v>5</v>
      </c>
      <c r="S415" s="29">
        <f t="shared" si="3"/>
        <v>4944</v>
      </c>
      <c r="T415" s="28" t="str">
        <f>IFERROR(__xludf.DUMMYFUNCTION("PROPER(TRIM(
  LET(
    texto1, REGEXREPLACE(G415,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"),"Mauricio José Luis Arroyo Mascareñas")</f>
        <v>Mauricio José Luis Arroyo Mascareñas</v>
      </c>
      <c r="U415" s="28" t="str">
        <f t="shared" si="4"/>
        <v>f10d9e5e-78e5-42f9-984f-478745f93fb9</v>
      </c>
      <c r="V415" s="30" t="str">
        <f t="shared" si="5"/>
        <v>Auriculares Bluetooth 8GB</v>
      </c>
    </row>
    <row r="416" ht="15.75" customHeight="1">
      <c r="A416" s="36">
        <v>45607.0</v>
      </c>
      <c r="B416" s="2" t="s">
        <v>60</v>
      </c>
      <c r="C416" s="2" t="s">
        <v>111</v>
      </c>
      <c r="D416" s="7">
        <v>1170.2</v>
      </c>
      <c r="E416" s="2">
        <v>1.0</v>
      </c>
      <c r="F416" s="7">
        <v>1170.2</v>
      </c>
      <c r="G416" s="2" t="s">
        <v>1539</v>
      </c>
      <c r="H416" s="2" t="s">
        <v>1540</v>
      </c>
      <c r="I416" s="2" t="s">
        <v>1541</v>
      </c>
      <c r="K416" s="19" t="str">
        <f>IFERROR(__xludf.DUMMYFUNCTION("IF(ISBLANK(A416),
  """",
  IF(ISNUMBER(A416),
    TEXT(A416,""dd/mm/yyyy""),
    IF(
      REGEXMATCH(TRIM(A416),""^\d{1,2}/\d{1,2}/\d{4}$""),
      TRIM(A416),
      IFERROR(
        TEXT(DATEVALUE(SUBSTITUTE(SUBSTITUTE(TRIM(A416),""-"",""/""),""."",""/"&amp;""")),""dd/mm/yyyy""),
        TRIM(A416)
      )
    )
  )
)
"),"11/11/2024")</f>
        <v>11/11/2024</v>
      </c>
      <c r="L416" s="20">
        <v>45607.0</v>
      </c>
      <c r="M416" s="21" t="str">
        <f>IFERROR(__xludf.DUMMYFUNCTION("PROPER(TRIM(
  REGEXREPLACE(
    REGEXREPLACE(
      SUBSTITUTE(SUBSTITUTE(SUBSTITUTE(SUBSTITUTE(SUBSTITUTE(SUBSTITUTE(SUBSTITUTE(SUBSTITUTE(SUBSTITUTE(SUBSTITUTE(SUBSTITUTE(
        B416,""√©"",""é""),""√°"",""á""),""√±"",""ñ""),""√≥"",""ó""),""√â"",""é"&amp;"""),""√Å"",""á""),""√ç"",""í""),""√Ç"",""Í""),""√Â"",""é""),""√≠"",""í""),""√º"",""ú""),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16" s="22" t="str">
        <f>IFERROR(__xludf.DUMMYFUNCTION("SPLIT(
  TRIM(
    SUBSTITUTE(
      SUBSTITUTE(
        SUBSTITUTE(
          SUBSTITUTE(
            C416,
            ""√©"", ""é""
          ),
          ""√±"", ""ñ""
        ),
        ""√°"", ""á""
      ),
      ""√≥"", ""ó""
    )
  ),
  ""-""
)
"),"Tablet")</f>
        <v>Tablet</v>
      </c>
      <c r="O416" s="22" t="str">
        <f>IFERROR(__xludf.DUMMYFUNCTION("""COMPUTED_VALUE"""),"Estándar")</f>
        <v>Estándar</v>
      </c>
      <c r="P416" s="22" t="str">
        <f>IFERROR(__xludf.DUMMYFUNCTION("""COMPUTED_VALUE"""),"16GB")</f>
        <v>16GB</v>
      </c>
      <c r="Q416" s="23">
        <f t="shared" si="1"/>
        <v>1170.2</v>
      </c>
      <c r="R416" s="22">
        <f t="shared" si="2"/>
        <v>1</v>
      </c>
      <c r="S416" s="23">
        <f t="shared" si="3"/>
        <v>1170.2</v>
      </c>
      <c r="T416" s="22" t="str">
        <f>IFERROR(__xludf.DUMMYFUNCTION("PROPER(TRIM(
  LET(
    texto1, REGEXREPLACE(G416,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"),"Eva Rivas Gallardo")</f>
        <v>Eva Rivas Gallardo</v>
      </c>
      <c r="U416" s="22" t="str">
        <f t="shared" si="4"/>
        <v>5d5d2fc9-2318-4ab5-b209-bb096e9dc1a1</v>
      </c>
      <c r="V416" s="24" t="str">
        <f t="shared" si="5"/>
        <v>Tablet Estándar 16GB</v>
      </c>
    </row>
    <row r="417" ht="15.75" customHeight="1">
      <c r="A417" s="6">
        <v>45589.0</v>
      </c>
      <c r="B417" s="2" t="s">
        <v>38</v>
      </c>
      <c r="C417" s="2" t="s">
        <v>11</v>
      </c>
      <c r="D417" s="7">
        <v>2418.11</v>
      </c>
      <c r="E417" s="2">
        <v>1.0</v>
      </c>
      <c r="F417" s="7">
        <v>2418.11</v>
      </c>
      <c r="G417" s="2" t="s">
        <v>1542</v>
      </c>
      <c r="H417" s="2" t="s">
        <v>1543</v>
      </c>
      <c r="I417" s="2" t="s">
        <v>1544</v>
      </c>
      <c r="K417" s="25" t="str">
        <f>IFERROR(__xludf.DUMMYFUNCTION("IF(ISBLANK(A417),
  """",
  IF(ISNUMBER(A417),
    TEXT(A417,""dd/mm/yyyy""),
    IF(
      REGEXMATCH(TRIM(A417),""^\d{1,2}/\d{1,2}/\d{4}$""),
      TRIM(A417),
      IFERROR(
        TEXT(DATEVALUE(SUBSTITUTE(SUBSTITUTE(TRIM(A417),""-"",""/""),""."",""/"&amp;""")),""dd/mm/yyyy""),
        TRIM(A417)
      )
    )
  )
)
"),"24/10/2024")</f>
        <v>24/10/2024</v>
      </c>
      <c r="L417" s="26">
        <v>45589.0</v>
      </c>
      <c r="M417" s="27" t="str">
        <f>IFERROR(__xludf.DUMMYFUNCTION("PROPER(TRIM(
  REGEXREPLACE(
    REGEXREPLACE(
      SUBSTITUTE(SUBSTITUTE(SUBSTITUTE(SUBSTITUTE(SUBSTITUTE(SUBSTITUTE(SUBSTITUTE(SUBSTITUTE(SUBSTITUTE(SUBSTITUTE(SUBSTITUTE(
        B417,""√©"",""é""),""√°"",""á""),""√±"",""ñ""),""√≥"",""ó""),""√â"",""é"&amp;"""),""√Å"",""á""),""√ç"",""í""),""√Ç"",""Í""),""√Â"",""é""),""√≠"",""í""),""√º"",""ú""),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17" s="28" t="str">
        <f>IFERROR(__xludf.DUMMYFUNCTION("SPLIT(
  TRIM(
    SUBSTITUTE(
      SUBSTITUTE(
        SUBSTITUTE(
          SUBSTITUTE(
            C417,
            ""√©"", ""é""
          ),
          ""√±"", ""ñ""
        ),
        ""√°"", ""á""
      ),
      ""√≥"", ""ó""
    )
  ),
  ""-""
)
"),"Auriculares")</f>
        <v>Auriculares</v>
      </c>
      <c r="O417" s="28" t="str">
        <f>IFERROR(__xludf.DUMMYFUNCTION("""COMPUTED_VALUE"""),"Con cable")</f>
        <v>Con cable</v>
      </c>
      <c r="P417" s="28" t="str">
        <f>IFERROR(__xludf.DUMMYFUNCTION("""COMPUTED_VALUE"""),"32GB")</f>
        <v>32GB</v>
      </c>
      <c r="Q417" s="29">
        <f t="shared" si="1"/>
        <v>2418.11</v>
      </c>
      <c r="R417" s="28">
        <f t="shared" si="2"/>
        <v>1</v>
      </c>
      <c r="S417" s="29">
        <f t="shared" si="3"/>
        <v>2418.11</v>
      </c>
      <c r="T417" s="28" t="str">
        <f>IFERROR(__xludf.DUMMYFUNCTION("PROPER(TRIM(
  LET(
    texto1, REGEXREPLACE(G417,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"),"Luisa Gilberto Trujillo")</f>
        <v>Luisa Gilberto Trujillo</v>
      </c>
      <c r="U417" s="28" t="str">
        <f t="shared" si="4"/>
        <v>62a79a02-2ff5-4434-a42e-150fc8d403dd</v>
      </c>
      <c r="V417" s="30" t="str">
        <f t="shared" si="5"/>
        <v>Auriculares Con cable 32GB</v>
      </c>
    </row>
    <row r="418" ht="15.75" customHeight="1">
      <c r="A418" s="36">
        <v>45334.0</v>
      </c>
      <c r="B418" s="2" t="s">
        <v>85</v>
      </c>
      <c r="C418" s="2" t="s">
        <v>135</v>
      </c>
      <c r="D418" s="7">
        <v>1639.83</v>
      </c>
      <c r="E418" s="2">
        <v>4.0</v>
      </c>
      <c r="F418" s="7">
        <v>6559.32</v>
      </c>
      <c r="G418" s="2" t="s">
        <v>1545</v>
      </c>
      <c r="H418" s="2" t="s">
        <v>1546</v>
      </c>
      <c r="I418" s="2" t="s">
        <v>1547</v>
      </c>
      <c r="K418" s="19" t="str">
        <f>IFERROR(__xludf.DUMMYFUNCTION("IF(ISBLANK(A418),
  """",
  IF(ISNUMBER(A418),
    TEXT(A418,""dd/mm/yyyy""),
    IF(
      REGEXMATCH(TRIM(A418),""^\d{1,2}/\d{1,2}/\d{4}$""),
      TRIM(A418),
      IFERROR(
        TEXT(DATEVALUE(SUBSTITUTE(SUBSTITUTE(TRIM(A418),""-"",""/""),""."",""/"&amp;""")),""dd/mm/yyyy""),
        TRIM(A418)
      )
    )
  )
)
"),"12/02/2024")</f>
        <v>12/02/2024</v>
      </c>
      <c r="L418" s="20">
        <v>45334.0</v>
      </c>
      <c r="M418" s="21" t="str">
        <f>IFERROR(__xludf.DUMMYFUNCTION("PROPER(TRIM(
  REGEXREPLACE(
    REGEXREPLACE(
      SUBSTITUTE(SUBSTITUTE(SUBSTITUTE(SUBSTITUTE(SUBSTITUTE(SUBSTITUTE(SUBSTITUTE(SUBSTITUTE(SUBSTITUTE(SUBSTITUTE(SUBSTITUTE(
        B418,""√©"",""é""),""√°"",""á""),""√±"",""ñ""),""√≥"",""ó""),""√â"",""é"&amp;"""),""√Å"",""á""),""√ç"",""í""),""√Ç"",""Í""),""√Â"",""é""),""√≠"",""í""),""√º"",""ú""),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18" s="22" t="str">
        <f>IFERROR(__xludf.DUMMYFUNCTION("SPLIT(
  TRIM(
    SUBSTITUTE(
      SUBSTITUTE(
        SUBSTITUTE(
          SUBSTITUTE(
            C418,
            ""√©"", ""é""
          ),
          ""√±"", ""ñ""
        ),
        ""√°"", ""á""
      ),
      ""√≥"", ""ó""
    )
  ),
  ""-""
)
"),"Laptop")</f>
        <v>Laptop</v>
      </c>
      <c r="O418" s="22" t="str">
        <f>IFERROR(__xludf.DUMMYFUNCTION("""COMPUTED_VALUE"""),"Ultraliviana")</f>
        <v>Ultraliviana</v>
      </c>
      <c r="P418" s="22" t="str">
        <f>IFERROR(__xludf.DUMMYFUNCTION("""COMPUTED_VALUE"""),"32GB")</f>
        <v>32GB</v>
      </c>
      <c r="Q418" s="23">
        <f t="shared" si="1"/>
        <v>1639.83</v>
      </c>
      <c r="R418" s="22">
        <f t="shared" si="2"/>
        <v>4</v>
      </c>
      <c r="S418" s="23">
        <f t="shared" si="3"/>
        <v>6559.32</v>
      </c>
      <c r="T418" s="22" t="str">
        <f>IFERROR(__xludf.DUMMYFUNCTION("PROPER(TRIM(
  LET(
    texto1, REGEXREPLACE(G418,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"),"Sessa Barragán")</f>
        <v>Sessa Barragán</v>
      </c>
      <c r="U418" s="22" t="str">
        <f t="shared" si="4"/>
        <v>b1db7db2-5c54-40de-8504-0fd6675da8c4</v>
      </c>
      <c r="V418" s="24" t="str">
        <f t="shared" si="5"/>
        <v>Laptop Ultraliviana 32GB</v>
      </c>
    </row>
    <row r="419" ht="15.75" customHeight="1">
      <c r="A419" s="6">
        <v>45609.0</v>
      </c>
      <c r="B419" s="2" t="s">
        <v>16</v>
      </c>
      <c r="C419" s="2" t="s">
        <v>45</v>
      </c>
      <c r="D419" s="7">
        <v>1373.32</v>
      </c>
      <c r="E419" s="2">
        <v>1.0</v>
      </c>
      <c r="F419" s="7">
        <v>1373.32</v>
      </c>
      <c r="G419" s="2" t="s">
        <v>1548</v>
      </c>
      <c r="H419" s="2" t="s">
        <v>1549</v>
      </c>
      <c r="I419" s="2" t="s">
        <v>1550</v>
      </c>
      <c r="K419" s="25" t="str">
        <f>IFERROR(__xludf.DUMMYFUNCTION("IF(ISBLANK(A419),
  """",
  IF(ISNUMBER(A419),
    TEXT(A419,""dd/mm/yyyy""),
    IF(
      REGEXMATCH(TRIM(A419),""^\d{1,2}/\d{1,2}/\d{4}$""),
      TRIM(A419),
      IFERROR(
        TEXT(DATEVALUE(SUBSTITUTE(SUBSTITUTE(TRIM(A419),""-"",""/""),""."",""/"&amp;""")),""dd/mm/yyyy""),
        TRIM(A419)
      )
    )
  )
)
"),"13/11/2024")</f>
        <v>13/11/2024</v>
      </c>
      <c r="L419" s="26">
        <v>45609.0</v>
      </c>
      <c r="M419" s="27" t="str">
        <f>IFERROR(__xludf.DUMMYFUNCTION("PROPER(TRIM(
  REGEXREPLACE(
    REGEXREPLACE(
      SUBSTITUTE(SUBSTITUTE(SUBSTITUTE(SUBSTITUTE(SUBSTITUTE(SUBSTITUTE(SUBSTITUTE(SUBSTITUTE(SUBSTITUTE(SUBSTITUTE(SUBSTITUTE(
        B419,""√©"",""é""),""√°"",""á""),""√±"",""ñ""),""√≥"",""ó""),""√â"",""é"&amp;"""),""√Å"",""á""),""√ç"",""í""),""√Ç"",""Í""),""√Â"",""é""),""√≠"",""í""),""√º"",""ú""),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19" s="28" t="str">
        <f>IFERROR(__xludf.DUMMYFUNCTION("SPLIT(
  TRIM(
    SUBSTITUTE(
      SUBSTITUTE(
        SUBSTITUTE(
          SUBSTITUTE(
            C419,
            ""√©"", ""é""
          ),
          ""√±"", ""ñ""
        ),
        ""√°"", ""á""
      ),
      ""√≥"", ""ó""
    )
  ),
  ""-""
)
"),"Tablet")</f>
        <v>Tablet</v>
      </c>
      <c r="O419" s="28" t="str">
        <f>IFERROR(__xludf.DUMMYFUNCTION("""COMPUTED_VALUE"""),"Mini")</f>
        <v>Mini</v>
      </c>
      <c r="P419" s="28" t="str">
        <f>IFERROR(__xludf.DUMMYFUNCTION("""COMPUTED_VALUE"""),"4GB")</f>
        <v>4GB</v>
      </c>
      <c r="Q419" s="29">
        <f t="shared" si="1"/>
        <v>1373.32</v>
      </c>
      <c r="R419" s="28">
        <f t="shared" si="2"/>
        <v>1</v>
      </c>
      <c r="S419" s="29">
        <f t="shared" si="3"/>
        <v>1373.32</v>
      </c>
      <c r="T419" s="28" t="str">
        <f>IFERROR(__xludf.DUMMYFUNCTION("PROPER(TRIM(
  LET(
    texto1, REGEXREPLACE(G419,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"),"Amanda Báez")</f>
        <v>Amanda Báez</v>
      </c>
      <c r="U419" s="28" t="str">
        <f t="shared" si="4"/>
        <v>a7dfe4eb-5eeb-4472-bdee-bc2113869dcc</v>
      </c>
      <c r="V419" s="30" t="str">
        <f t="shared" si="5"/>
        <v>Tablet Mini 4GB</v>
      </c>
    </row>
    <row r="420" ht="15.75" customHeight="1">
      <c r="A420" s="36">
        <v>45545.0</v>
      </c>
      <c r="B420" s="2" t="s">
        <v>27</v>
      </c>
      <c r="C420" s="2" t="s">
        <v>96</v>
      </c>
      <c r="D420" s="7">
        <v>825.4</v>
      </c>
      <c r="E420" s="2">
        <v>4.0</v>
      </c>
      <c r="F420" s="7">
        <v>3301.6</v>
      </c>
      <c r="G420" s="2" t="s">
        <v>1552</v>
      </c>
      <c r="H420" s="2" t="s">
        <v>1553</v>
      </c>
      <c r="I420" s="2" t="s">
        <v>1554</v>
      </c>
      <c r="K420" s="19" t="str">
        <f>IFERROR(__xludf.DUMMYFUNCTION("IF(ISBLANK(A420),
  """",
  IF(ISNUMBER(A420),
    TEXT(A420,""dd/mm/yyyy""),
    IF(
      REGEXMATCH(TRIM(A420),""^\d{1,2}/\d{1,2}/\d{4}$""),
      TRIM(A420),
      IFERROR(
        TEXT(DATEVALUE(SUBSTITUTE(SUBSTITUTE(TRIM(A420),""-"",""/""),""."",""/"&amp;""")),""dd/mm/yyyy""),
        TRIM(A420)
      )
    )
  )
)
"),"10/09/2024")</f>
        <v>10/09/2024</v>
      </c>
      <c r="L420" s="20">
        <v>45545.0</v>
      </c>
      <c r="M420" s="21" t="str">
        <f>IFERROR(__xludf.DUMMYFUNCTION("PROPER(TRIM(
  REGEXREPLACE(
    REGEXREPLACE(
      SUBSTITUTE(SUBSTITUTE(SUBSTITUTE(SUBSTITUTE(SUBSTITUTE(SUBSTITUTE(SUBSTITUTE(SUBSTITUTE(SUBSTITUTE(SUBSTITUTE(SUBSTITUTE(
        B420,""√©"",""é""),""√°"",""á""),""√±"",""ñ""),""√≥"",""ó""),""√â"",""é"&amp;"""),""√Å"",""á""),""√ç"",""í""),""√Ç"",""Í""),""√Â"",""é""),""√≠"",""í""),""√º"",""ú""),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20" s="22" t="str">
        <f>IFERROR(__xludf.DUMMYFUNCTION("SPLIT(
  TRIM(
    SUBSTITUTE(
      SUBSTITUTE(
        SUBSTITUTE(
          SUBSTITUTE(
            C420,
            ""√©"", ""é""
          ),
          ""√±"", ""ñ""
        ),
        ""√°"", ""á""
      ),
      ""√≥"", ""ó""
    )
  ),
  ""-""
)
"),"Auriculares")</f>
        <v>Auriculares</v>
      </c>
      <c r="O420" s="22" t="str">
        <f>IFERROR(__xludf.DUMMYFUNCTION("""COMPUTED_VALUE"""),"Cancelación de ruido")</f>
        <v>Cancelación de ruido</v>
      </c>
      <c r="P420" s="22" t="str">
        <f>IFERROR(__xludf.DUMMYFUNCTION("""COMPUTED_VALUE"""),"4GB")</f>
        <v>4GB</v>
      </c>
      <c r="Q420" s="23">
        <f t="shared" si="1"/>
        <v>825.4</v>
      </c>
      <c r="R420" s="22">
        <f t="shared" si="2"/>
        <v>4</v>
      </c>
      <c r="S420" s="23">
        <f t="shared" si="3"/>
        <v>3301.6</v>
      </c>
      <c r="T420" s="22" t="str">
        <f>IFERROR(__xludf.DUMMYFUNCTION("PROPER(TRIM(
  LET(
    texto1, REGEXREPLACE(G420,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"),"Ilse Lozada")</f>
        <v>Ilse Lozada</v>
      </c>
      <c r="U420" s="22" t="str">
        <f t="shared" si="4"/>
        <v>cebd42be-c5fb-495b-b850-22b67d7d538d</v>
      </c>
      <c r="V420" s="24" t="str">
        <f t="shared" si="5"/>
        <v>Auriculares Cancelación de ruido 4GB</v>
      </c>
    </row>
    <row r="421" ht="15.75" customHeight="1">
      <c r="A421" s="6">
        <v>45588.0</v>
      </c>
      <c r="B421" s="2" t="s">
        <v>38</v>
      </c>
      <c r="C421" s="2" t="s">
        <v>172</v>
      </c>
      <c r="D421" s="7">
        <v>796.3</v>
      </c>
      <c r="E421" s="2">
        <v>4.0</v>
      </c>
      <c r="F421" s="7">
        <v>3185.2</v>
      </c>
      <c r="G421" s="2" t="s">
        <v>1555</v>
      </c>
      <c r="H421" s="2" t="s">
        <v>1556</v>
      </c>
      <c r="I421" s="2" t="s">
        <v>1557</v>
      </c>
      <c r="K421" s="25" t="str">
        <f>IFERROR(__xludf.DUMMYFUNCTION("IF(ISBLANK(A421),
  """",
  IF(ISNUMBER(A421),
    TEXT(A421,""dd/mm/yyyy""),
    IF(
      REGEXMATCH(TRIM(A421),""^\d{1,2}/\d{1,2}/\d{4}$""),
      TRIM(A421),
      IFERROR(
        TEXT(DATEVALUE(SUBSTITUTE(SUBSTITUTE(TRIM(A421),""-"",""/""),""."",""/"&amp;""")),""dd/mm/yyyy""),
        TRIM(A421)
      )
    )
  )
)
"),"23/10/2024")</f>
        <v>23/10/2024</v>
      </c>
      <c r="L421" s="26">
        <v>45588.0</v>
      </c>
      <c r="M421" s="27" t="str">
        <f>IFERROR(__xludf.DUMMYFUNCTION("PROPER(TRIM(
  REGEXREPLACE(
    REGEXREPLACE(
      SUBSTITUTE(SUBSTITUTE(SUBSTITUTE(SUBSTITUTE(SUBSTITUTE(SUBSTITUTE(SUBSTITUTE(SUBSTITUTE(SUBSTITUTE(SUBSTITUTE(SUBSTITUTE(
        B421,""√©"",""é""),""√°"",""á""),""√±"",""ñ""),""√≥"",""ó""),""√â"",""é"&amp;"""),""√Å"",""á""),""√ç"",""í""),""√Ç"",""Í""),""√Â"",""é""),""√≠"",""í""),""√º"",""ú""),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21" s="28" t="str">
        <f>IFERROR(__xludf.DUMMYFUNCTION("SPLIT(
  TRIM(
    SUBSTITUTE(
      SUBSTITUTE(
        SUBSTITUTE(
          SUBSTITUTE(
            C421,
            ""√©"", ""é""
          ),
          ""√±"", ""ñ""
        ),
        ""√°"", ""á""
      ),
      ""√≥"", ""ó""
    )
  ),
  ""-""
)
"),"Laptop")</f>
        <v>Laptop</v>
      </c>
      <c r="O421" s="28" t="str">
        <f>IFERROR(__xludf.DUMMYFUNCTION("""COMPUTED_VALUE"""),"Oficina")</f>
        <v>Oficina</v>
      </c>
      <c r="P421" s="28" t="str">
        <f>IFERROR(__xludf.DUMMYFUNCTION("""COMPUTED_VALUE"""),"8GB")</f>
        <v>8GB</v>
      </c>
      <c r="Q421" s="29">
        <f t="shared" si="1"/>
        <v>796.3</v>
      </c>
      <c r="R421" s="28">
        <f t="shared" si="2"/>
        <v>4</v>
      </c>
      <c r="S421" s="29">
        <f t="shared" si="3"/>
        <v>3185.2</v>
      </c>
      <c r="T421" s="28" t="str">
        <f>IFERROR(__xludf.DUMMYFUNCTION("PROPER(TRIM(
  LET(
    texto1, REGEXREPLACE(G421,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"),"Elsa Prieto")</f>
        <v>Elsa Prieto</v>
      </c>
      <c r="U421" s="28" t="str">
        <f t="shared" si="4"/>
        <v>4143d835-b0c6-4920-b3a2-df5339be92e0</v>
      </c>
      <c r="V421" s="30" t="str">
        <f t="shared" si="5"/>
        <v>Laptop Oficina 8GB</v>
      </c>
    </row>
    <row r="422" ht="15.75" customHeight="1">
      <c r="A422" s="6">
        <v>45613.0</v>
      </c>
      <c r="B422" s="2" t="s">
        <v>38</v>
      </c>
      <c r="C422" s="2" t="s">
        <v>186</v>
      </c>
      <c r="D422" s="7">
        <v>2127.13</v>
      </c>
      <c r="E422" s="2">
        <v>1.0</v>
      </c>
      <c r="F422" s="7">
        <v>2127.13</v>
      </c>
      <c r="G422" s="2" t="s">
        <v>1558</v>
      </c>
      <c r="H422" s="2" t="s">
        <v>1559</v>
      </c>
      <c r="I422" s="2" t="s">
        <v>1560</v>
      </c>
      <c r="K422" s="19" t="str">
        <f>IFERROR(__xludf.DUMMYFUNCTION("IF(ISBLANK(A422),
  """",
  IF(ISNUMBER(A422),
    TEXT(A422,""dd/mm/yyyy""),
    IF(
      REGEXMATCH(TRIM(A422),""^\d{1,2}/\d{1,2}/\d{4}$""),
      TRIM(A422),
      IFERROR(
        TEXT(DATEVALUE(SUBSTITUTE(SUBSTITUTE(TRIM(A422),""-"",""/""),""."",""/"&amp;""")),""dd/mm/yyyy""),
        TRIM(A422)
      )
    )
  )
)
"),"17/11/2024")</f>
        <v>17/11/2024</v>
      </c>
      <c r="L422" s="20">
        <v>45613.0</v>
      </c>
      <c r="M422" s="21" t="str">
        <f>IFERROR(__xludf.DUMMYFUNCTION("PROPER(TRIM(
  REGEXREPLACE(
    REGEXREPLACE(
      SUBSTITUTE(SUBSTITUTE(SUBSTITUTE(SUBSTITUTE(SUBSTITUTE(SUBSTITUTE(SUBSTITUTE(SUBSTITUTE(SUBSTITUTE(SUBSTITUTE(SUBSTITUTE(
        B422,""√©"",""é""),""√°"",""á""),""√±"",""ñ""),""√≥"",""ó""),""√â"",""é"&amp;"""),""√Å"",""á""),""√ç"",""í""),""√Ç"",""Í""),""√Â"",""é""),""√≠"",""í""),""√º"",""ú""),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22" s="22" t="str">
        <f>IFERROR(__xludf.DUMMYFUNCTION("SPLIT(
  TRIM(
    SUBSTITUTE(
      SUBSTITUTE(
        SUBSTITUTE(
          SUBSTITUTE(
            C422,
            ""√©"", ""é""
          ),
          ""√±"", ""ñ""
        ),
        ""√°"", ""á""
      ),
      ""√≥"", ""ó""
    )
  ),
  ""-""
)
"),"Tablet")</f>
        <v>Tablet</v>
      </c>
      <c r="O422" s="22" t="str">
        <f>IFERROR(__xludf.DUMMYFUNCTION("""COMPUTED_VALUE"""),"Mini")</f>
        <v>Mini</v>
      </c>
      <c r="P422" s="22" t="str">
        <f>IFERROR(__xludf.DUMMYFUNCTION("""COMPUTED_VALUE"""),"8GB")</f>
        <v>8GB</v>
      </c>
      <c r="Q422" s="23">
        <f t="shared" si="1"/>
        <v>2127.13</v>
      </c>
      <c r="R422" s="22">
        <f t="shared" si="2"/>
        <v>1</v>
      </c>
      <c r="S422" s="23">
        <f t="shared" si="3"/>
        <v>2127.13</v>
      </c>
      <c r="T422" s="22" t="str">
        <f>IFERROR(__xludf.DUMMYFUNCTION("PROPER(TRIM(
  LET(
    texto1, REGEXREPLACE(G422,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"),"Zacarías Galván")</f>
        <v>Zacarías Galván</v>
      </c>
      <c r="U422" s="22" t="str">
        <f t="shared" si="4"/>
        <v>de4c96f0-b965-4289-ab99-9976cb8ce9b5</v>
      </c>
      <c r="V422" s="24" t="str">
        <f t="shared" si="5"/>
        <v>Tablet Mini 8GB</v>
      </c>
    </row>
    <row r="423" ht="15.75" customHeight="1">
      <c r="A423" s="6">
        <v>45580.0</v>
      </c>
      <c r="B423" s="2" t="s">
        <v>16</v>
      </c>
      <c r="C423" s="2" t="s">
        <v>11</v>
      </c>
      <c r="D423" s="7">
        <v>2009.75</v>
      </c>
      <c r="E423" s="2">
        <v>2.0</v>
      </c>
      <c r="F423" s="7">
        <v>4019.5</v>
      </c>
      <c r="G423" s="2" t="s">
        <v>1561</v>
      </c>
      <c r="H423" s="2" t="s">
        <v>1562</v>
      </c>
      <c r="I423" s="2" t="s">
        <v>1563</v>
      </c>
      <c r="K423" s="25" t="str">
        <f>IFERROR(__xludf.DUMMYFUNCTION("IF(ISBLANK(A423),
  """",
  IF(ISNUMBER(A423),
    TEXT(A423,""dd/mm/yyyy""),
    IF(
      REGEXMATCH(TRIM(A423),""^\d{1,2}/\d{1,2}/\d{4}$""),
      TRIM(A423),
      IFERROR(
        TEXT(DATEVALUE(SUBSTITUTE(SUBSTITUTE(TRIM(A423),""-"",""/""),""."",""/"&amp;""")),""dd/mm/yyyy""),
        TRIM(A423)
      )
    )
  )
)
"),"15/10/2024")</f>
        <v>15/10/2024</v>
      </c>
      <c r="L423" s="26">
        <v>45580.0</v>
      </c>
      <c r="M423" s="27" t="str">
        <f>IFERROR(__xludf.DUMMYFUNCTION("PROPER(TRIM(
  REGEXREPLACE(
    REGEXREPLACE(
      SUBSTITUTE(SUBSTITUTE(SUBSTITUTE(SUBSTITUTE(SUBSTITUTE(SUBSTITUTE(SUBSTITUTE(SUBSTITUTE(SUBSTITUTE(SUBSTITUTE(SUBSTITUTE(
        B423,""√©"",""é""),""√°"",""á""),""√±"",""ñ""),""√≥"",""ó""),""√â"",""é"&amp;"""),""√Å"",""á""),""√ç"",""í""),""√Ç"",""Í""),""√Â"",""é""),""√≠"",""í""),""√º"",""ú""),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23" s="28" t="str">
        <f>IFERROR(__xludf.DUMMYFUNCTION("SPLIT(
  TRIM(
    SUBSTITUTE(
      SUBSTITUTE(
        SUBSTITUTE(
          SUBSTITUTE(
            C423,
            ""√©"", ""é""
          ),
          ""√±"", ""ñ""
        ),
        ""√°"", ""á""
      ),
      ""√≥"", ""ó""
    )
  ),
  ""-""
)
"),"Auriculares")</f>
        <v>Auriculares</v>
      </c>
      <c r="O423" s="28" t="str">
        <f>IFERROR(__xludf.DUMMYFUNCTION("""COMPUTED_VALUE"""),"Con cable")</f>
        <v>Con cable</v>
      </c>
      <c r="P423" s="28" t="str">
        <f>IFERROR(__xludf.DUMMYFUNCTION("""COMPUTED_VALUE"""),"32GB")</f>
        <v>32GB</v>
      </c>
      <c r="Q423" s="29">
        <f t="shared" si="1"/>
        <v>2009.75</v>
      </c>
      <c r="R423" s="28">
        <f t="shared" si="2"/>
        <v>2</v>
      </c>
      <c r="S423" s="29">
        <f t="shared" si="3"/>
        <v>4019.5</v>
      </c>
      <c r="T423" s="28" t="str">
        <f>IFERROR(__xludf.DUMMYFUNCTION("PROPER(TRIM(
  LET(
    texto1, REGEXREPLACE(G423,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"),"Santiago Montenegro")</f>
        <v>Santiago Montenegro</v>
      </c>
      <c r="U423" s="28" t="str">
        <f t="shared" si="4"/>
        <v>a65e1da8-d4c4-4925-b15a-eefb65f84daa</v>
      </c>
      <c r="V423" s="30" t="str">
        <f t="shared" si="5"/>
        <v>Auriculares Con cable 32GB</v>
      </c>
    </row>
    <row r="424" ht="15.75" customHeight="1">
      <c r="A424" s="37">
        <v>45603.0</v>
      </c>
      <c r="B424" s="2" t="s">
        <v>101</v>
      </c>
      <c r="C424" s="2" t="s">
        <v>39</v>
      </c>
      <c r="D424" s="7">
        <v>634.44</v>
      </c>
      <c r="E424" s="2">
        <v>4.0</v>
      </c>
      <c r="F424" s="7">
        <v>2537.76</v>
      </c>
      <c r="G424" s="2" t="s">
        <v>1564</v>
      </c>
      <c r="H424" s="2" t="s">
        <v>1565</v>
      </c>
      <c r="I424" s="2" t="s">
        <v>1566</v>
      </c>
      <c r="K424" s="19" t="str">
        <f>IFERROR(__xludf.DUMMYFUNCTION("IF(ISBLANK(A424),
  """",
  IF(ISNUMBER(A424),
    TEXT(A424,""dd/mm/yyyy""),
    IF(
      REGEXMATCH(TRIM(A424),""^\d{1,2}/\d{1,2}/\d{4}$""),
      TRIM(A424),
      IFERROR(
        TEXT(DATEVALUE(SUBSTITUTE(SUBSTITUTE(TRIM(A424),""-"",""/""),""."",""/"&amp;""")),""dd/mm/yyyy""),
        TRIM(A424)
      )
    )
  )
)
"),"07/11/2024")</f>
        <v>07/11/2024</v>
      </c>
      <c r="L424" s="20">
        <v>45603.0</v>
      </c>
      <c r="M424" s="21" t="str">
        <f>IFERROR(__xludf.DUMMYFUNCTION("PROPER(TRIM(
  REGEXREPLACE(
    REGEXREPLACE(
      SUBSTITUTE(SUBSTITUTE(SUBSTITUTE(SUBSTITUTE(SUBSTITUTE(SUBSTITUTE(SUBSTITUTE(SUBSTITUTE(SUBSTITUTE(SUBSTITUTE(SUBSTITUTE(
        B424,""√©"",""é""),""√°"",""á""),""√±"",""ñ""),""√≥"",""ó""),""√â"",""é"&amp;"""),""√Å"",""á""),""√ç"",""í""),""√Ç"",""Í""),""√Â"",""é""),""√≠"",""í""),""√º"",""ú""),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24" s="22" t="str">
        <f>IFERROR(__xludf.DUMMYFUNCTION("SPLIT(
  TRIM(
    SUBSTITUTE(
      SUBSTITUTE(
        SUBSTITUTE(
          SUBSTITUTE(
            C424,
            ""√©"", ""é""
          ),
          ""√±"", ""ñ""
        ),
        ""√°"", ""á""
      ),
      ""√≥"", ""ó""
    )
  ),
  ""-""
)
"),"Teléfono")</f>
        <v>Teléfono</v>
      </c>
      <c r="O424" s="22" t="str">
        <f>IFERROR(__xludf.DUMMYFUNCTION("""COMPUTED_VALUE"""),"Gama alta")</f>
        <v>Gama alta</v>
      </c>
      <c r="P424" s="22" t="str">
        <f>IFERROR(__xludf.DUMMYFUNCTION("""COMPUTED_VALUE"""),"8GB")</f>
        <v>8GB</v>
      </c>
      <c r="Q424" s="23">
        <f t="shared" si="1"/>
        <v>634.44</v>
      </c>
      <c r="R424" s="22">
        <f t="shared" si="2"/>
        <v>4</v>
      </c>
      <c r="S424" s="23">
        <f t="shared" si="3"/>
        <v>2537.76</v>
      </c>
      <c r="T424" s="22" t="str">
        <f>IFERROR(__xludf.DUMMYFUNCTION("PROPER(TRIM(
  LET(
    texto1, REGEXREPLACE(G424,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"),"Amador Juan Tafoya Hinojosa")</f>
        <v>Amador Juan Tafoya Hinojosa</v>
      </c>
      <c r="U424" s="22" t="str">
        <f t="shared" si="4"/>
        <v>95d058cf-b6bc-4829-8814-0306aba9f164</v>
      </c>
      <c r="V424" s="24" t="str">
        <f t="shared" si="5"/>
        <v>Teléfono Gama alta 8GB</v>
      </c>
    </row>
    <row r="425" ht="15.75" customHeight="1">
      <c r="A425" s="36">
        <v>45545.0</v>
      </c>
      <c r="B425" s="2" t="s">
        <v>16</v>
      </c>
      <c r="C425" s="2" t="s">
        <v>235</v>
      </c>
      <c r="D425" s="7">
        <v>2452.44</v>
      </c>
      <c r="E425" s="2">
        <v>3.0</v>
      </c>
      <c r="F425" s="7">
        <v>7357.32</v>
      </c>
      <c r="G425" s="2" t="s">
        <v>1567</v>
      </c>
      <c r="H425" s="2" t="s">
        <v>1568</v>
      </c>
      <c r="I425" s="2" t="s">
        <v>1569</v>
      </c>
      <c r="K425" s="25" t="str">
        <f>IFERROR(__xludf.DUMMYFUNCTION("IF(ISBLANK(A425),
  """",
  IF(ISNUMBER(A425),
    TEXT(A425,""dd/mm/yyyy""),
    IF(
      REGEXMATCH(TRIM(A425),""^\d{1,2}/\d{1,2}/\d{4}$""),
      TRIM(A425),
      IFERROR(
        TEXT(DATEVALUE(SUBSTITUTE(SUBSTITUTE(TRIM(A425),""-"",""/""),""."",""/"&amp;""")),""dd/mm/yyyy""),
        TRIM(A425)
      )
    )
  )
)
"),"10/09/2024")</f>
        <v>10/09/2024</v>
      </c>
      <c r="L425" s="26">
        <v>45545.0</v>
      </c>
      <c r="M425" s="27" t="str">
        <f>IFERROR(__xludf.DUMMYFUNCTION("PROPER(TRIM(
  REGEXREPLACE(
    REGEXREPLACE(
      SUBSTITUTE(SUBSTITUTE(SUBSTITUTE(SUBSTITUTE(SUBSTITUTE(SUBSTITUTE(SUBSTITUTE(SUBSTITUTE(SUBSTITUTE(SUBSTITUTE(SUBSTITUTE(
        B425,""√©"",""é""),""√°"",""á""),""√±"",""ñ""),""√≥"",""ó""),""√â"",""é"&amp;"""),""√Å"",""á""),""√ç"",""í""),""√Ç"",""Í""),""√Â"",""é""),""√≠"",""í""),""√º"",""ú""),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25" s="28" t="str">
        <f>IFERROR(__xludf.DUMMYFUNCTION("SPLIT(
  TRIM(
    SUBSTITUTE(
      SUBSTITUTE(
        SUBSTITUTE(
          SUBSTITUTE(
            C425,
            ""√©"", ""é""
          ),
          ""√±"", ""ñ""
        ),
        ""√°"", ""á""
      ),
      ""√≥"", ""ó""
    )
  ),
  ""-""
)
"),"Tablet")</f>
        <v>Tablet</v>
      </c>
      <c r="O425" s="28" t="str">
        <f>IFERROR(__xludf.DUMMYFUNCTION("""COMPUTED_VALUE"""),"Estándar")</f>
        <v>Estándar</v>
      </c>
      <c r="P425" s="28" t="str">
        <f>IFERROR(__xludf.DUMMYFUNCTION("""COMPUTED_VALUE"""),"4GB")</f>
        <v>4GB</v>
      </c>
      <c r="Q425" s="29">
        <f t="shared" si="1"/>
        <v>2452.44</v>
      </c>
      <c r="R425" s="28">
        <f t="shared" si="2"/>
        <v>3</v>
      </c>
      <c r="S425" s="29">
        <f t="shared" si="3"/>
        <v>7357.32</v>
      </c>
      <c r="T425" s="28" t="str">
        <f>IFERROR(__xludf.DUMMYFUNCTION("PROPER(TRIM(
  LET(
    texto1, REGEXREPLACE(G425,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"),"Francisco Valdés Becerra")</f>
        <v>Francisco Valdés Becerra</v>
      </c>
      <c r="U425" s="28" t="str">
        <f t="shared" si="4"/>
        <v>67cc5c65-25a9-43f0-a481-eb602e83758e</v>
      </c>
      <c r="V425" s="30" t="str">
        <f t="shared" si="5"/>
        <v>Tablet Estándar 4GB</v>
      </c>
    </row>
    <row r="426" ht="15.75" customHeight="1">
      <c r="A426" s="36">
        <v>45485.0</v>
      </c>
      <c r="B426" s="2" t="s">
        <v>16</v>
      </c>
      <c r="C426" s="2" t="s">
        <v>70</v>
      </c>
      <c r="D426" s="7">
        <v>460.39</v>
      </c>
      <c r="E426" s="2">
        <v>5.0</v>
      </c>
      <c r="F426" s="7">
        <v>2301.95</v>
      </c>
      <c r="G426" s="2" t="s">
        <v>1570</v>
      </c>
      <c r="H426" s="2" t="s">
        <v>1571</v>
      </c>
      <c r="I426" s="2" t="s">
        <v>1572</v>
      </c>
      <c r="K426" s="19" t="str">
        <f>IFERROR(__xludf.DUMMYFUNCTION("IF(ISBLANK(A426),
  """",
  IF(ISNUMBER(A426),
    TEXT(A426,""dd/mm/yyyy""),
    IF(
      REGEXMATCH(TRIM(A426),""^\d{1,2}/\d{1,2}/\d{4}$""),
      TRIM(A426),
      IFERROR(
        TEXT(DATEVALUE(SUBSTITUTE(SUBSTITUTE(TRIM(A426),""-"",""/""),""."",""/"&amp;""")),""dd/mm/yyyy""),
        TRIM(A426)
      )
    )
  )
)
"),"12/07/2024")</f>
        <v>12/07/2024</v>
      </c>
      <c r="L426" s="20">
        <v>45485.0</v>
      </c>
      <c r="M426" s="21" t="str">
        <f>IFERROR(__xludf.DUMMYFUNCTION("PROPER(TRIM(
  REGEXREPLACE(
    REGEXREPLACE(
      SUBSTITUTE(SUBSTITUTE(SUBSTITUTE(SUBSTITUTE(SUBSTITUTE(SUBSTITUTE(SUBSTITUTE(SUBSTITUTE(SUBSTITUTE(SUBSTITUTE(SUBSTITUTE(
        B426,""√©"",""é""),""√°"",""á""),""√±"",""ñ""),""√≥"",""ó""),""√â"",""é"&amp;"""),""√Å"",""á""),""√ç"",""í""),""√Ç"",""Í""),""√Â"",""é""),""√≠"",""í""),""√º"",""ú""),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26" s="22" t="str">
        <f>IFERROR(__xludf.DUMMYFUNCTION("SPLIT(
  TRIM(
    SUBSTITUTE(
      SUBSTITUTE(
        SUBSTITUTE(
          SUBSTITUTE(
            C426,
            ""√©"", ""é""
          ),
          ""√±"", ""ñ""
        ),
        ""√°"", ""á""
      ),
      ""√≥"", ""ó""
    )
  ),
  ""-""
)
"),"Auriculares")</f>
        <v>Auriculares</v>
      </c>
      <c r="O426" s="22" t="str">
        <f>IFERROR(__xludf.DUMMYFUNCTION("""COMPUTED_VALUE"""),"Con cable")</f>
        <v>Con cable</v>
      </c>
      <c r="P426" s="22" t="str">
        <f>IFERROR(__xludf.DUMMYFUNCTION("""COMPUTED_VALUE"""),"16GB")</f>
        <v>16GB</v>
      </c>
      <c r="Q426" s="23">
        <f t="shared" si="1"/>
        <v>460.39</v>
      </c>
      <c r="R426" s="22">
        <f t="shared" si="2"/>
        <v>5</v>
      </c>
      <c r="S426" s="23">
        <f t="shared" si="3"/>
        <v>2301.95</v>
      </c>
      <c r="T426" s="22" t="str">
        <f>IFERROR(__xludf.DUMMYFUNCTION("PROPER(TRIM(
  LET(
    texto1, REGEXREPLACE(G426,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"),"Sergio Velásquez")</f>
        <v>Sergio Velásquez</v>
      </c>
      <c r="U426" s="22" t="str">
        <f t="shared" si="4"/>
        <v>89938fb6-bb60-475d-8eb2-dfedd5f150fe</v>
      </c>
      <c r="V426" s="24" t="str">
        <f t="shared" si="5"/>
        <v>Auriculares Con cable 16GB</v>
      </c>
    </row>
    <row r="427" ht="15.75" customHeight="1">
      <c r="A427" s="36">
        <v>45545.0</v>
      </c>
      <c r="B427" s="2" t="s">
        <v>38</v>
      </c>
      <c r="C427" s="2" t="s">
        <v>360</v>
      </c>
      <c r="D427" s="32"/>
      <c r="E427" s="2">
        <v>3.0</v>
      </c>
      <c r="F427" s="7">
        <v>796.92</v>
      </c>
      <c r="G427" s="2" t="s">
        <v>1573</v>
      </c>
      <c r="H427" s="2" t="s">
        <v>1574</v>
      </c>
      <c r="I427" s="2" t="s">
        <v>1575</v>
      </c>
      <c r="K427" s="25" t="str">
        <f>IFERROR(__xludf.DUMMYFUNCTION("IF(ISBLANK(A427),
  """",
  IF(ISNUMBER(A427),
    TEXT(A427,""dd/mm/yyyy""),
    IF(
      REGEXMATCH(TRIM(A427),""^\d{1,2}/\d{1,2}/\d{4}$""),
      TRIM(A427),
      IFERROR(
        TEXT(DATEVALUE(SUBSTITUTE(SUBSTITUTE(TRIM(A427),""-"",""/""),""."",""/"&amp;""")),""dd/mm/yyyy""),
        TRIM(A427)
      )
    )
  )
)
"),"10/09/2024")</f>
        <v>10/09/2024</v>
      </c>
      <c r="L427" s="26">
        <v>45545.0</v>
      </c>
      <c r="M427" s="27" t="str">
        <f>IFERROR(__xludf.DUMMYFUNCTION("PROPER(TRIM(
  REGEXREPLACE(
    REGEXREPLACE(
      SUBSTITUTE(SUBSTITUTE(SUBSTITUTE(SUBSTITUTE(SUBSTITUTE(SUBSTITUTE(SUBSTITUTE(SUBSTITUTE(SUBSTITUTE(SUBSTITUTE(SUBSTITUTE(
        B427,""√©"",""é""),""√°"",""á""),""√±"",""ñ""),""√≥"",""ó""),""√â"",""é"&amp;"""),""√Å"",""á""),""√ç"",""í""),""√Ç"",""Í""),""√Â"",""é""),""√≠"",""í""),""√º"",""ú""),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27" s="28" t="str">
        <f>IFERROR(__xludf.DUMMYFUNCTION("SPLIT(
  TRIM(
    SUBSTITUTE(
      SUBSTITUTE(
        SUBSTITUTE(
          SUBSTITUTE(
            C427,
            ""√©"", ""é""
          ),
          ""√±"", ""ñ""
        ),
        ""√°"", ""á""
      ),
      ""√≥"", ""ó""
    )
  ),
  ""-""
)
"),"Tablet")</f>
        <v>Tablet</v>
      </c>
      <c r="O427" s="28" t="str">
        <f>IFERROR(__xludf.DUMMYFUNCTION("""COMPUTED_VALUE"""),"Estándar")</f>
        <v>Estándar</v>
      </c>
      <c r="P427" s="28" t="str">
        <f>IFERROR(__xludf.DUMMYFUNCTION("""COMPUTED_VALUE"""),"8GB")</f>
        <v>8GB</v>
      </c>
      <c r="Q427" s="34" t="str">
        <f t="shared" si="1"/>
        <v>0</v>
      </c>
      <c r="R427" s="28">
        <f t="shared" si="2"/>
        <v>3</v>
      </c>
      <c r="S427" s="29">
        <f t="shared" si="3"/>
        <v>796.92</v>
      </c>
      <c r="T427" s="28" t="str">
        <f>IFERROR(__xludf.DUMMYFUNCTION("PROPER(TRIM(
  LET(
    texto1, REGEXREPLACE(G427,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"),"Rodolfo Magaña")</f>
        <v>Rodolfo Magaña</v>
      </c>
      <c r="U427" s="28" t="str">
        <f t="shared" si="4"/>
        <v>5c34f35e-07c8-42f7-9b9a-3bcaed3fe12c</v>
      </c>
      <c r="V427" s="30" t="str">
        <f t="shared" si="5"/>
        <v>Tablet Estándar 8GB</v>
      </c>
    </row>
    <row r="428" ht="15.75" customHeight="1">
      <c r="A428" s="6">
        <v>45644.0</v>
      </c>
      <c r="B428" s="2" t="s">
        <v>27</v>
      </c>
      <c r="C428" s="2" t="s">
        <v>65</v>
      </c>
      <c r="D428" s="7">
        <v>564.58</v>
      </c>
      <c r="E428" s="2">
        <v>4.0</v>
      </c>
      <c r="F428" s="7">
        <v>2258.32</v>
      </c>
      <c r="G428" s="2" t="s">
        <v>1576</v>
      </c>
      <c r="H428" s="2" t="s">
        <v>1577</v>
      </c>
      <c r="I428" s="2" t="s">
        <v>1578</v>
      </c>
      <c r="K428" s="19" t="str">
        <f>IFERROR(__xludf.DUMMYFUNCTION("IF(ISBLANK(A428),
  """",
  IF(ISNUMBER(A428),
    TEXT(A428,""dd/mm/yyyy""),
    IF(
      REGEXMATCH(TRIM(A428),""^\d{1,2}/\d{1,2}/\d{4}$""),
      TRIM(A428),
      IFERROR(
        TEXT(DATEVALUE(SUBSTITUTE(SUBSTITUTE(TRIM(A428),""-"",""/""),""."",""/"&amp;""")),""dd/mm/yyyy""),
        TRIM(A428)
      )
    )
  )
)
"),"18/12/2024")</f>
        <v>18/12/2024</v>
      </c>
      <c r="L428" s="20">
        <v>45644.0</v>
      </c>
      <c r="M428" s="21" t="str">
        <f>IFERROR(__xludf.DUMMYFUNCTION("PROPER(TRIM(
  REGEXREPLACE(
    REGEXREPLACE(
      SUBSTITUTE(SUBSTITUTE(SUBSTITUTE(SUBSTITUTE(SUBSTITUTE(SUBSTITUTE(SUBSTITUTE(SUBSTITUTE(SUBSTITUTE(SUBSTITUTE(SUBSTITUTE(
        B428,""√©"",""é""),""√°"",""á""),""√±"",""ñ""),""√≥"",""ó""),""√â"",""é"&amp;"""),""√Å"",""á""),""√ç"",""í""),""√Ç"",""Í""),""√Â"",""é""),""√≠"",""í""),""√º"",""ú""),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28" s="22" t="str">
        <f>IFERROR(__xludf.DUMMYFUNCTION("SPLIT(
  TRIM(
    SUBSTITUTE(
      SUBSTITUTE(
        SUBSTITUTE(
          SUBSTITUTE(
            C428,
            ""√©"", ""é""
          ),
          ""√±"", ""ñ""
        ),
        ""√°"", ""á""
      ),
      ""√≥"", ""ó""
    )
  ),
  ""-""
)
"),"Auriculares")</f>
        <v>Auriculares</v>
      </c>
      <c r="O428" s="22" t="str">
        <f>IFERROR(__xludf.DUMMYFUNCTION("""COMPUTED_VALUE"""),"Bluetooth")</f>
        <v>Bluetooth</v>
      </c>
      <c r="P428" s="22" t="str">
        <f>IFERROR(__xludf.DUMMYFUNCTION("""COMPUTED_VALUE"""),"16GB")</f>
        <v>16GB</v>
      </c>
      <c r="Q428" s="23">
        <f t="shared" si="1"/>
        <v>564.58</v>
      </c>
      <c r="R428" s="22">
        <f t="shared" si="2"/>
        <v>4</v>
      </c>
      <c r="S428" s="23">
        <f t="shared" si="3"/>
        <v>2258.32</v>
      </c>
      <c r="T428" s="22" t="str">
        <f>IFERROR(__xludf.DUMMYFUNCTION("PROPER(TRIM(
  LET(
    texto1, REGEXREPLACE(G428,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"),"Claudio Anguiano Suárez")</f>
        <v>Claudio Anguiano Suárez</v>
      </c>
      <c r="U428" s="22" t="str">
        <f t="shared" si="4"/>
        <v>f8f7bac5-22e3-4fcd-8c93-90375d23c11b</v>
      </c>
      <c r="V428" s="24" t="str">
        <f t="shared" si="5"/>
        <v>Auriculares Bluetooth 16GB</v>
      </c>
    </row>
    <row r="429" ht="15.75" customHeight="1">
      <c r="A429" s="36">
        <v>45361.0</v>
      </c>
      <c r="B429" s="2" t="s">
        <v>27</v>
      </c>
      <c r="C429" s="2" t="s">
        <v>201</v>
      </c>
      <c r="D429" s="7">
        <v>1265.56</v>
      </c>
      <c r="E429" s="2">
        <v>5.0</v>
      </c>
      <c r="F429" s="7">
        <v>6327.8</v>
      </c>
      <c r="G429" s="2" t="s">
        <v>1580</v>
      </c>
      <c r="H429" s="2" t="s">
        <v>1581</v>
      </c>
      <c r="I429" s="2" t="s">
        <v>1582</v>
      </c>
      <c r="K429" s="25" t="str">
        <f>IFERROR(__xludf.DUMMYFUNCTION("IF(ISBLANK(A429),
  """",
  IF(ISNUMBER(A429),
    TEXT(A429,""dd/mm/yyyy""),
    IF(
      REGEXMATCH(TRIM(A429),""^\d{1,2}/\d{1,2}/\d{4}$""),
      TRIM(A429),
      IFERROR(
        TEXT(DATEVALUE(SUBSTITUTE(SUBSTITUTE(TRIM(A429),""-"",""/""),""."",""/"&amp;""")),""dd/mm/yyyy""),
        TRIM(A429)
      )
    )
  )
)
"),"10/03/2024")</f>
        <v>10/03/2024</v>
      </c>
      <c r="L429" s="26">
        <v>45361.0</v>
      </c>
      <c r="M429" s="27" t="str">
        <f>IFERROR(__xludf.DUMMYFUNCTION("PROPER(TRIM(
  REGEXREPLACE(
    REGEXREPLACE(
      SUBSTITUTE(SUBSTITUTE(SUBSTITUTE(SUBSTITUTE(SUBSTITUTE(SUBSTITUTE(SUBSTITUTE(SUBSTITUTE(SUBSTITUTE(SUBSTITUTE(SUBSTITUTE(
        B429,""√©"",""é""),""√°"",""á""),""√±"",""ñ""),""√≥"",""ó""),""√â"",""é"&amp;"""),""√Å"",""á""),""√ç"",""í""),""√Ç"",""Í""),""√Â"",""é""),""√≠"",""í""),""√º"",""ú""),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29" s="28" t="str">
        <f>IFERROR(__xludf.DUMMYFUNCTION("SPLIT(
  TRIM(
    SUBSTITUTE(
      SUBSTITUTE(
        SUBSTITUTE(
          SUBSTITUTE(
            C429,
            ""√©"", ""é""
          ),
          ""√±"", ""ñ""
        ),
        ""√°"", ""á""
      ),
      ""√≥"", ""ó""
    )
  ),
  ""-""
)
"),"Laptop")</f>
        <v>Laptop</v>
      </c>
      <c r="O429" s="28" t="str">
        <f>IFERROR(__xludf.DUMMYFUNCTION("""COMPUTED_VALUE"""),"Gaming")</f>
        <v>Gaming</v>
      </c>
      <c r="P429" s="28" t="str">
        <f>IFERROR(__xludf.DUMMYFUNCTION("""COMPUTED_VALUE"""),"4GB")</f>
        <v>4GB</v>
      </c>
      <c r="Q429" s="29">
        <f t="shared" si="1"/>
        <v>1265.56</v>
      </c>
      <c r="R429" s="28">
        <f t="shared" si="2"/>
        <v>5</v>
      </c>
      <c r="S429" s="29">
        <f t="shared" si="3"/>
        <v>6327.8</v>
      </c>
      <c r="T429" s="28" t="str">
        <f>IFERROR(__xludf.DUMMYFUNCTION("PROPER(TRIM(
  LET(
    texto1, REGEXREPLACE(G429,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"),"Pedro Liver De La Rosa")</f>
        <v>Pedro Liver De La Rosa</v>
      </c>
      <c r="U429" s="28" t="str">
        <f t="shared" si="4"/>
        <v>3e1cb7d4-91f8-411b-bc26-a8e0b4391db9</v>
      </c>
      <c r="V429" s="30" t="str">
        <f t="shared" si="5"/>
        <v>Laptop Gaming 4GB</v>
      </c>
    </row>
    <row r="430" ht="15.75" customHeight="1">
      <c r="A430" s="36">
        <v>45636.0</v>
      </c>
      <c r="B430" s="2" t="s">
        <v>27</v>
      </c>
      <c r="C430" s="2" t="s">
        <v>172</v>
      </c>
      <c r="D430" s="7">
        <v>85.19</v>
      </c>
      <c r="E430" s="2">
        <v>1.0</v>
      </c>
      <c r="F430" s="7">
        <v>85.19</v>
      </c>
      <c r="G430" s="2" t="s">
        <v>1583</v>
      </c>
      <c r="H430" s="2" t="s">
        <v>1584</v>
      </c>
      <c r="I430" s="2" t="s">
        <v>1585</v>
      </c>
      <c r="K430" s="19" t="str">
        <f>IFERROR(__xludf.DUMMYFUNCTION("IF(ISBLANK(A430),
  """",
  IF(ISNUMBER(A430),
    TEXT(A430,""dd/mm/yyyy""),
    IF(
      REGEXMATCH(TRIM(A430),""^\d{1,2}/\d{1,2}/\d{4}$""),
      TRIM(A430),
      IFERROR(
        TEXT(DATEVALUE(SUBSTITUTE(SUBSTITUTE(TRIM(A430),""-"",""/""),""."",""/"&amp;""")),""dd/mm/yyyy""),
        TRIM(A430)
      )
    )
  )
)
"),"10/12/2024")</f>
        <v>10/12/2024</v>
      </c>
      <c r="L430" s="20">
        <v>45636.0</v>
      </c>
      <c r="M430" s="21" t="str">
        <f>IFERROR(__xludf.DUMMYFUNCTION("PROPER(TRIM(
  REGEXREPLACE(
    REGEXREPLACE(
      SUBSTITUTE(SUBSTITUTE(SUBSTITUTE(SUBSTITUTE(SUBSTITUTE(SUBSTITUTE(SUBSTITUTE(SUBSTITUTE(SUBSTITUTE(SUBSTITUTE(SUBSTITUTE(
        B430,""√©"",""é""),""√°"",""á""),""√±"",""ñ""),""√≥"",""ó""),""√â"",""é"&amp;"""),""√Å"",""á""),""√ç"",""í""),""√Ç"",""Í""),""√Â"",""é""),""√≠"",""í""),""√º"",""ú""),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30" s="22" t="str">
        <f>IFERROR(__xludf.DUMMYFUNCTION("SPLIT(
  TRIM(
    SUBSTITUTE(
      SUBSTITUTE(
        SUBSTITUTE(
          SUBSTITUTE(
            C430,
            ""√©"", ""é""
          ),
          ""√±"", ""ñ""
        ),
        ""√°"", ""á""
      ),
      ""√≥"", ""ó""
    )
  ),
  ""-""
)
"),"Laptop")</f>
        <v>Laptop</v>
      </c>
      <c r="O430" s="22" t="str">
        <f>IFERROR(__xludf.DUMMYFUNCTION("""COMPUTED_VALUE"""),"Oficina")</f>
        <v>Oficina</v>
      </c>
      <c r="P430" s="22" t="str">
        <f>IFERROR(__xludf.DUMMYFUNCTION("""COMPUTED_VALUE"""),"8GB")</f>
        <v>8GB</v>
      </c>
      <c r="Q430" s="23">
        <f t="shared" si="1"/>
        <v>85.19</v>
      </c>
      <c r="R430" s="22">
        <f t="shared" si="2"/>
        <v>1</v>
      </c>
      <c r="S430" s="23">
        <f t="shared" si="3"/>
        <v>85.19</v>
      </c>
      <c r="T430" s="22" t="str">
        <f>IFERROR(__xludf.DUMMYFUNCTION("PROPER(TRIM(
  LET(
    texto1, REGEXREPLACE(G430,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"),"Octavio Madrid Acevedo")</f>
        <v>Octavio Madrid Acevedo</v>
      </c>
      <c r="U430" s="22" t="str">
        <f t="shared" si="4"/>
        <v>32cbf6b2-5cd5-4174-8a02-005124de47a9</v>
      </c>
      <c r="V430" s="24" t="str">
        <f t="shared" si="5"/>
        <v>Laptop Oficina 8GB</v>
      </c>
    </row>
    <row r="431" ht="15.75" customHeight="1">
      <c r="A431" s="6">
        <v>45590.0</v>
      </c>
      <c r="B431" s="2" t="s">
        <v>50</v>
      </c>
      <c r="C431" s="2" t="s">
        <v>385</v>
      </c>
      <c r="D431" s="7">
        <v>1468.39</v>
      </c>
      <c r="E431" s="2">
        <v>1.0</v>
      </c>
      <c r="F431" s="7">
        <v>1468.39</v>
      </c>
      <c r="G431" s="2" t="s">
        <v>1586</v>
      </c>
      <c r="H431" s="2" t="s">
        <v>1587</v>
      </c>
      <c r="I431" s="2" t="s">
        <v>1588</v>
      </c>
      <c r="K431" s="25" t="str">
        <f>IFERROR(__xludf.DUMMYFUNCTION("IF(ISBLANK(A431),
  """",
  IF(ISNUMBER(A431),
    TEXT(A431,""dd/mm/yyyy""),
    IF(
      REGEXMATCH(TRIM(A431),""^\d{1,2}/\d{1,2}/\d{4}$""),
      TRIM(A431),
      IFERROR(
        TEXT(DATEVALUE(SUBSTITUTE(SUBSTITUTE(TRIM(A431),""-"",""/""),""."",""/"&amp;""")),""dd/mm/yyyy""),
        TRIM(A431)
      )
    )
  )
)
"),"25/10/2024")</f>
        <v>25/10/2024</v>
      </c>
      <c r="L431" s="26">
        <v>45590.0</v>
      </c>
      <c r="M431" s="27" t="str">
        <f>IFERROR(__xludf.DUMMYFUNCTION("PROPER(TRIM(
  REGEXREPLACE(
    REGEXREPLACE(
      SUBSTITUTE(SUBSTITUTE(SUBSTITUTE(SUBSTITUTE(SUBSTITUTE(SUBSTITUTE(SUBSTITUTE(SUBSTITUTE(SUBSTITUTE(SUBSTITUTE(SUBSTITUTE(
        B431,""√©"",""é""),""√°"",""á""),""√±"",""ñ""),""√≥"",""ó""),""√â"",""é"&amp;"""),""√Å"",""á""),""√ç"",""í""),""√Ç"",""Í""),""√Â"",""é""),""√≠"",""í""),""√º"",""ú""),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31" s="28" t="str">
        <f>IFERROR(__xludf.DUMMYFUNCTION("SPLIT(
  TRIM(
    SUBSTITUTE(
      SUBSTITUTE(
        SUBSTITUTE(
          SUBSTITUTE(
            C431,
            ""√©"", ""é""
          ),
          ""√±"", ""ñ""
        ),
        ""√°"", ""á""
      ),
      ""√≥"", ""ó""
    )
  ),
  ""-""
)
"),"Tablet")</f>
        <v>Tablet</v>
      </c>
      <c r="O431" s="28" t="str">
        <f>IFERROR(__xludf.DUMMYFUNCTION("""COMPUTED_VALUE"""),"Estándar")</f>
        <v>Estándar</v>
      </c>
      <c r="P431" s="28" t="str">
        <f>IFERROR(__xludf.DUMMYFUNCTION("""COMPUTED_VALUE"""),"32GB")</f>
        <v>32GB</v>
      </c>
      <c r="Q431" s="29">
        <f t="shared" si="1"/>
        <v>1468.39</v>
      </c>
      <c r="R431" s="28">
        <f t="shared" si="2"/>
        <v>1</v>
      </c>
      <c r="S431" s="29">
        <f t="shared" si="3"/>
        <v>1468.39</v>
      </c>
      <c r="T431" s="28" t="str">
        <f>IFERROR(__xludf.DUMMYFUNCTION("PROPER(TRIM(
  LET(
    texto1, REGEXREPLACE(G431,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Tijerina")</f>
        <v>Estela Tijerina</v>
      </c>
      <c r="U431" s="28" t="str">
        <f t="shared" si="4"/>
        <v>96edea28-2897-4637-85bd-60acc395c4c4</v>
      </c>
      <c r="V431" s="30" t="str">
        <f t="shared" si="5"/>
        <v>Tablet Estándar 32GB</v>
      </c>
    </row>
    <row r="432" ht="15.75" customHeight="1">
      <c r="A432" s="36">
        <v>45484.0</v>
      </c>
      <c r="B432" s="2" t="s">
        <v>16</v>
      </c>
      <c r="C432" s="2" t="s">
        <v>147</v>
      </c>
      <c r="D432" s="7">
        <v>1450.82</v>
      </c>
      <c r="E432" s="2">
        <v>1.0</v>
      </c>
      <c r="F432" s="7">
        <v>1450.82</v>
      </c>
      <c r="G432" s="2" t="s">
        <v>1590</v>
      </c>
      <c r="H432" s="2" t="s">
        <v>1591</v>
      </c>
      <c r="I432" s="2" t="s">
        <v>1592</v>
      </c>
      <c r="K432" s="19" t="str">
        <f>IFERROR(__xludf.DUMMYFUNCTION("IF(ISBLANK(A432),
  """",
  IF(ISNUMBER(A432),
    TEXT(A432,""dd/mm/yyyy""),
    IF(
      REGEXMATCH(TRIM(A432),""^\d{1,2}/\d{1,2}/\d{4}$""),
      TRIM(A432),
      IFERROR(
        TEXT(DATEVALUE(SUBSTITUTE(SUBSTITUTE(TRIM(A432),""-"",""/""),""."",""/"&amp;""")),""dd/mm/yyyy""),
        TRIM(A432)
      )
    )
  )
)
"),"11/07/2024")</f>
        <v>11/07/2024</v>
      </c>
      <c r="L432" s="20">
        <v>45484.0</v>
      </c>
      <c r="M432" s="21" t="str">
        <f>IFERROR(__xludf.DUMMYFUNCTION("PROPER(TRIM(
  REGEXREPLACE(
    REGEXREPLACE(
      SUBSTITUTE(SUBSTITUTE(SUBSTITUTE(SUBSTITUTE(SUBSTITUTE(SUBSTITUTE(SUBSTITUTE(SUBSTITUTE(SUBSTITUTE(SUBSTITUTE(SUBSTITUTE(
        B432,""√©"",""é""),""√°"",""á""),""√±"",""ñ""),""√≥"",""ó""),""√â"",""é"&amp;"""),""√Å"",""á""),""√ç"",""í""),""√Ç"",""Í""),""√Â"",""é""),""√≠"",""í""),""√º"",""ú""),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32" s="22" t="str">
        <f>IFERROR(__xludf.DUMMYFUNCTION("SPLIT(
  TRIM(
    SUBSTITUTE(
      SUBSTITUTE(
        SUBSTITUTE(
          SUBSTITUTE(
            C432,
            ""√©"", ""é""
          ),
          ""√±"", ""ñ""
        ),
        ""√°"", ""á""
      ),
      ""√≥"", ""ó""
    )
  ),
  ""-""
)
"),"Laptop")</f>
        <v>Laptop</v>
      </c>
      <c r="O432" s="22" t="str">
        <f>IFERROR(__xludf.DUMMYFUNCTION("""COMPUTED_VALUE"""),"Oficina")</f>
        <v>Oficina</v>
      </c>
      <c r="P432" s="22" t="str">
        <f>IFERROR(__xludf.DUMMYFUNCTION("""COMPUTED_VALUE"""),"16GB")</f>
        <v>16GB</v>
      </c>
      <c r="Q432" s="23">
        <f t="shared" si="1"/>
        <v>1450.82</v>
      </c>
      <c r="R432" s="22">
        <f t="shared" si="2"/>
        <v>1</v>
      </c>
      <c r="S432" s="23">
        <f t="shared" si="3"/>
        <v>1450.82</v>
      </c>
      <c r="T432" s="22" t="str">
        <f>IFERROR(__xludf.DUMMYFUNCTION("PROPER(TRIM(
  LET(
    texto1, REGEXREPLACE(G432,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"),"Dulce María Amador")</f>
        <v>Dulce María Amador</v>
      </c>
      <c r="U432" s="22" t="str">
        <f t="shared" si="4"/>
        <v>e293657e-9d00-4bb4-a00b-b178850a3ccc</v>
      </c>
      <c r="V432" s="24" t="str">
        <f t="shared" si="5"/>
        <v>Laptop Oficina 16GB</v>
      </c>
    </row>
    <row r="433" ht="15.75" customHeight="1">
      <c r="A433" s="6">
        <v>45594.0</v>
      </c>
      <c r="B433" s="2" t="s">
        <v>85</v>
      </c>
      <c r="C433" s="2" t="s">
        <v>75</v>
      </c>
      <c r="D433" s="7">
        <v>429.21</v>
      </c>
      <c r="E433" s="2">
        <v>5.0</v>
      </c>
      <c r="F433" s="7">
        <v>2146.05</v>
      </c>
      <c r="G433" s="2" t="s">
        <v>1593</v>
      </c>
      <c r="H433" s="2" t="s">
        <v>1594</v>
      </c>
      <c r="I433" s="2" t="s">
        <v>1595</v>
      </c>
      <c r="K433" s="25" t="str">
        <f>IFERROR(__xludf.DUMMYFUNCTION("IF(ISBLANK(A433),
  """",
  IF(ISNUMBER(A433),
    TEXT(A433,""dd/mm/yyyy""),
    IF(
      REGEXMATCH(TRIM(A433),""^\d{1,2}/\d{1,2}/\d{4}$""),
      TRIM(A433),
      IFERROR(
        TEXT(DATEVALUE(SUBSTITUTE(SUBSTITUTE(TRIM(A433),""-"",""/""),""."",""/"&amp;""")),""dd/mm/yyyy""),
        TRIM(A433)
      )
    )
  )
)
"),"29/10/2024")</f>
        <v>29/10/2024</v>
      </c>
      <c r="L433" s="26">
        <v>45594.0</v>
      </c>
      <c r="M433" s="27" t="str">
        <f>IFERROR(__xludf.DUMMYFUNCTION("PROPER(TRIM(
  REGEXREPLACE(
    REGEXREPLACE(
      SUBSTITUTE(SUBSTITUTE(SUBSTITUTE(SUBSTITUTE(SUBSTITUTE(SUBSTITUTE(SUBSTITUTE(SUBSTITUTE(SUBSTITUTE(SUBSTITUTE(SUBSTITUTE(
        B433,""√©"",""é""),""√°"",""á""),""√±"",""ñ""),""√≥"",""ó""),""√â"",""é"&amp;"""),""√Å"",""á""),""√ç"",""í""),""√Ç"",""Í""),""√Â"",""é""),""√≠"",""í""),""√º"",""ú""),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33" s="28" t="str">
        <f>IFERROR(__xludf.DUMMYFUNCTION("SPLIT(
  TRIM(
    SUBSTITUTE(
      SUBSTITUTE(
        SUBSTITUTE(
          SUBSTITUTE(
            C433,
            ""√©"", ""é""
          ),
          ""√±"", ""ñ""
        ),
        ""√°"", ""á""
      ),
      ""√≥"", ""ó""
    )
  ),
  ""-""
)
"),"Tablet")</f>
        <v>Tablet</v>
      </c>
      <c r="O433" s="28" t="str">
        <f>IFERROR(__xludf.DUMMYFUNCTION("""COMPUTED_VALUE"""),"Pro")</f>
        <v>Pro</v>
      </c>
      <c r="P433" s="28" t="str">
        <f>IFERROR(__xludf.DUMMYFUNCTION("""COMPUTED_VALUE"""),"4GB")</f>
        <v>4GB</v>
      </c>
      <c r="Q433" s="29">
        <f t="shared" si="1"/>
        <v>429.21</v>
      </c>
      <c r="R433" s="28">
        <f t="shared" si="2"/>
        <v>5</v>
      </c>
      <c r="S433" s="29">
        <f t="shared" si="3"/>
        <v>2146.05</v>
      </c>
      <c r="T433" s="28" t="str">
        <f>IFERROR(__xludf.DUMMYFUNCTION("PROPER(TRIM(
  LET(
    texto1, REGEXREPLACE(G433,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"),"Alfonso Alejandra Aguilera")</f>
        <v>Alfonso Alejandra Aguilera</v>
      </c>
      <c r="U433" s="28" t="str">
        <f t="shared" si="4"/>
        <v>c4d429ce-cdcb-4f2a-b91c-26eac3db495e</v>
      </c>
      <c r="V433" s="30" t="str">
        <f t="shared" si="5"/>
        <v>Tablet Pro 4GB</v>
      </c>
    </row>
    <row r="434" ht="15.75" customHeight="1">
      <c r="A434" s="36">
        <v>45576.0</v>
      </c>
      <c r="B434" s="2" t="s">
        <v>60</v>
      </c>
      <c r="C434" s="2" t="s">
        <v>80</v>
      </c>
      <c r="D434" s="7">
        <v>724.28</v>
      </c>
      <c r="E434" s="2">
        <v>3.0</v>
      </c>
      <c r="F434" s="7">
        <v>2172.84</v>
      </c>
      <c r="G434" s="2" t="s">
        <v>1596</v>
      </c>
      <c r="H434" s="2" t="s">
        <v>1597</v>
      </c>
      <c r="I434" s="2" t="s">
        <v>1598</v>
      </c>
      <c r="K434" s="19" t="str">
        <f>IFERROR(__xludf.DUMMYFUNCTION("IF(ISBLANK(A434),
  """",
  IF(ISNUMBER(A434),
    TEXT(A434,""dd/mm/yyyy""),
    IF(
      REGEXMATCH(TRIM(A434),""^\d{1,2}/\d{1,2}/\d{4}$""),
      TRIM(A434),
      IFERROR(
        TEXT(DATEVALUE(SUBSTITUTE(SUBSTITUTE(TRIM(A434),""-"",""/""),""."",""/"&amp;""")),""dd/mm/yyyy""),
        TRIM(A434)
      )
    )
  )
)
"),"11/10/2024")</f>
        <v>11/10/2024</v>
      </c>
      <c r="L434" s="20">
        <v>45576.0</v>
      </c>
      <c r="M434" s="21" t="str">
        <f>IFERROR(__xludf.DUMMYFUNCTION("PROPER(TRIM(
  REGEXREPLACE(
    REGEXREPLACE(
      SUBSTITUTE(SUBSTITUTE(SUBSTITUTE(SUBSTITUTE(SUBSTITUTE(SUBSTITUTE(SUBSTITUTE(SUBSTITUTE(SUBSTITUTE(SUBSTITUTE(SUBSTITUTE(
        B434,""√©"",""é""),""√°"",""á""),""√±"",""ñ""),""√≥"",""ó""),""√â"",""é"&amp;"""),""√Å"",""á""),""√ç"",""í""),""√Ç"",""Í""),""√Â"",""é""),""√≠"",""í""),""√º"",""ú""),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34" s="22" t="str">
        <f>IFERROR(__xludf.DUMMYFUNCTION("SPLIT(
  TRIM(
    SUBSTITUTE(
      SUBSTITUTE(
        SUBSTITUTE(
          SUBSTITUTE(
            C434,
            ""√©"", ""é""
          ),
          ""√±"", ""ñ""
        ),
        ""√°"", ""á""
      ),
      ""√≥"", ""ó""
    )
  ),
  ""-""
)
"),"Teléfono")</f>
        <v>Teléfono</v>
      </c>
      <c r="O434" s="22" t="str">
        <f>IFERROR(__xludf.DUMMYFUNCTION("""COMPUTED_VALUE"""),"Gama baja")</f>
        <v>Gama baja</v>
      </c>
      <c r="P434" s="22" t="str">
        <f>IFERROR(__xludf.DUMMYFUNCTION("""COMPUTED_VALUE"""),"16GB")</f>
        <v>16GB</v>
      </c>
      <c r="Q434" s="23">
        <f t="shared" si="1"/>
        <v>724.28</v>
      </c>
      <c r="R434" s="22">
        <f t="shared" si="2"/>
        <v>3</v>
      </c>
      <c r="S434" s="23">
        <f t="shared" si="3"/>
        <v>2172.84</v>
      </c>
      <c r="T434" s="22" t="str">
        <f>IFERROR(__xludf.DUMMYFUNCTION("PROPER(TRIM(
  LET(
    texto1, REGEXREPLACE(G434,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"),"Octavio Briseño Corrales")</f>
        <v>Octavio Briseño Corrales</v>
      </c>
      <c r="U434" s="22" t="str">
        <f t="shared" si="4"/>
        <v>06092c99-a04c-49aa-b1e2-81711e255109</v>
      </c>
      <c r="V434" s="24" t="str">
        <f t="shared" si="5"/>
        <v>Teléfono Gama baja 16GB</v>
      </c>
    </row>
    <row r="435" ht="15.75" customHeight="1">
      <c r="A435" s="6">
        <v>45624.0</v>
      </c>
      <c r="B435" s="2" t="s">
        <v>101</v>
      </c>
      <c r="C435" s="2" t="s">
        <v>1015</v>
      </c>
      <c r="D435" s="7">
        <v>1654.16</v>
      </c>
      <c r="E435" s="2">
        <v>1.0</v>
      </c>
      <c r="F435" s="7">
        <v>1654.16</v>
      </c>
      <c r="G435" s="2" t="s">
        <v>1599</v>
      </c>
      <c r="H435" s="2" t="s">
        <v>1600</v>
      </c>
      <c r="I435" s="2" t="s">
        <v>1601</v>
      </c>
      <c r="K435" s="25" t="str">
        <f>IFERROR(__xludf.DUMMYFUNCTION("IF(ISBLANK(A435),
  """",
  IF(ISNUMBER(A435),
    TEXT(A435,""dd/mm/yyyy""),
    IF(
      REGEXMATCH(TRIM(A435),""^\d{1,2}/\d{1,2}/\d{4}$""),
      TRIM(A435),
      IFERROR(
        TEXT(DATEVALUE(SUBSTITUTE(SUBSTITUTE(TRIM(A435),""-"",""/""),""."",""/"&amp;""")),""dd/mm/yyyy""),
        TRIM(A435)
      )
    )
  )
)
"),"28/11/2024")</f>
        <v>28/11/2024</v>
      </c>
      <c r="L435" s="26">
        <v>45624.0</v>
      </c>
      <c r="M435" s="27" t="str">
        <f>IFERROR(__xludf.DUMMYFUNCTION("PROPER(TRIM(
  REGEXREPLACE(
    REGEXREPLACE(
      SUBSTITUTE(SUBSTITUTE(SUBSTITUTE(SUBSTITUTE(SUBSTITUTE(SUBSTITUTE(SUBSTITUTE(SUBSTITUTE(SUBSTITUTE(SUBSTITUTE(SUBSTITUTE(
        B435,""√©"",""é""),""√°"",""á""),""√±"",""ñ""),""√≥"",""ó""),""√â"",""é"&amp;"""),""√Å"",""á""),""√ç"",""í""),""√Ç"",""Í""),""√Â"",""é""),""√≠"",""í""),""√º"",""ú""),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35" s="28" t="str">
        <f>IFERROR(__xludf.DUMMYFUNCTION("SPLIT(
  TRIM(
    SUBSTITUTE(
      SUBSTITUTE(
        SUBSTITUTE(
          SUBSTITUTE(
            C435,
            ""√©"", ""é""
          ),
          ""√±"", ""ñ""
        ),
        ""√°"", ""á""
      ),
      ""√≥"", ""ó""
    )
  ),
  ""-""
)
"),"Auriculares")</f>
        <v>Auriculares</v>
      </c>
      <c r="O435" s="28" t="str">
        <f>IFERROR(__xludf.DUMMYFUNCTION("""COMPUTED_VALUE"""),"Bluetooth")</f>
        <v>Bluetooth</v>
      </c>
      <c r="P435" s="28" t="str">
        <f>IFERROR(__xludf.DUMMYFUNCTION("""COMPUTED_VALUE"""),"32GB")</f>
        <v>32GB</v>
      </c>
      <c r="Q435" s="29">
        <f t="shared" si="1"/>
        <v>1654.16</v>
      </c>
      <c r="R435" s="28">
        <f t="shared" si="2"/>
        <v>1</v>
      </c>
      <c r="S435" s="29">
        <f t="shared" si="3"/>
        <v>1654.16</v>
      </c>
      <c r="T435" s="28" t="str">
        <f>IFERROR(__xludf.DUMMYFUNCTION("PROPER(TRIM(
  LET(
    texto1, REGEXREPLACE(G435,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"),"Benjamín Octavio Gaona")</f>
        <v>Benjamín Octavio Gaona</v>
      </c>
      <c r="U435" s="28" t="str">
        <f t="shared" si="4"/>
        <v>b4335591-8cf2-4447-be7b-0390e7645fec</v>
      </c>
      <c r="V435" s="30" t="str">
        <f t="shared" si="5"/>
        <v>Auriculares Bluetooth 32GB</v>
      </c>
    </row>
    <row r="436" ht="15.75" customHeight="1">
      <c r="A436" s="6">
        <v>45593.0</v>
      </c>
      <c r="B436" s="2" t="s">
        <v>38</v>
      </c>
      <c r="C436" s="2" t="s">
        <v>250</v>
      </c>
      <c r="D436" s="7">
        <v>1834.12</v>
      </c>
      <c r="E436" s="2">
        <v>1.0</v>
      </c>
      <c r="F436" s="7">
        <v>1834.12</v>
      </c>
      <c r="G436" s="2" t="s">
        <v>1602</v>
      </c>
      <c r="H436" s="2" t="s">
        <v>1603</v>
      </c>
      <c r="I436" s="2" t="s">
        <v>1604</v>
      </c>
      <c r="K436" s="19" t="str">
        <f>IFERROR(__xludf.DUMMYFUNCTION("IF(ISBLANK(A436),
  """",
  IF(ISNUMBER(A436),
    TEXT(A436,""dd/mm/yyyy""),
    IF(
      REGEXMATCH(TRIM(A436),""^\d{1,2}/\d{1,2}/\d{4}$""),
      TRIM(A436),
      IFERROR(
        TEXT(DATEVALUE(SUBSTITUTE(SUBSTITUTE(TRIM(A436),""-"",""/""),""."",""/"&amp;""")),""dd/mm/yyyy""),
        TRIM(A436)
      )
    )
  )
)
"),"28/10/2024")</f>
        <v>28/10/2024</v>
      </c>
      <c r="L436" s="20">
        <v>45593.0</v>
      </c>
      <c r="M436" s="21" t="str">
        <f>IFERROR(__xludf.DUMMYFUNCTION("PROPER(TRIM(
  REGEXREPLACE(
    REGEXREPLACE(
      SUBSTITUTE(SUBSTITUTE(SUBSTITUTE(SUBSTITUTE(SUBSTITUTE(SUBSTITUTE(SUBSTITUTE(SUBSTITUTE(SUBSTITUTE(SUBSTITUTE(SUBSTITUTE(
        B436,""√©"",""é""),""√°"",""á""),""√±"",""ñ""),""√≥"",""ó""),""√â"",""é"&amp;"""),""√Å"",""á""),""√ç"",""í""),""√Ç"",""Í""),""√Â"",""é""),""√≠"",""í""),""√º"",""ú""),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36" s="22" t="str">
        <f>IFERROR(__xludf.DUMMYFUNCTION("SPLIT(
  TRIM(
    SUBSTITUTE(
      SUBSTITUTE(
        SUBSTITUTE(
          SUBSTITUTE(
            C436,
            ""√©"", ""é""
          ),
          ""√±"", ""ñ""
        ),
        ""√°"", ""á""
      ),
      ""√≥"", ""ó""
    )
  ),
  ""-""
)
"),"Laptop")</f>
        <v>Laptop</v>
      </c>
      <c r="O436" s="22" t="str">
        <f>IFERROR(__xludf.DUMMYFUNCTION("""COMPUTED_VALUE"""),"Oficina")</f>
        <v>Oficina</v>
      </c>
      <c r="P436" s="22" t="str">
        <f>IFERROR(__xludf.DUMMYFUNCTION("""COMPUTED_VALUE"""),"32GB")</f>
        <v>32GB</v>
      </c>
      <c r="Q436" s="23">
        <f t="shared" si="1"/>
        <v>1834.12</v>
      </c>
      <c r="R436" s="22">
        <f t="shared" si="2"/>
        <v>1</v>
      </c>
      <c r="S436" s="23">
        <f t="shared" si="3"/>
        <v>1834.12</v>
      </c>
      <c r="T436" s="22" t="str">
        <f>IFERROR(__xludf.DUMMYFUNCTION("PROPER(TRIM(
  LET(
    texto1, REGEXREPLACE(G436,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"),"Mariana Urbina")</f>
        <v>Mariana Urbina</v>
      </c>
      <c r="U436" s="22" t="str">
        <f t="shared" si="4"/>
        <v>cd9cf7e0-6da4-41df-8be9-2d02844b1c31</v>
      </c>
      <c r="V436" s="24" t="str">
        <f t="shared" si="5"/>
        <v>Laptop Oficina 32GB</v>
      </c>
    </row>
    <row r="437" ht="15.75" customHeight="1">
      <c r="A437" s="36">
        <v>45546.0</v>
      </c>
      <c r="B437" s="2" t="s">
        <v>16</v>
      </c>
      <c r="C437" s="2" t="s">
        <v>360</v>
      </c>
      <c r="D437" s="7">
        <v>2148.04</v>
      </c>
      <c r="E437" s="2">
        <v>1.0</v>
      </c>
      <c r="F437" s="7">
        <v>2148.04</v>
      </c>
      <c r="G437" s="2" t="s">
        <v>1605</v>
      </c>
      <c r="H437" s="2" t="s">
        <v>1606</v>
      </c>
      <c r="I437" s="2" t="s">
        <v>1607</v>
      </c>
      <c r="K437" s="25" t="str">
        <f>IFERROR(__xludf.DUMMYFUNCTION("IF(ISBLANK(A437),
  """",
  IF(ISNUMBER(A437),
    TEXT(A437,""dd/mm/yyyy""),
    IF(
      REGEXMATCH(TRIM(A437),""^\d{1,2}/\d{1,2}/\d{4}$""),
      TRIM(A437),
      IFERROR(
        TEXT(DATEVALUE(SUBSTITUTE(SUBSTITUTE(TRIM(A437),""-"",""/""),""."",""/"&amp;""")),""dd/mm/yyyy""),
        TRIM(A437)
      )
    )
  )
)
"),"11/09/2024")</f>
        <v>11/09/2024</v>
      </c>
      <c r="L437" s="26">
        <v>45546.0</v>
      </c>
      <c r="M437" s="27" t="str">
        <f>IFERROR(__xludf.DUMMYFUNCTION("PROPER(TRIM(
  REGEXREPLACE(
    REGEXREPLACE(
      SUBSTITUTE(SUBSTITUTE(SUBSTITUTE(SUBSTITUTE(SUBSTITUTE(SUBSTITUTE(SUBSTITUTE(SUBSTITUTE(SUBSTITUTE(SUBSTITUTE(SUBSTITUTE(
        B437,""√©"",""é""),""√°"",""á""),""√±"",""ñ""),""√≥"",""ó""),""√â"",""é"&amp;"""),""√Å"",""á""),""√ç"",""í""),""√Ç"",""Í""),""√Â"",""é""),""√≠"",""í""),""√º"",""ú""),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37" s="28" t="str">
        <f>IFERROR(__xludf.DUMMYFUNCTION("SPLIT(
  TRIM(
    SUBSTITUTE(
      SUBSTITUTE(
        SUBSTITUTE(
          SUBSTITUTE(
            C437,
            ""√©"", ""é""
          ),
          ""√±"", ""ñ""
        ),
        ""√°"", ""á""
      ),
      ""√≥"", ""ó""
    )
  ),
  ""-""
)
"),"Tablet")</f>
        <v>Tablet</v>
      </c>
      <c r="O437" s="28" t="str">
        <f>IFERROR(__xludf.DUMMYFUNCTION("""COMPUTED_VALUE"""),"Estándar")</f>
        <v>Estándar</v>
      </c>
      <c r="P437" s="28" t="str">
        <f>IFERROR(__xludf.DUMMYFUNCTION("""COMPUTED_VALUE"""),"8GB")</f>
        <v>8GB</v>
      </c>
      <c r="Q437" s="29">
        <f t="shared" si="1"/>
        <v>2148.04</v>
      </c>
      <c r="R437" s="28">
        <f t="shared" si="2"/>
        <v>1</v>
      </c>
      <c r="S437" s="29">
        <f t="shared" si="3"/>
        <v>2148.04</v>
      </c>
      <c r="T437" s="28" t="str">
        <f>IFERROR(__xludf.DUMMYFUNCTION("PROPER(TRIM(
  LET(
    texto1, REGEXREPLACE(G437,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"),"Elias María Elena Arenas Ocasio")</f>
        <v>Elias María Elena Arenas Ocasio</v>
      </c>
      <c r="U437" s="28" t="str">
        <f t="shared" si="4"/>
        <v>6ad9efba-ddc4-4d96-8495-584d4bb26f20</v>
      </c>
      <c r="V437" s="30" t="str">
        <f t="shared" si="5"/>
        <v>Tablet Estándar 8GB</v>
      </c>
    </row>
    <row r="438" ht="15.75" customHeight="1">
      <c r="A438" s="36">
        <v>45516.0</v>
      </c>
      <c r="B438" s="2" t="s">
        <v>85</v>
      </c>
      <c r="C438" s="2" t="s">
        <v>235</v>
      </c>
      <c r="D438" s="7">
        <v>1325.42</v>
      </c>
      <c r="E438" s="2">
        <v>3.0</v>
      </c>
      <c r="F438" s="7">
        <v>3976.26</v>
      </c>
      <c r="G438" s="2" t="s">
        <v>1608</v>
      </c>
      <c r="H438" s="2" t="s">
        <v>1609</v>
      </c>
      <c r="I438" s="2" t="s">
        <v>1610</v>
      </c>
      <c r="K438" s="19" t="str">
        <f>IFERROR(__xludf.DUMMYFUNCTION("IF(ISBLANK(A438),
  """",
  IF(ISNUMBER(A438),
    TEXT(A438,""dd/mm/yyyy""),
    IF(
      REGEXMATCH(TRIM(A438),""^\d{1,2}/\d{1,2}/\d{4}$""),
      TRIM(A438),
      IFERROR(
        TEXT(DATEVALUE(SUBSTITUTE(SUBSTITUTE(TRIM(A438),""-"",""/""),""."",""/"&amp;""")),""dd/mm/yyyy""),
        TRIM(A438)
      )
    )
  )
)
"),"12/08/2024")</f>
        <v>12/08/2024</v>
      </c>
      <c r="L438" s="20">
        <v>45516.0</v>
      </c>
      <c r="M438" s="21" t="str">
        <f>IFERROR(__xludf.DUMMYFUNCTION("PROPER(TRIM(
  REGEXREPLACE(
    REGEXREPLACE(
      SUBSTITUTE(SUBSTITUTE(SUBSTITUTE(SUBSTITUTE(SUBSTITUTE(SUBSTITUTE(SUBSTITUTE(SUBSTITUTE(SUBSTITUTE(SUBSTITUTE(SUBSTITUTE(
        B438,""√©"",""é""),""√°"",""á""),""√±"",""ñ""),""√≥"",""ó""),""√â"",""é"&amp;"""),""√Å"",""á""),""√ç"",""í""),""√Ç"",""Í""),""√Â"",""é""),""√≠"",""í""),""√º"",""ú""),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38" s="22" t="str">
        <f>IFERROR(__xludf.DUMMYFUNCTION("SPLIT(
  TRIM(
    SUBSTITUTE(
      SUBSTITUTE(
        SUBSTITUTE(
          SUBSTITUTE(
            C438,
            ""√©"", ""é""
          ),
          ""√±"", ""ñ""
        ),
        ""√°"", ""á""
      ),
      ""√≥"", ""ó""
    )
  ),
  ""-""
)
"),"Tablet")</f>
        <v>Tablet</v>
      </c>
      <c r="O438" s="22" t="str">
        <f>IFERROR(__xludf.DUMMYFUNCTION("""COMPUTED_VALUE"""),"Estándar")</f>
        <v>Estándar</v>
      </c>
      <c r="P438" s="22" t="str">
        <f>IFERROR(__xludf.DUMMYFUNCTION("""COMPUTED_VALUE"""),"4GB")</f>
        <v>4GB</v>
      </c>
      <c r="Q438" s="23">
        <f t="shared" si="1"/>
        <v>1325.42</v>
      </c>
      <c r="R438" s="22">
        <f t="shared" si="2"/>
        <v>3</v>
      </c>
      <c r="S438" s="23">
        <f t="shared" si="3"/>
        <v>3976.26</v>
      </c>
      <c r="T438" s="22" t="str">
        <f>IFERROR(__xludf.DUMMYFUNCTION("PROPER(TRIM(
  LET(
    texto1, REGEXREPLACE(G438,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"),"Isabela Magdalena Mascareñas López")</f>
        <v>Isabela Magdalena Mascareñas López</v>
      </c>
      <c r="U438" s="22" t="str">
        <f t="shared" si="4"/>
        <v>2a063e75-ca9c-4adb-b9b6-54a80b4e0078</v>
      </c>
      <c r="V438" s="24" t="str">
        <f t="shared" si="5"/>
        <v>Tablet Estándar 4GB</v>
      </c>
    </row>
    <row r="439" ht="15.75" customHeight="1">
      <c r="A439" s="36">
        <v>45332.0</v>
      </c>
      <c r="B439" s="2" t="s">
        <v>85</v>
      </c>
      <c r="C439" s="2" t="s">
        <v>65</v>
      </c>
      <c r="D439" s="7">
        <v>1148.65</v>
      </c>
      <c r="E439" s="2">
        <v>2.0</v>
      </c>
      <c r="F439" s="7">
        <v>2297.3</v>
      </c>
      <c r="G439" s="2" t="s">
        <v>1611</v>
      </c>
      <c r="H439" s="2" t="s">
        <v>1612</v>
      </c>
      <c r="I439" s="2" t="s">
        <v>1613</v>
      </c>
      <c r="K439" s="25" t="str">
        <f>IFERROR(__xludf.DUMMYFUNCTION("IF(ISBLANK(A439),
  """",
  IF(ISNUMBER(A439),
    TEXT(A439,""dd/mm/yyyy""),
    IF(
      REGEXMATCH(TRIM(A439),""^\d{1,2}/\d{1,2}/\d{4}$""),
      TRIM(A439),
      IFERROR(
        TEXT(DATEVALUE(SUBSTITUTE(SUBSTITUTE(TRIM(A439),""-"",""/""),""."",""/"&amp;""")),""dd/mm/yyyy""),
        TRIM(A439)
      )
    )
  )
)
"),"10/02/2024")</f>
        <v>10/02/2024</v>
      </c>
      <c r="L439" s="26">
        <v>45332.0</v>
      </c>
      <c r="M439" s="27" t="str">
        <f>IFERROR(__xludf.DUMMYFUNCTION("PROPER(TRIM(
  REGEXREPLACE(
    REGEXREPLACE(
      SUBSTITUTE(SUBSTITUTE(SUBSTITUTE(SUBSTITUTE(SUBSTITUTE(SUBSTITUTE(SUBSTITUTE(SUBSTITUTE(SUBSTITUTE(SUBSTITUTE(SUBSTITUTE(
        B439,""√©"",""é""),""√°"",""á""),""√±"",""ñ""),""√≥"",""ó""),""√â"",""é"&amp;"""),""√Å"",""á""),""√ç"",""í""),""√Ç"",""Í""),""√Â"",""é""),""√≠"",""í""),""√º"",""ú""),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39" s="28" t="str">
        <f>IFERROR(__xludf.DUMMYFUNCTION("SPLIT(
  TRIM(
    SUBSTITUTE(
      SUBSTITUTE(
        SUBSTITUTE(
          SUBSTITUTE(
            C439,
            ""√©"", ""é""
          ),
          ""√±"", ""ñ""
        ),
        ""√°"", ""á""
      ),
      ""√≥"", ""ó""
    )
  ),
  ""-""
)
"),"Auriculares")</f>
        <v>Auriculares</v>
      </c>
      <c r="O439" s="28" t="str">
        <f>IFERROR(__xludf.DUMMYFUNCTION("""COMPUTED_VALUE"""),"Bluetooth")</f>
        <v>Bluetooth</v>
      </c>
      <c r="P439" s="28" t="str">
        <f>IFERROR(__xludf.DUMMYFUNCTION("""COMPUTED_VALUE"""),"16GB")</f>
        <v>16GB</v>
      </c>
      <c r="Q439" s="29">
        <f t="shared" si="1"/>
        <v>1148.65</v>
      </c>
      <c r="R439" s="28">
        <f t="shared" si="2"/>
        <v>2</v>
      </c>
      <c r="S439" s="29">
        <f t="shared" si="3"/>
        <v>2297.3</v>
      </c>
      <c r="T439" s="28" t="str">
        <f>IFERROR(__xludf.DUMMYFUNCTION("PROPER(TRIM(
  LET(
    texto1, REGEXREPLACE(G439,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"),"Rubén Irizarry Roldán")</f>
        <v>Rubén Irizarry Roldán</v>
      </c>
      <c r="U439" s="28" t="str">
        <f t="shared" si="4"/>
        <v>4314e54c-5647-4bc0-9804-307229669994</v>
      </c>
      <c r="V439" s="30" t="str">
        <f t="shared" si="5"/>
        <v>Auriculares Bluetooth 16GB</v>
      </c>
    </row>
    <row r="440" ht="15.75" customHeight="1">
      <c r="A440" s="6">
        <v>45652.0</v>
      </c>
      <c r="B440" s="2" t="s">
        <v>101</v>
      </c>
      <c r="C440" s="2" t="s">
        <v>452</v>
      </c>
      <c r="D440" s="7">
        <v>932.02</v>
      </c>
      <c r="E440" s="2">
        <v>4.0</v>
      </c>
      <c r="F440" s="7">
        <v>3728.08</v>
      </c>
      <c r="G440" s="2" t="s">
        <v>1614</v>
      </c>
      <c r="H440" s="2" t="s">
        <v>1615</v>
      </c>
      <c r="I440" s="2" t="s">
        <v>1616</v>
      </c>
      <c r="K440" s="19" t="str">
        <f>IFERROR(__xludf.DUMMYFUNCTION("IF(ISBLANK(A440),
  """",
  IF(ISNUMBER(A440),
    TEXT(A440,""dd/mm/yyyy""),
    IF(
      REGEXMATCH(TRIM(A440),""^\d{1,2}/\d{1,2}/\d{4}$""),
      TRIM(A440),
      IFERROR(
        TEXT(DATEVALUE(SUBSTITUTE(SUBSTITUTE(TRIM(A440),""-"",""/""),""."",""/"&amp;""")),""dd/mm/yyyy""),
        TRIM(A440)
      )
    )
  )
)
"),"26/12/2024")</f>
        <v>26/12/2024</v>
      </c>
      <c r="L440" s="20">
        <v>45652.0</v>
      </c>
      <c r="M440" s="21" t="str">
        <f>IFERROR(__xludf.DUMMYFUNCTION("PROPER(TRIM(
  REGEXREPLACE(
    REGEXREPLACE(
      SUBSTITUTE(SUBSTITUTE(SUBSTITUTE(SUBSTITUTE(SUBSTITUTE(SUBSTITUTE(SUBSTITUTE(SUBSTITUTE(SUBSTITUTE(SUBSTITUTE(SUBSTITUTE(
        B440,""√©"",""é""),""√°"",""á""),""√±"",""ñ""),""√≥"",""ó""),""√â"",""é"&amp;"""),""√Å"",""á""),""√ç"",""í""),""√Ç"",""Í""),""√Â"",""é""),""√≠"",""í""),""√º"",""ú""),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40" s="22" t="str">
        <f>IFERROR(__xludf.DUMMYFUNCTION("SPLIT(
  TRIM(
    SUBSTITUTE(
      SUBSTITUTE(
        SUBSTITUTE(
          SUBSTITUTE(
            C440,
            ""√©"", ""é""
          ),
          ""√±"", ""ñ""
        ),
        ""√°"", ""á""
      ),
      ""√≥"", ""ó""
    )
  ),
  ""-""
)
"),"Teléfono")</f>
        <v>Teléfono</v>
      </c>
      <c r="O440" s="22" t="str">
        <f>IFERROR(__xludf.DUMMYFUNCTION("""COMPUTED_VALUE"""),"Gama media")</f>
        <v>Gama media</v>
      </c>
      <c r="P440" s="22" t="str">
        <f>IFERROR(__xludf.DUMMYFUNCTION("""COMPUTED_VALUE"""),"16GB")</f>
        <v>16GB</v>
      </c>
      <c r="Q440" s="23">
        <f t="shared" si="1"/>
        <v>932.02</v>
      </c>
      <c r="R440" s="22">
        <f t="shared" si="2"/>
        <v>4</v>
      </c>
      <c r="S440" s="23">
        <f t="shared" si="3"/>
        <v>3728.08</v>
      </c>
      <c r="T440" s="22" t="str">
        <f>IFERROR(__xludf.DUMMYFUNCTION("PROPER(TRIM(
  LET(
    texto1, REGEXREPLACE(G440,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"),"Lorenzo Zaragoza")</f>
        <v>Lorenzo Zaragoza</v>
      </c>
      <c r="U440" s="22" t="str">
        <f t="shared" si="4"/>
        <v>66a70af2-e06b-4866-8aaa-a2912c261d68</v>
      </c>
      <c r="V440" s="24" t="str">
        <f t="shared" si="5"/>
        <v>Teléfono Gama media 16GB</v>
      </c>
    </row>
    <row r="441" ht="15.75" customHeight="1">
      <c r="A441" s="36">
        <v>45394.0</v>
      </c>
      <c r="B441" s="2" t="s">
        <v>50</v>
      </c>
      <c r="C441" s="2" t="s">
        <v>500</v>
      </c>
      <c r="D441" s="7">
        <v>1806.33</v>
      </c>
      <c r="E441" s="2">
        <v>1.0</v>
      </c>
      <c r="F441" s="7">
        <v>1806.33</v>
      </c>
      <c r="G441" s="2" t="s">
        <v>1617</v>
      </c>
      <c r="H441" s="2" t="s">
        <v>1618</v>
      </c>
      <c r="I441" s="2" t="s">
        <v>1619</v>
      </c>
      <c r="K441" s="25" t="str">
        <f>IFERROR(__xludf.DUMMYFUNCTION("IF(ISBLANK(A441),
  """",
  IF(ISNUMBER(A441),
    TEXT(A441,""dd/mm/yyyy""),
    IF(
      REGEXMATCH(TRIM(A441),""^\d{1,2}/\d{1,2}/\d{4}$""),
      TRIM(A441),
      IFERROR(
        TEXT(DATEVALUE(SUBSTITUTE(SUBSTITUTE(TRIM(A441),""-"",""/""),""."",""/"&amp;""")),""dd/mm/yyyy""),
        TRIM(A441)
      )
    )
  )
)
"),"12/04/2024")</f>
        <v>12/04/2024</v>
      </c>
      <c r="L441" s="26">
        <v>45394.0</v>
      </c>
      <c r="M441" s="27" t="str">
        <f>IFERROR(__xludf.DUMMYFUNCTION("PROPER(TRIM(
  REGEXREPLACE(
    REGEXREPLACE(
      SUBSTITUTE(SUBSTITUTE(SUBSTITUTE(SUBSTITUTE(SUBSTITUTE(SUBSTITUTE(SUBSTITUTE(SUBSTITUTE(SUBSTITUTE(SUBSTITUTE(SUBSTITUTE(
        B441,""√©"",""é""),""√°"",""á""),""√±"",""ñ""),""√≥"",""ó""),""√â"",""é"&amp;"""),""√Å"",""á""),""√ç"",""í""),""√Ç"",""Í""),""√Â"",""é""),""√≠"",""í""),""√º"",""ú""),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41" s="28" t="str">
        <f>IFERROR(__xludf.DUMMYFUNCTION("SPLIT(
  TRIM(
    SUBSTITUTE(
      SUBSTITUTE(
        SUBSTITUTE(
          SUBSTITUTE(
            C441,
            ""√©"", ""é""
          ),
          ""√±"", ""ñ""
        ),
        ""√°"", ""á""
      ),
      ""√≥"", ""ó""
    )
  ),
  ""-""
)
"),"Teléfono")</f>
        <v>Teléfono</v>
      </c>
      <c r="O441" s="28" t="str">
        <f>IFERROR(__xludf.DUMMYFUNCTION("""COMPUTED_VALUE"""),"Gama alta")</f>
        <v>Gama alta</v>
      </c>
      <c r="P441" s="28" t="str">
        <f>IFERROR(__xludf.DUMMYFUNCTION("""COMPUTED_VALUE"""),"32GB")</f>
        <v>32GB</v>
      </c>
      <c r="Q441" s="29">
        <f t="shared" si="1"/>
        <v>1806.33</v>
      </c>
      <c r="R441" s="28">
        <f t="shared" si="2"/>
        <v>1</v>
      </c>
      <c r="S441" s="29">
        <f t="shared" si="3"/>
        <v>1806.33</v>
      </c>
      <c r="T441" s="28" t="str">
        <f>IFERROR(__xludf.DUMMYFUNCTION("PROPER(TRIM(
  LET(
    texto1, REGEXREPLACE(G441,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Carrera")</f>
        <v>Vanesa Carrera</v>
      </c>
      <c r="U441" s="28" t="str">
        <f t="shared" si="4"/>
        <v>9bcb4a05-0683-4847-aadc-b955ee3775a4</v>
      </c>
      <c r="V441" s="30" t="str">
        <f t="shared" si="5"/>
        <v>Teléfono Gama alta 32GB</v>
      </c>
    </row>
    <row r="442" ht="15.75" customHeight="1">
      <c r="A442" s="36">
        <v>45332.0</v>
      </c>
      <c r="B442" s="2" t="s">
        <v>27</v>
      </c>
      <c r="C442" s="2" t="s">
        <v>86</v>
      </c>
      <c r="D442" s="7">
        <v>2187.34</v>
      </c>
      <c r="E442" s="2">
        <v>1.0</v>
      </c>
      <c r="F442" s="7">
        <v>2187.34</v>
      </c>
      <c r="G442" s="2" t="s">
        <v>1620</v>
      </c>
      <c r="H442" s="2" t="s">
        <v>1621</v>
      </c>
      <c r="I442" s="2" t="s">
        <v>1622</v>
      </c>
      <c r="K442" s="19" t="str">
        <f>IFERROR(__xludf.DUMMYFUNCTION("IF(ISBLANK(A442),
  """",
  IF(ISNUMBER(A442),
    TEXT(A442,""dd/mm/yyyy""),
    IF(
      REGEXMATCH(TRIM(A442),""^\d{1,2}/\d{1,2}/\d{4}$""),
      TRIM(A442),
      IFERROR(
        TEXT(DATEVALUE(SUBSTITUTE(SUBSTITUTE(TRIM(A442),""-"",""/""),""."",""/"&amp;""")),""dd/mm/yyyy""),
        TRIM(A442)
      )
    )
  )
)
"),"10/02/2024")</f>
        <v>10/02/2024</v>
      </c>
      <c r="L442" s="20">
        <v>45332.0</v>
      </c>
      <c r="M442" s="21" t="str">
        <f>IFERROR(__xludf.DUMMYFUNCTION("PROPER(TRIM(
  REGEXREPLACE(
    REGEXREPLACE(
      SUBSTITUTE(SUBSTITUTE(SUBSTITUTE(SUBSTITUTE(SUBSTITUTE(SUBSTITUTE(SUBSTITUTE(SUBSTITUTE(SUBSTITUTE(SUBSTITUTE(SUBSTITUTE(
        B442,""√©"",""é""),""√°"",""á""),""√±"",""ñ""),""√≥"",""ó""),""√â"",""é"&amp;"""),""√Å"",""á""),""√ç"",""í""),""√Ç"",""Í""),""√Â"",""é""),""√≠"",""í""),""√º"",""ú""),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42" s="22" t="str">
        <f>IFERROR(__xludf.DUMMYFUNCTION("SPLIT(
  TRIM(
    SUBSTITUTE(
      SUBSTITUTE(
        SUBSTITUTE(
          SUBSTITUTE(
            C442,
            ""√©"", ""é""
          ),
          ""√±"", ""ñ""
        ),
        ""√°"", ""á""
      ),
      ""√≥"", ""ó""
    )
  ),
  ""-""
)
"),"Tablet")</f>
        <v>Tablet</v>
      </c>
      <c r="O442" s="22" t="str">
        <f>IFERROR(__xludf.DUMMYFUNCTION("""COMPUTED_VALUE"""),"Pro")</f>
        <v>Pro</v>
      </c>
      <c r="P442" s="22" t="str">
        <f>IFERROR(__xludf.DUMMYFUNCTION("""COMPUTED_VALUE"""),"32GB")</f>
        <v>32GB</v>
      </c>
      <c r="Q442" s="23">
        <f t="shared" si="1"/>
        <v>2187.34</v>
      </c>
      <c r="R442" s="22">
        <f t="shared" si="2"/>
        <v>1</v>
      </c>
      <c r="S442" s="23">
        <f t="shared" si="3"/>
        <v>2187.34</v>
      </c>
      <c r="T442" s="22" t="str">
        <f>IFERROR(__xludf.DUMMYFUNCTION("PROPER(TRIM(
  LET(
    texto1, REGEXREPLACE(G442,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"),"Aurora Armenta")</f>
        <v>Aurora Armenta</v>
      </c>
      <c r="U442" s="22" t="str">
        <f t="shared" si="4"/>
        <v>d955fcfb-9a73-4a28-9931-b2f8a50846b1</v>
      </c>
      <c r="V442" s="24" t="str">
        <f t="shared" si="5"/>
        <v>Tablet Pro 32GB</v>
      </c>
    </row>
    <row r="443" ht="15.75" customHeight="1">
      <c r="A443" s="36">
        <v>45576.0</v>
      </c>
      <c r="B443" s="2" t="s">
        <v>38</v>
      </c>
      <c r="C443" s="2" t="s">
        <v>39</v>
      </c>
      <c r="D443" s="7">
        <v>1859.58</v>
      </c>
      <c r="E443" s="2">
        <v>3.0</v>
      </c>
      <c r="F443" s="7">
        <v>5578.74</v>
      </c>
      <c r="G443" s="2" t="s">
        <v>1623</v>
      </c>
      <c r="H443" s="2" t="s">
        <v>1624</v>
      </c>
      <c r="I443" s="2" t="s">
        <v>1625</v>
      </c>
      <c r="K443" s="25" t="str">
        <f>IFERROR(__xludf.DUMMYFUNCTION("IF(ISBLANK(A443),
  """",
  IF(ISNUMBER(A443),
    TEXT(A443,""dd/mm/yyyy""),
    IF(
      REGEXMATCH(TRIM(A443),""^\d{1,2}/\d{1,2}/\d{4}$""),
      TRIM(A443),
      IFERROR(
        TEXT(DATEVALUE(SUBSTITUTE(SUBSTITUTE(TRIM(A443),""-"",""/""),""."",""/"&amp;""")),""dd/mm/yyyy""),
        TRIM(A443)
      )
    )
  )
)
"),"11/10/2024")</f>
        <v>11/10/2024</v>
      </c>
      <c r="L443" s="26">
        <v>45576.0</v>
      </c>
      <c r="M443" s="27" t="str">
        <f>IFERROR(__xludf.DUMMYFUNCTION("PROPER(TRIM(
  REGEXREPLACE(
    REGEXREPLACE(
      SUBSTITUTE(SUBSTITUTE(SUBSTITUTE(SUBSTITUTE(SUBSTITUTE(SUBSTITUTE(SUBSTITUTE(SUBSTITUTE(SUBSTITUTE(SUBSTITUTE(SUBSTITUTE(
        B443,""√©"",""é""),""√°"",""á""),""√±"",""ñ""),""√≥"",""ó""),""√â"",""é"&amp;"""),""√Å"",""á""),""√ç"",""í""),""√Ç"",""Í""),""√Â"",""é""),""√≠"",""í""),""√º"",""ú""),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43" s="28" t="str">
        <f>IFERROR(__xludf.DUMMYFUNCTION("SPLIT(
  TRIM(
    SUBSTITUTE(
      SUBSTITUTE(
        SUBSTITUTE(
          SUBSTITUTE(
            C443,
            ""√©"", ""é""
          ),
          ""√±"", ""ñ""
        ),
        ""√°"", ""á""
      ),
      ""√≥"", ""ó""
    )
  ),
  ""-""
)
"),"Teléfono")</f>
        <v>Teléfono</v>
      </c>
      <c r="O443" s="28" t="str">
        <f>IFERROR(__xludf.DUMMYFUNCTION("""COMPUTED_VALUE"""),"Gama alta")</f>
        <v>Gama alta</v>
      </c>
      <c r="P443" s="28" t="str">
        <f>IFERROR(__xludf.DUMMYFUNCTION("""COMPUTED_VALUE"""),"8GB")</f>
        <v>8GB</v>
      </c>
      <c r="Q443" s="29">
        <f t="shared" si="1"/>
        <v>1859.58</v>
      </c>
      <c r="R443" s="28">
        <f t="shared" si="2"/>
        <v>3</v>
      </c>
      <c r="S443" s="29">
        <f t="shared" si="3"/>
        <v>5578.74</v>
      </c>
      <c r="T443" s="28" t="str">
        <f>IFERROR(__xludf.DUMMYFUNCTION("PROPER(TRIM(
  LET(
    texto1, REGEXREPLACE(G443,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"),"Patricio Puga")</f>
        <v>Patricio Puga</v>
      </c>
      <c r="U443" s="28" t="str">
        <f t="shared" si="4"/>
        <v>428f89ef-5eb4-469e-b29a-14fcef36e9d3</v>
      </c>
      <c r="V443" s="30" t="str">
        <f t="shared" si="5"/>
        <v>Teléfono Gama alta 8GB</v>
      </c>
    </row>
    <row r="444" ht="15.75" customHeight="1">
      <c r="A444" s="6">
        <v>45650.0</v>
      </c>
      <c r="B444" s="2" t="s">
        <v>16</v>
      </c>
      <c r="C444" s="2" t="s">
        <v>385</v>
      </c>
      <c r="D444" s="7">
        <v>306.11</v>
      </c>
      <c r="E444" s="2">
        <v>2.0</v>
      </c>
      <c r="F444" s="7">
        <v>612.22</v>
      </c>
      <c r="G444" s="2" t="s">
        <v>1626</v>
      </c>
      <c r="H444" s="2" t="s">
        <v>1627</v>
      </c>
      <c r="I444" s="2" t="s">
        <v>1628</v>
      </c>
      <c r="K444" s="19" t="str">
        <f>IFERROR(__xludf.DUMMYFUNCTION("IF(ISBLANK(A444),
  """",
  IF(ISNUMBER(A444),
    TEXT(A444,""dd/mm/yyyy""),
    IF(
      REGEXMATCH(TRIM(A444),""^\d{1,2}/\d{1,2}/\d{4}$""),
      TRIM(A444),
      IFERROR(
        TEXT(DATEVALUE(SUBSTITUTE(SUBSTITUTE(TRIM(A444),""-"",""/""),""."",""/"&amp;""")),""dd/mm/yyyy""),
        TRIM(A444)
      )
    )
  )
)
"),"24/12/2024")</f>
        <v>24/12/2024</v>
      </c>
      <c r="L444" s="20">
        <v>45650.0</v>
      </c>
      <c r="M444" s="21" t="str">
        <f>IFERROR(__xludf.DUMMYFUNCTION("PROPER(TRIM(
  REGEXREPLACE(
    REGEXREPLACE(
      SUBSTITUTE(SUBSTITUTE(SUBSTITUTE(SUBSTITUTE(SUBSTITUTE(SUBSTITUTE(SUBSTITUTE(SUBSTITUTE(SUBSTITUTE(SUBSTITUTE(SUBSTITUTE(
        B444,""√©"",""é""),""√°"",""á""),""√±"",""ñ""),""√≥"",""ó""),""√â"",""é"&amp;"""),""√Å"",""á""),""√ç"",""í""),""√Ç"",""Í""),""√Â"",""é""),""√≠"",""í""),""√º"",""ú""),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44" s="22" t="str">
        <f>IFERROR(__xludf.DUMMYFUNCTION("SPLIT(
  TRIM(
    SUBSTITUTE(
      SUBSTITUTE(
        SUBSTITUTE(
          SUBSTITUTE(
            C444,
            ""√©"", ""é""
          ),
          ""√±"", ""ñ""
        ),
        ""√°"", ""á""
      ),
      ""√≥"", ""ó""
    )
  ),
  ""-""
)
"),"Tablet")</f>
        <v>Tablet</v>
      </c>
      <c r="O444" s="22" t="str">
        <f>IFERROR(__xludf.DUMMYFUNCTION("""COMPUTED_VALUE"""),"Estándar")</f>
        <v>Estándar</v>
      </c>
      <c r="P444" s="22" t="str">
        <f>IFERROR(__xludf.DUMMYFUNCTION("""COMPUTED_VALUE"""),"32GB")</f>
        <v>32GB</v>
      </c>
      <c r="Q444" s="23">
        <f t="shared" si="1"/>
        <v>306.11</v>
      </c>
      <c r="R444" s="22">
        <f t="shared" si="2"/>
        <v>2</v>
      </c>
      <c r="S444" s="23">
        <f t="shared" si="3"/>
        <v>612.22</v>
      </c>
      <c r="T444" s="22" t="str">
        <f>IFERROR(__xludf.DUMMYFUNCTION("PROPER(TRIM(
  LET(
    texto1, REGEXREPLACE(G444,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Alvarado Zambrano")</f>
        <v>Ana Alvarado Zambrano</v>
      </c>
      <c r="U444" s="22" t="str">
        <f t="shared" si="4"/>
        <v>ec0799d5-b19c-407d-9997-ef035cb093a4</v>
      </c>
      <c r="V444" s="24" t="str">
        <f t="shared" si="5"/>
        <v>Tablet Estándar 32GB</v>
      </c>
    </row>
    <row r="445" ht="15.75" customHeight="1">
      <c r="A445" s="36">
        <v>45515.0</v>
      </c>
      <c r="B445" s="2" t="s">
        <v>27</v>
      </c>
      <c r="C445" s="2" t="s">
        <v>245</v>
      </c>
      <c r="D445" s="7">
        <v>233.33</v>
      </c>
      <c r="E445" s="2">
        <v>5.0</v>
      </c>
      <c r="F445" s="7">
        <v>1166.65</v>
      </c>
      <c r="G445" s="2" t="s">
        <v>1629</v>
      </c>
      <c r="H445" s="2" t="s">
        <v>1630</v>
      </c>
      <c r="I445" s="2" t="s">
        <v>1631</v>
      </c>
      <c r="K445" s="25" t="str">
        <f>IFERROR(__xludf.DUMMYFUNCTION("IF(ISBLANK(A445),
  """",
  IF(ISNUMBER(A445),
    TEXT(A445,""dd/mm/yyyy""),
    IF(
      REGEXMATCH(TRIM(A445),""^\d{1,2}/\d{1,2}/\d{4}$""),
      TRIM(A445),
      IFERROR(
        TEXT(DATEVALUE(SUBSTITUTE(SUBSTITUTE(TRIM(A445),""-"",""/""),""."",""/"&amp;""")),""dd/mm/yyyy""),
        TRIM(A445)
      )
    )
  )
)
"),"11/08/2024")</f>
        <v>11/08/2024</v>
      </c>
      <c r="L445" s="26">
        <v>45515.0</v>
      </c>
      <c r="M445" s="27" t="str">
        <f>IFERROR(__xludf.DUMMYFUNCTION("PROPER(TRIM(
  REGEXREPLACE(
    REGEXREPLACE(
      SUBSTITUTE(SUBSTITUTE(SUBSTITUTE(SUBSTITUTE(SUBSTITUTE(SUBSTITUTE(SUBSTITUTE(SUBSTITUTE(SUBSTITUTE(SUBSTITUTE(SUBSTITUTE(
        B445,""√©"",""é""),""√°"",""á""),""√±"",""ñ""),""√≥"",""ó""),""√â"",""é"&amp;"""),""√Å"",""á""),""√ç"",""í""),""√Ç"",""Í""),""√Â"",""é""),""√≠"",""í""),""√º"",""ú""),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45" s="28" t="str">
        <f>IFERROR(__xludf.DUMMYFUNCTION("SPLIT(
  TRIM(
    SUBSTITUTE(
      SUBSTITUTE(
        SUBSTITUTE(
          SUBSTITUTE(
            C445,
            ""√©"", ""é""
          ),
          ""√±"", ""ñ""
        ),
        ""√°"", ""á""
      ),
      ""√≥"", ""ó""
    )
  ),
  ""-""
)
"),"Teléfono")</f>
        <v>Teléfono</v>
      </c>
      <c r="O445" s="28" t="str">
        <f>IFERROR(__xludf.DUMMYFUNCTION("""COMPUTED_VALUE"""),"Gama baja")</f>
        <v>Gama baja</v>
      </c>
      <c r="P445" s="28" t="str">
        <f>IFERROR(__xludf.DUMMYFUNCTION("""COMPUTED_VALUE"""),"32GB")</f>
        <v>32GB</v>
      </c>
      <c r="Q445" s="29">
        <f t="shared" si="1"/>
        <v>233.33</v>
      </c>
      <c r="R445" s="28">
        <f t="shared" si="2"/>
        <v>5</v>
      </c>
      <c r="S445" s="29">
        <f t="shared" si="3"/>
        <v>1166.65</v>
      </c>
      <c r="T445" s="28" t="str">
        <f>IFERROR(__xludf.DUMMYFUNCTION("PROPER(TRIM(
  LET(
    texto1, REGEXREPLACE(G445,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"),"Leticia Alba")</f>
        <v>Leticia Alba</v>
      </c>
      <c r="U445" s="28" t="str">
        <f t="shared" si="4"/>
        <v>7cfc5646-ee03-43c0-9218-196b1d77162a</v>
      </c>
      <c r="V445" s="30" t="str">
        <f t="shared" si="5"/>
        <v>Teléfono Gama baja 32GB</v>
      </c>
    </row>
    <row r="446" ht="15.75" customHeight="1">
      <c r="A446" s="36">
        <v>45545.0</v>
      </c>
      <c r="B446" s="2" t="s">
        <v>50</v>
      </c>
      <c r="C446" s="2" t="s">
        <v>196</v>
      </c>
      <c r="D446" s="7">
        <v>1429.62</v>
      </c>
      <c r="E446" s="2">
        <v>2.0</v>
      </c>
      <c r="F446" s="7">
        <v>2859.24</v>
      </c>
      <c r="G446" s="2" t="s">
        <v>1632</v>
      </c>
      <c r="H446" s="2" t="s">
        <v>1633</v>
      </c>
      <c r="I446" s="3" t="s">
        <v>1634</v>
      </c>
      <c r="K446" s="19" t="str">
        <f>IFERROR(__xludf.DUMMYFUNCTION("IF(ISBLANK(A446),
  """",
  IF(ISNUMBER(A446),
    TEXT(A446,""dd/mm/yyyy""),
    IF(
      REGEXMATCH(TRIM(A446),""^\d{1,2}/\d{1,2}/\d{4}$""),
      TRIM(A446),
      IFERROR(
        TEXT(DATEVALUE(SUBSTITUTE(SUBSTITUTE(TRIM(A446),""-"",""/""),""."",""/"&amp;""")),""dd/mm/yyyy""),
        TRIM(A446)
      )
    )
  )
)
"),"10/09/2024")</f>
        <v>10/09/2024</v>
      </c>
      <c r="L446" s="20">
        <v>45545.0</v>
      </c>
      <c r="M446" s="21" t="str">
        <f>IFERROR(__xludf.DUMMYFUNCTION("PROPER(TRIM(
  REGEXREPLACE(
    REGEXREPLACE(
      SUBSTITUTE(SUBSTITUTE(SUBSTITUTE(SUBSTITUTE(SUBSTITUTE(SUBSTITUTE(SUBSTITUTE(SUBSTITUTE(SUBSTITUTE(SUBSTITUTE(SUBSTITUTE(
        B446,""√©"",""é""),""√°"",""á""),""√±"",""ñ""),""√≥"",""ó""),""√â"",""é"&amp;"""),""√Å"",""á""),""√ç"",""í""),""√Ç"",""Í""),""√Â"",""é""),""√≠"",""í""),""√º"",""ú""),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46" s="22" t="str">
        <f>IFERROR(__xludf.DUMMYFUNCTION("SPLIT(
  TRIM(
    SUBSTITUTE(
      SUBSTITUTE(
        SUBSTITUTE(
          SUBSTITUTE(
            C446,
            ""√©"", ""é""
          ),
          ""√±"", ""ñ""
        ),
        ""√°"", ""á""
      ),
      ""√≥"", ""ó""
    )
  ),
  ""-""
)
"),"Auriculares")</f>
        <v>Auriculares</v>
      </c>
      <c r="O446" s="22" t="str">
        <f>IFERROR(__xludf.DUMMYFUNCTION("""COMPUTED_VALUE"""),"Cancelación de ruido")</f>
        <v>Cancelación de ruido</v>
      </c>
      <c r="P446" s="22" t="str">
        <f>IFERROR(__xludf.DUMMYFUNCTION("""COMPUTED_VALUE"""),"8GB")</f>
        <v>8GB</v>
      </c>
      <c r="Q446" s="23">
        <f t="shared" si="1"/>
        <v>1429.62</v>
      </c>
      <c r="R446" s="22">
        <f t="shared" si="2"/>
        <v>2</v>
      </c>
      <c r="S446" s="23">
        <f t="shared" si="3"/>
        <v>2859.24</v>
      </c>
      <c r="T446" s="22" t="str">
        <f>IFERROR(__xludf.DUMMYFUNCTION("PROPER(TRIM(
  LET(
    texto1, REGEXREPLACE(G446,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 Leyva")</f>
        <v>Daniel Leyva</v>
      </c>
      <c r="U446" s="33" t="str">
        <f t="shared" si="4"/>
        <v>5e633cdc-c67a-440a-87f3-4972f2d004ac</v>
      </c>
      <c r="V446" s="24" t="str">
        <f t="shared" si="5"/>
        <v>Auriculares Cancelación de ruido 8GB</v>
      </c>
    </row>
    <row r="447" ht="15.75" customHeight="1">
      <c r="A447" s="36">
        <v>45483.0</v>
      </c>
      <c r="B447" s="2" t="s">
        <v>85</v>
      </c>
      <c r="C447" s="2" t="s">
        <v>22</v>
      </c>
      <c r="D447" s="7">
        <v>1788.74</v>
      </c>
      <c r="E447" s="2">
        <v>2.0</v>
      </c>
      <c r="F447" s="7">
        <v>3577.48</v>
      </c>
      <c r="G447" s="2" t="s">
        <v>1635</v>
      </c>
      <c r="H447" s="2" t="s">
        <v>1636</v>
      </c>
      <c r="I447" s="2" t="s">
        <v>1637</v>
      </c>
      <c r="K447" s="25" t="str">
        <f>IFERROR(__xludf.DUMMYFUNCTION("IF(ISBLANK(A447),
  """",
  IF(ISNUMBER(A447),
    TEXT(A447,""dd/mm/yyyy""),
    IF(
      REGEXMATCH(TRIM(A447),""^\d{1,2}/\d{1,2}/\d{4}$""),
      TRIM(A447),
      IFERROR(
        TEXT(DATEVALUE(SUBSTITUTE(SUBSTITUTE(TRIM(A447),""-"",""/""),""."",""/"&amp;""")),""dd/mm/yyyy""),
        TRIM(A447)
      )
    )
  )
)
"),"10/07/2024")</f>
        <v>10/07/2024</v>
      </c>
      <c r="L447" s="26">
        <v>45483.0</v>
      </c>
      <c r="M447" s="27" t="str">
        <f>IFERROR(__xludf.DUMMYFUNCTION("PROPER(TRIM(
  REGEXREPLACE(
    REGEXREPLACE(
      SUBSTITUTE(SUBSTITUTE(SUBSTITUTE(SUBSTITUTE(SUBSTITUTE(SUBSTITUTE(SUBSTITUTE(SUBSTITUTE(SUBSTITUTE(SUBSTITUTE(SUBSTITUTE(
        B447,""√©"",""é""),""√°"",""á""),""√±"",""ñ""),""√≥"",""ó""),""√â"",""é"&amp;"""),""√Å"",""á""),""√ç"",""í""),""√Ç"",""Í""),""√Â"",""é""),""√≠"",""í""),""√º"",""ú""),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47" s="28" t="str">
        <f>IFERROR(__xludf.DUMMYFUNCTION("SPLIT(
  TRIM(
    SUBSTITUTE(
      SUBSTITUTE(
        SUBSTITUTE(
          SUBSTITUTE(
            C447,
            ""√©"", ""é""
          ),
          ""√±"", ""ñ""
        ),
        ""√°"", ""á""
      ),
      ""√≥"", ""ó""
    )
  ),
  ""-""
)
"),"Laptop")</f>
        <v>Laptop</v>
      </c>
      <c r="O447" s="28" t="str">
        <f>IFERROR(__xludf.DUMMYFUNCTION("""COMPUTED_VALUE"""),"Gaming")</f>
        <v>Gaming</v>
      </c>
      <c r="P447" s="28" t="str">
        <f>IFERROR(__xludf.DUMMYFUNCTION("""COMPUTED_VALUE"""),"32GB")</f>
        <v>32GB</v>
      </c>
      <c r="Q447" s="29">
        <f t="shared" si="1"/>
        <v>1788.74</v>
      </c>
      <c r="R447" s="28">
        <f t="shared" si="2"/>
        <v>2</v>
      </c>
      <c r="S447" s="29">
        <f t="shared" si="3"/>
        <v>3577.48</v>
      </c>
      <c r="T447" s="28" t="str">
        <f>IFERROR(__xludf.DUMMYFUNCTION("PROPER(TRIM(
  LET(
    texto1, REGEXREPLACE(G447,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"),"Gabino María Eugenia García")</f>
        <v>Gabino María Eugenia García</v>
      </c>
      <c r="U447" s="28" t="str">
        <f t="shared" si="4"/>
        <v>a135de6f-9fab-4ce0-843f-2cfd1eebc422</v>
      </c>
      <c r="V447" s="30" t="str">
        <f t="shared" si="5"/>
        <v>Laptop Gaming 32GB</v>
      </c>
    </row>
    <row r="448" ht="15.75" customHeight="1">
      <c r="A448" s="36">
        <v>45424.0</v>
      </c>
      <c r="B448" s="2" t="s">
        <v>38</v>
      </c>
      <c r="C448" s="2" t="s">
        <v>226</v>
      </c>
      <c r="D448" s="7">
        <v>2199.82</v>
      </c>
      <c r="E448" s="2">
        <v>4.0</v>
      </c>
      <c r="F448" s="7">
        <v>8799.28</v>
      </c>
      <c r="G448" s="2" t="s">
        <v>1638</v>
      </c>
      <c r="H448" s="2" t="s">
        <v>1639</v>
      </c>
      <c r="I448" s="2" t="s">
        <v>1640</v>
      </c>
      <c r="K448" s="19" t="str">
        <f>IFERROR(__xludf.DUMMYFUNCTION("IF(ISBLANK(A448),
  """",
  IF(ISNUMBER(A448),
    TEXT(A448,""dd/mm/yyyy""),
    IF(
      REGEXMATCH(TRIM(A448),""^\d{1,2}/\d{1,2}/\d{4}$""),
      TRIM(A448),
      IFERROR(
        TEXT(DATEVALUE(SUBSTITUTE(SUBSTITUTE(TRIM(A448),""-"",""/""),""."",""/"&amp;""")),""dd/mm/yyyy""),
        TRIM(A448)
      )
    )
  )
)
"),"12/05/2024")</f>
        <v>12/05/2024</v>
      </c>
      <c r="L448" s="20">
        <v>45424.0</v>
      </c>
      <c r="M448" s="21" t="str">
        <f>IFERROR(__xludf.DUMMYFUNCTION("PROPER(TRIM(
  REGEXREPLACE(
    REGEXREPLACE(
      SUBSTITUTE(SUBSTITUTE(SUBSTITUTE(SUBSTITUTE(SUBSTITUTE(SUBSTITUTE(SUBSTITUTE(SUBSTITUTE(SUBSTITUTE(SUBSTITUTE(SUBSTITUTE(
        B448,""√©"",""é""),""√°"",""á""),""√±"",""ñ""),""√≥"",""ó""),""√â"",""é"&amp;"""),""√Å"",""á""),""√ç"",""í""),""√Ç"",""Í""),""√Â"",""é""),""√≠"",""í""),""√º"",""ú""),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48" s="22" t="str">
        <f>IFERROR(__xludf.DUMMYFUNCTION("SPLIT(
  TRIM(
    SUBSTITUTE(
      SUBSTITUTE(
        SUBSTITUTE(
          SUBSTITUTE(
            C448,
            ""√©"", ""é""
          ),
          ""√±"", ""ñ""
        ),
        ""√°"", ""á""
      ),
      ""√≥"", ""ó""
    )
  ),
  ""-""
)
"),"Tablet")</f>
        <v>Tablet</v>
      </c>
      <c r="O448" s="22" t="str">
        <f>IFERROR(__xludf.DUMMYFUNCTION("""COMPUTED_VALUE"""),"Mini")</f>
        <v>Mini</v>
      </c>
      <c r="P448" s="22" t="str">
        <f>IFERROR(__xludf.DUMMYFUNCTION("""COMPUTED_VALUE"""),"16GB")</f>
        <v>16GB</v>
      </c>
      <c r="Q448" s="23">
        <f t="shared" si="1"/>
        <v>2199.82</v>
      </c>
      <c r="R448" s="22">
        <f t="shared" si="2"/>
        <v>4</v>
      </c>
      <c r="S448" s="23">
        <f t="shared" si="3"/>
        <v>8799.28</v>
      </c>
      <c r="T448" s="22" t="str">
        <f>IFERROR(__xludf.DUMMYFUNCTION("PROPER(TRIM(
  LET(
    texto1, REGEXREPLACE(G448,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"),"Aurelio Sanabria")</f>
        <v>Aurelio Sanabria</v>
      </c>
      <c r="U448" s="22" t="str">
        <f t="shared" si="4"/>
        <v>2c03bec6-97ff-4eed-9ab3-48894b938d1c</v>
      </c>
      <c r="V448" s="24" t="str">
        <f t="shared" si="5"/>
        <v>Tablet Mini 16GB</v>
      </c>
    </row>
    <row r="449" ht="15.75" customHeight="1">
      <c r="A449" s="6">
        <v>45621.0</v>
      </c>
      <c r="B449" s="2" t="s">
        <v>368</v>
      </c>
      <c r="C449" s="2" t="s">
        <v>70</v>
      </c>
      <c r="D449" s="7">
        <v>2476.21</v>
      </c>
      <c r="E449" s="2">
        <v>5.0</v>
      </c>
      <c r="F449" s="7">
        <v>12381.05</v>
      </c>
      <c r="G449" s="2" t="s">
        <v>1641</v>
      </c>
      <c r="H449" s="2" t="s">
        <v>1642</v>
      </c>
      <c r="I449" s="2" t="s">
        <v>1643</v>
      </c>
      <c r="K449" s="25" t="str">
        <f>IFERROR(__xludf.DUMMYFUNCTION("IF(ISBLANK(A449),
  """",
  IF(ISNUMBER(A449),
    TEXT(A449,""dd/mm/yyyy""),
    IF(
      REGEXMATCH(TRIM(A449),""^\d{1,2}/\d{1,2}/\d{4}$""),
      TRIM(A449),
      IFERROR(
        TEXT(DATEVALUE(SUBSTITUTE(SUBSTITUTE(TRIM(A449),""-"",""/""),""."",""/"&amp;""")),""dd/mm/yyyy""),
        TRIM(A449)
      )
    )
  )
)
"),"25/11/2024")</f>
        <v>25/11/2024</v>
      </c>
      <c r="L449" s="26">
        <v>45621.0</v>
      </c>
      <c r="M449" s="27" t="str">
        <f>IFERROR(__xludf.DUMMYFUNCTION("PROPER(TRIM(
  REGEXREPLACE(
    REGEXREPLACE(
      SUBSTITUTE(SUBSTITUTE(SUBSTITUTE(SUBSTITUTE(SUBSTITUTE(SUBSTITUTE(SUBSTITUTE(SUBSTITUTE(SUBSTITUTE(SUBSTITUTE(SUBSTITUTE(
        B449,""√©"",""é""),""√°"",""á""),""√±"",""ñ""),""√≥"",""ó""),""√â"",""é"&amp;"""),""√Å"",""á""),""√ç"",""í""),""√Ç"",""Í""),""√Â"",""é""),""√≠"",""í""),""√º"",""ú""),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49" s="28" t="str">
        <f>IFERROR(__xludf.DUMMYFUNCTION("SPLIT(
  TRIM(
    SUBSTITUTE(
      SUBSTITUTE(
        SUBSTITUTE(
          SUBSTITUTE(
            C449,
            ""√©"", ""é""
          ),
          ""√±"", ""ñ""
        ),
        ""√°"", ""á""
      ),
      ""√≥"", ""ó""
    )
  ),
  ""-""
)
"),"Auriculares")</f>
        <v>Auriculares</v>
      </c>
      <c r="O449" s="28" t="str">
        <f>IFERROR(__xludf.DUMMYFUNCTION("""COMPUTED_VALUE"""),"Con cable")</f>
        <v>Con cable</v>
      </c>
      <c r="P449" s="28" t="str">
        <f>IFERROR(__xludf.DUMMYFUNCTION("""COMPUTED_VALUE"""),"16GB")</f>
        <v>16GB</v>
      </c>
      <c r="Q449" s="29">
        <f t="shared" si="1"/>
        <v>2476.21</v>
      </c>
      <c r="R449" s="28">
        <f t="shared" si="2"/>
        <v>5</v>
      </c>
      <c r="S449" s="29">
        <f t="shared" si="3"/>
        <v>12381.05</v>
      </c>
      <c r="T449" s="28" t="str">
        <f>IFERROR(__xludf.DUMMYFUNCTION("PROPER(TRIM(
  LET(
    texto1, REGEXREPLACE(G449,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"),"Natalia Carmen Madrid")</f>
        <v>Natalia Carmen Madrid</v>
      </c>
      <c r="U449" s="28" t="str">
        <f t="shared" si="4"/>
        <v>30697ee3-c6f1-4277-b269-c3c951095f84</v>
      </c>
      <c r="V449" s="30" t="str">
        <f t="shared" si="5"/>
        <v>Auriculares Con cable 16GB</v>
      </c>
    </row>
    <row r="450" ht="15.75" customHeight="1">
      <c r="A450" s="6">
        <v>45654.0</v>
      </c>
      <c r="B450" s="2" t="s">
        <v>50</v>
      </c>
      <c r="C450" s="2" t="s">
        <v>172</v>
      </c>
      <c r="D450" s="7">
        <v>2261.12</v>
      </c>
      <c r="E450" s="2">
        <v>4.0</v>
      </c>
      <c r="F450" s="7">
        <v>9044.48</v>
      </c>
      <c r="G450" s="2" t="s">
        <v>1644</v>
      </c>
      <c r="H450" s="2" t="s">
        <v>1645</v>
      </c>
      <c r="I450" s="2" t="s">
        <v>1646</v>
      </c>
      <c r="K450" s="19" t="str">
        <f>IFERROR(__xludf.DUMMYFUNCTION("IF(ISBLANK(A450),
  """",
  IF(ISNUMBER(A450),
    TEXT(A450,""dd/mm/yyyy""),
    IF(
      REGEXMATCH(TRIM(A450),""^\d{1,2}/\d{1,2}/\d{4}$""),
      TRIM(A450),
      IFERROR(
        TEXT(DATEVALUE(SUBSTITUTE(SUBSTITUTE(TRIM(A450),""-"",""/""),""."",""/"&amp;""")),""dd/mm/yyyy""),
        TRIM(A450)
      )
    )
  )
)
"),"28/12/2024")</f>
        <v>28/12/2024</v>
      </c>
      <c r="L450" s="20">
        <v>45654.0</v>
      </c>
      <c r="M450" s="21" t="str">
        <f>IFERROR(__xludf.DUMMYFUNCTION("PROPER(TRIM(
  REGEXREPLACE(
    REGEXREPLACE(
      SUBSTITUTE(SUBSTITUTE(SUBSTITUTE(SUBSTITUTE(SUBSTITUTE(SUBSTITUTE(SUBSTITUTE(SUBSTITUTE(SUBSTITUTE(SUBSTITUTE(SUBSTITUTE(
        B450,""√©"",""é""),""√°"",""á""),""√±"",""ñ""),""√≥"",""ó""),""√â"",""é"&amp;"""),""√Å"",""á""),""√ç"",""í""),""√Ç"",""Í""),""√Â"",""é""),""√≠"",""í""),""√º"",""ú""),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50" s="22" t="str">
        <f>IFERROR(__xludf.DUMMYFUNCTION("SPLIT(
  TRIM(
    SUBSTITUTE(
      SUBSTITUTE(
        SUBSTITUTE(
          SUBSTITUTE(
            C450,
            ""√©"", ""é""
          ),
          ""√±"", ""ñ""
        ),
        ""√°"", ""á""
      ),
      ""√≥"", ""ó""
    )
  ),
  ""-""
)
"),"Laptop")</f>
        <v>Laptop</v>
      </c>
      <c r="O450" s="22" t="str">
        <f>IFERROR(__xludf.DUMMYFUNCTION("""COMPUTED_VALUE"""),"Oficina")</f>
        <v>Oficina</v>
      </c>
      <c r="P450" s="22" t="str">
        <f>IFERROR(__xludf.DUMMYFUNCTION("""COMPUTED_VALUE"""),"8GB")</f>
        <v>8GB</v>
      </c>
      <c r="Q450" s="23">
        <f t="shared" si="1"/>
        <v>2261.12</v>
      </c>
      <c r="R450" s="22">
        <f t="shared" si="2"/>
        <v>4</v>
      </c>
      <c r="S450" s="23">
        <f t="shared" si="3"/>
        <v>9044.48</v>
      </c>
      <c r="T450" s="22" t="str">
        <f>IFERROR(__xludf.DUMMYFUNCTION("PROPER(TRIM(
  LET(
    texto1, REGEXREPLACE(G450,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Manuél Candelaria")</f>
        <v>José Manuél Candelaria</v>
      </c>
      <c r="U450" s="22" t="str">
        <f t="shared" si="4"/>
        <v>ece1df7a-ba2b-48cc-9d1f-e8d8a307a1c6</v>
      </c>
      <c r="V450" s="24" t="str">
        <f t="shared" si="5"/>
        <v>Laptop Oficina 8GB</v>
      </c>
    </row>
    <row r="451" ht="15.75" customHeight="1">
      <c r="A451" s="6">
        <v>45622.0</v>
      </c>
      <c r="B451" s="2" t="s">
        <v>27</v>
      </c>
      <c r="C451" s="2" t="s">
        <v>55</v>
      </c>
      <c r="D451" s="7">
        <v>1247.08</v>
      </c>
      <c r="E451" s="2">
        <v>1.0</v>
      </c>
      <c r="F451" s="7">
        <v>1247.08</v>
      </c>
      <c r="G451" s="2" t="s">
        <v>1647</v>
      </c>
      <c r="H451" s="2" t="s">
        <v>1648</v>
      </c>
      <c r="I451" s="2" t="s">
        <v>1649</v>
      </c>
      <c r="K451" s="25" t="str">
        <f>IFERROR(__xludf.DUMMYFUNCTION("IF(ISBLANK(A451),
  """",
  IF(ISNUMBER(A451),
    TEXT(A451,""dd/mm/yyyy""),
    IF(
      REGEXMATCH(TRIM(A451),""^\d{1,2}/\d{1,2}/\d{4}$""),
      TRIM(A451),
      IFERROR(
        TEXT(DATEVALUE(SUBSTITUTE(SUBSTITUTE(TRIM(A451),""-"",""/""),""."",""/"&amp;""")),""dd/mm/yyyy""),
        TRIM(A451)
      )
    )
  )
)
"),"26/11/2024")</f>
        <v>26/11/2024</v>
      </c>
      <c r="L451" s="26">
        <v>45622.0</v>
      </c>
      <c r="M451" s="27" t="str">
        <f>IFERROR(__xludf.DUMMYFUNCTION("PROPER(TRIM(
  REGEXREPLACE(
    REGEXREPLACE(
      SUBSTITUTE(SUBSTITUTE(SUBSTITUTE(SUBSTITUTE(SUBSTITUTE(SUBSTITUTE(SUBSTITUTE(SUBSTITUTE(SUBSTITUTE(SUBSTITUTE(SUBSTITUTE(
        B451,""√©"",""é""),""√°"",""á""),""√±"",""ñ""),""√≥"",""ó""),""√â"",""é"&amp;"""),""√Å"",""á""),""√ç"",""í""),""√Ç"",""Í""),""√Â"",""é""),""√≠"",""í""),""√º"",""ú""),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51" s="28" t="str">
        <f>IFERROR(__xludf.DUMMYFUNCTION("SPLIT(
  TRIM(
    SUBSTITUTE(
      SUBSTITUTE(
        SUBSTITUTE(
          SUBSTITUTE(
            C451,
            ""√©"", ""é""
          ),
          ""√±"", ""ñ""
        ),
        ""√°"", ""á""
      ),
      ""√≥"", ""ó""
    )
  ),
  ""-""
)
"),"Laptop")</f>
        <v>Laptop</v>
      </c>
      <c r="O451" s="28" t="str">
        <f>IFERROR(__xludf.DUMMYFUNCTION("""COMPUTED_VALUE"""),"Ultraliviana")</f>
        <v>Ultraliviana</v>
      </c>
      <c r="P451" s="28" t="str">
        <f>IFERROR(__xludf.DUMMYFUNCTION("""COMPUTED_VALUE"""),"16GB")</f>
        <v>16GB</v>
      </c>
      <c r="Q451" s="29">
        <f t="shared" si="1"/>
        <v>1247.08</v>
      </c>
      <c r="R451" s="28">
        <f t="shared" si="2"/>
        <v>1</v>
      </c>
      <c r="S451" s="29">
        <f t="shared" si="3"/>
        <v>1247.08</v>
      </c>
      <c r="T451" s="28" t="str">
        <f>IFERROR(__xludf.DUMMYFUNCTION("PROPER(TRIM(
  LET(
    texto1, REGEXREPLACE(G451,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Elvira Medina")</f>
        <v>Carmen Elvira Medina</v>
      </c>
      <c r="U451" s="28" t="str">
        <f t="shared" si="4"/>
        <v>922204f6-79f1-49ba-ab4c-25b2f7427397</v>
      </c>
      <c r="V451" s="30" t="str">
        <f t="shared" si="5"/>
        <v>Laptop Ultraliviana 16GB</v>
      </c>
    </row>
    <row r="452" ht="15.75" customHeight="1">
      <c r="A452" s="36">
        <v>45514.0</v>
      </c>
      <c r="B452" s="2" t="s">
        <v>85</v>
      </c>
      <c r="C452" s="2" t="s">
        <v>196</v>
      </c>
      <c r="D452" s="7">
        <v>479.96</v>
      </c>
      <c r="E452" s="2">
        <v>4.0</v>
      </c>
      <c r="F452" s="7">
        <v>1919.84</v>
      </c>
      <c r="G452" s="2" t="s">
        <v>1650</v>
      </c>
      <c r="H452" s="2" t="s">
        <v>1651</v>
      </c>
      <c r="I452" s="2" t="s">
        <v>1652</v>
      </c>
      <c r="K452" s="19" t="str">
        <f>IFERROR(__xludf.DUMMYFUNCTION("IF(ISBLANK(A452),
  """",
  IF(ISNUMBER(A452),
    TEXT(A452,""dd/mm/yyyy""),
    IF(
      REGEXMATCH(TRIM(A452),""^\d{1,2}/\d{1,2}/\d{4}$""),
      TRIM(A452),
      IFERROR(
        TEXT(DATEVALUE(SUBSTITUTE(SUBSTITUTE(TRIM(A452),""-"",""/""),""."",""/"&amp;""")),""dd/mm/yyyy""),
        TRIM(A452)
      )
    )
  )
)
"),"10/08/2024")</f>
        <v>10/08/2024</v>
      </c>
      <c r="L452" s="20">
        <v>45514.0</v>
      </c>
      <c r="M452" s="21" t="str">
        <f>IFERROR(__xludf.DUMMYFUNCTION("PROPER(TRIM(
  REGEXREPLACE(
    REGEXREPLACE(
      SUBSTITUTE(SUBSTITUTE(SUBSTITUTE(SUBSTITUTE(SUBSTITUTE(SUBSTITUTE(SUBSTITUTE(SUBSTITUTE(SUBSTITUTE(SUBSTITUTE(SUBSTITUTE(
        B452,""√©"",""é""),""√°"",""á""),""√±"",""ñ""),""√≥"",""ó""),""√â"",""é"&amp;"""),""√Å"",""á""),""√ç"",""í""),""√Ç"",""Í""),""√Â"",""é""),""√≠"",""í""),""√º"",""ú""),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52" s="22" t="str">
        <f>IFERROR(__xludf.DUMMYFUNCTION("SPLIT(
  TRIM(
    SUBSTITUTE(
      SUBSTITUTE(
        SUBSTITUTE(
          SUBSTITUTE(
            C452,
            ""√©"", ""é""
          ),
          ""√±"", ""ñ""
        ),
        ""√°"", ""á""
      ),
      ""√≥"", ""ó""
    )
  ),
  ""-""
)
"),"Auriculares")</f>
        <v>Auriculares</v>
      </c>
      <c r="O452" s="22" t="str">
        <f>IFERROR(__xludf.DUMMYFUNCTION("""COMPUTED_VALUE"""),"Cancelación de ruido")</f>
        <v>Cancelación de ruido</v>
      </c>
      <c r="P452" s="22" t="str">
        <f>IFERROR(__xludf.DUMMYFUNCTION("""COMPUTED_VALUE"""),"8GB")</f>
        <v>8GB</v>
      </c>
      <c r="Q452" s="23">
        <f t="shared" si="1"/>
        <v>479.96</v>
      </c>
      <c r="R452" s="22">
        <f t="shared" si="2"/>
        <v>4</v>
      </c>
      <c r="S452" s="23">
        <f t="shared" si="3"/>
        <v>1919.84</v>
      </c>
      <c r="T452" s="22" t="str">
        <f>IFERROR(__xludf.DUMMYFUNCTION("PROPER(TRIM(
  LET(
    texto1, REGEXREPLACE(G452,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"),"Hernán Angulo Ulibarri")</f>
        <v>Hernán Angulo Ulibarri</v>
      </c>
      <c r="U452" s="22" t="str">
        <f t="shared" si="4"/>
        <v>d0dda286-bcb5-4649-a635-e4247f6a35d8</v>
      </c>
      <c r="V452" s="24" t="str">
        <f t="shared" si="5"/>
        <v>Auriculares Cancelación de ruido 8GB</v>
      </c>
    </row>
    <row r="453" ht="15.75" customHeight="1">
      <c r="A453" s="6">
        <v>45621.0</v>
      </c>
      <c r="B453" s="2" t="s">
        <v>101</v>
      </c>
      <c r="C453" s="2" t="s">
        <v>1653</v>
      </c>
      <c r="D453" s="7">
        <v>1155.26</v>
      </c>
      <c r="E453" s="2">
        <v>4.0</v>
      </c>
      <c r="F453" s="7">
        <v>4621.04</v>
      </c>
      <c r="G453" s="2" t="s">
        <v>1654</v>
      </c>
      <c r="H453" s="2" t="s">
        <v>1655</v>
      </c>
      <c r="I453" s="2" t="s">
        <v>1656</v>
      </c>
      <c r="K453" s="25" t="str">
        <f>IFERROR(__xludf.DUMMYFUNCTION("IF(ISBLANK(A453),
  """",
  IF(ISNUMBER(A453),
    TEXT(A453,""dd/mm/yyyy""),
    IF(
      REGEXMATCH(TRIM(A453),""^\d{1,2}/\d{1,2}/\d{4}$""),
      TRIM(A453),
      IFERROR(
        TEXT(DATEVALUE(SUBSTITUTE(SUBSTITUTE(TRIM(A453),""-"",""/""),""."",""/"&amp;""")),""dd/mm/yyyy""),
        TRIM(A453)
      )
    )
  )
)
"),"25/11/2024")</f>
        <v>25/11/2024</v>
      </c>
      <c r="L453" s="26">
        <v>45621.0</v>
      </c>
      <c r="M453" s="27" t="str">
        <f>IFERROR(__xludf.DUMMYFUNCTION("PROPER(TRIM(
  REGEXREPLACE(
    REGEXREPLACE(
      SUBSTITUTE(SUBSTITUTE(SUBSTITUTE(SUBSTITUTE(SUBSTITUTE(SUBSTITUTE(SUBSTITUTE(SUBSTITUTE(SUBSTITUTE(SUBSTITUTE(SUBSTITUTE(
        B453,""√©"",""é""),""√°"",""á""),""√±"",""ñ""),""√≥"",""ó""),""√â"",""é"&amp;"""),""√Å"",""á""),""√ç"",""í""),""√Ç"",""Í""),""√Â"",""é""),""√≠"",""í""),""√º"",""ú""),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53" s="28" t="str">
        <f>IFERROR(__xludf.DUMMYFUNCTION("SPLIT(
  TRIM(
    SUBSTITUTE(
      SUBSTITUTE(
        SUBSTITUTE(
          SUBSTITUTE(
            C453,
            ""√©"", ""é""
          ),
          ""√±"", ""ñ""
        ),
        ""√°"", ""á""
      ),
      ""√≥"", ""ó""
    )
  ),
  ""-""
)
"),"Auriculares")</f>
        <v>Auriculares</v>
      </c>
      <c r="O453" s="28" t="str">
        <f>IFERROR(__xludf.DUMMYFUNCTION("""COMPUTED_VALUE"""),"Con cable")</f>
        <v>Con cable</v>
      </c>
      <c r="P453" s="28" t="str">
        <f>IFERROR(__xludf.DUMMYFUNCTION("""COMPUTED_VALUE"""),"32GB")</f>
        <v>32GB</v>
      </c>
      <c r="Q453" s="29">
        <f t="shared" si="1"/>
        <v>1155.26</v>
      </c>
      <c r="R453" s="28">
        <f t="shared" si="2"/>
        <v>4</v>
      </c>
      <c r="S453" s="29">
        <f t="shared" si="3"/>
        <v>4621.04</v>
      </c>
      <c r="T453" s="28" t="str">
        <f>IFERROR(__xludf.DUMMYFUNCTION("PROPER(TRIM(
  LET(
    texto1, REGEXREPLACE(G453,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"),"Bruno Hernán Rivero")</f>
        <v>Bruno Hernán Rivero</v>
      </c>
      <c r="U453" s="28" t="str">
        <f t="shared" si="4"/>
        <v>8018872a-4ec4-4b51-8563-8d9d85f09396</v>
      </c>
      <c r="V453" s="30" t="str">
        <f t="shared" si="5"/>
        <v>Auriculares Con cable 32GB</v>
      </c>
    </row>
    <row r="454" ht="15.75" customHeight="1">
      <c r="A454" s="6">
        <v>45624.0</v>
      </c>
      <c r="B454" s="2" t="s">
        <v>101</v>
      </c>
      <c r="C454" s="2" t="s">
        <v>111</v>
      </c>
      <c r="D454" s="7">
        <v>563.92</v>
      </c>
      <c r="E454" s="2">
        <v>2.0</v>
      </c>
      <c r="F454" s="7">
        <v>1127.84</v>
      </c>
      <c r="G454" s="2" t="s">
        <v>1657</v>
      </c>
      <c r="H454" s="2" t="s">
        <v>1658</v>
      </c>
      <c r="I454" s="2" t="s">
        <v>1659</v>
      </c>
      <c r="K454" s="19" t="str">
        <f>IFERROR(__xludf.DUMMYFUNCTION("IF(ISBLANK(A454),
  """",
  IF(ISNUMBER(A454),
    TEXT(A454,""dd/mm/yyyy""),
    IF(
      REGEXMATCH(TRIM(A454),""^\d{1,2}/\d{1,2}/\d{4}$""),
      TRIM(A454),
      IFERROR(
        TEXT(DATEVALUE(SUBSTITUTE(SUBSTITUTE(TRIM(A454),""-"",""/""),""."",""/"&amp;""")),""dd/mm/yyyy""),
        TRIM(A454)
      )
    )
  )
)
"),"28/11/2024")</f>
        <v>28/11/2024</v>
      </c>
      <c r="L454" s="20">
        <v>45624.0</v>
      </c>
      <c r="M454" s="21" t="str">
        <f>IFERROR(__xludf.DUMMYFUNCTION("PROPER(TRIM(
  REGEXREPLACE(
    REGEXREPLACE(
      SUBSTITUTE(SUBSTITUTE(SUBSTITUTE(SUBSTITUTE(SUBSTITUTE(SUBSTITUTE(SUBSTITUTE(SUBSTITUTE(SUBSTITUTE(SUBSTITUTE(SUBSTITUTE(
        B454,""√©"",""é""),""√°"",""á""),""√±"",""ñ""),""√≥"",""ó""),""√â"",""é"&amp;"""),""√Å"",""á""),""√ç"",""í""),""√Ç"",""Í""),""√Â"",""é""),""√≠"",""í""),""√º"",""ú""),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54" s="22" t="str">
        <f>IFERROR(__xludf.DUMMYFUNCTION("SPLIT(
  TRIM(
    SUBSTITUTE(
      SUBSTITUTE(
        SUBSTITUTE(
          SUBSTITUTE(
            C454,
            ""√©"", ""é""
          ),
          ""√±"", ""ñ""
        ),
        ""√°"", ""á""
      ),
      ""√≥"", ""ó""
    )
  ),
  ""-""
)
"),"Tablet")</f>
        <v>Tablet</v>
      </c>
      <c r="O454" s="22" t="str">
        <f>IFERROR(__xludf.DUMMYFUNCTION("""COMPUTED_VALUE"""),"Estándar")</f>
        <v>Estándar</v>
      </c>
      <c r="P454" s="22" t="str">
        <f>IFERROR(__xludf.DUMMYFUNCTION("""COMPUTED_VALUE"""),"16GB")</f>
        <v>16GB</v>
      </c>
      <c r="Q454" s="23">
        <f t="shared" si="1"/>
        <v>563.92</v>
      </c>
      <c r="R454" s="22">
        <f t="shared" si="2"/>
        <v>2</v>
      </c>
      <c r="S454" s="23">
        <f t="shared" si="3"/>
        <v>1127.84</v>
      </c>
      <c r="T454" s="22" t="str">
        <f>IFERROR(__xludf.DUMMYFUNCTION("PROPER(TRIM(
  LET(
    texto1, REGEXREPLACE(G454,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"),"Lucas Barela")</f>
        <v>Lucas Barela</v>
      </c>
      <c r="U454" s="22" t="str">
        <f t="shared" si="4"/>
        <v>f0651ccf-cec5-4eb0-881b-198e786e21cc</v>
      </c>
      <c r="V454" s="24" t="str">
        <f t="shared" si="5"/>
        <v>Tablet Estándar 16GB</v>
      </c>
    </row>
    <row r="455" ht="15.75" customHeight="1">
      <c r="A455" s="6">
        <v>45621.0</v>
      </c>
      <c r="B455" s="2" t="s">
        <v>50</v>
      </c>
      <c r="C455" s="2" t="s">
        <v>75</v>
      </c>
      <c r="D455" s="7">
        <v>1022.39</v>
      </c>
      <c r="E455" s="2">
        <v>2.0</v>
      </c>
      <c r="F455" s="7">
        <v>2044.78</v>
      </c>
      <c r="G455" s="2" t="s">
        <v>1660</v>
      </c>
      <c r="H455" s="2" t="s">
        <v>1661</v>
      </c>
      <c r="I455" s="2" t="s">
        <v>1662</v>
      </c>
      <c r="K455" s="25" t="str">
        <f>IFERROR(__xludf.DUMMYFUNCTION("IF(ISBLANK(A455),
  """",
  IF(ISNUMBER(A455),
    TEXT(A455,""dd/mm/yyyy""),
    IF(
      REGEXMATCH(TRIM(A455),""^\d{1,2}/\d{1,2}/\d{4}$""),
      TRIM(A455),
      IFERROR(
        TEXT(DATEVALUE(SUBSTITUTE(SUBSTITUTE(TRIM(A455),""-"",""/""),""."",""/"&amp;""")),""dd/mm/yyyy""),
        TRIM(A455)
      )
    )
  )
)
"),"25/11/2024")</f>
        <v>25/11/2024</v>
      </c>
      <c r="L455" s="26">
        <v>45621.0</v>
      </c>
      <c r="M455" s="27" t="str">
        <f>IFERROR(__xludf.DUMMYFUNCTION("PROPER(TRIM(
  REGEXREPLACE(
    REGEXREPLACE(
      SUBSTITUTE(SUBSTITUTE(SUBSTITUTE(SUBSTITUTE(SUBSTITUTE(SUBSTITUTE(SUBSTITUTE(SUBSTITUTE(SUBSTITUTE(SUBSTITUTE(SUBSTITUTE(
        B455,""√©"",""é""),""√°"",""á""),""√±"",""ñ""),""√≥"",""ó""),""√â"",""é"&amp;"""),""√Å"",""á""),""√ç"",""í""),""√Ç"",""Í""),""√Â"",""é""),""√≠"",""í""),""√º"",""ú""),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55" s="28" t="str">
        <f>IFERROR(__xludf.DUMMYFUNCTION("SPLIT(
  TRIM(
    SUBSTITUTE(
      SUBSTITUTE(
        SUBSTITUTE(
          SUBSTITUTE(
            C455,
            ""√©"", ""é""
          ),
          ""√±"", ""ñ""
        ),
        ""√°"", ""á""
      ),
      ""√≥"", ""ó""
    )
  ),
  ""-""
)
"),"Tablet")</f>
        <v>Tablet</v>
      </c>
      <c r="O455" s="28" t="str">
        <f>IFERROR(__xludf.DUMMYFUNCTION("""COMPUTED_VALUE"""),"Pro")</f>
        <v>Pro</v>
      </c>
      <c r="P455" s="28" t="str">
        <f>IFERROR(__xludf.DUMMYFUNCTION("""COMPUTED_VALUE"""),"4GB")</f>
        <v>4GB</v>
      </c>
      <c r="Q455" s="29">
        <f t="shared" si="1"/>
        <v>1022.39</v>
      </c>
      <c r="R455" s="28">
        <f t="shared" si="2"/>
        <v>2</v>
      </c>
      <c r="S455" s="29">
        <f t="shared" si="3"/>
        <v>2044.78</v>
      </c>
      <c r="T455" s="28" t="str">
        <f>IFERROR(__xludf.DUMMYFUNCTION("PROPER(TRIM(
  LET(
    texto1, REGEXREPLACE(G455,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"),"Sessa Blanco")</f>
        <v>Sessa Blanco</v>
      </c>
      <c r="U455" s="28" t="str">
        <f t="shared" si="4"/>
        <v>b5b62540-d5f3-4cd3-bdd3-48312389c2db</v>
      </c>
      <c r="V455" s="30" t="str">
        <f t="shared" si="5"/>
        <v>Tablet Pro 4GB</v>
      </c>
    </row>
    <row r="456" ht="15.75" customHeight="1">
      <c r="A456" s="36">
        <v>45303.0</v>
      </c>
      <c r="B456" s="2" t="s">
        <v>38</v>
      </c>
      <c r="C456" s="2" t="s">
        <v>452</v>
      </c>
      <c r="D456" s="7">
        <v>1527.87</v>
      </c>
      <c r="E456" s="2">
        <v>2.0</v>
      </c>
      <c r="F456" s="7">
        <v>3055.74</v>
      </c>
      <c r="G456" s="2" t="s">
        <v>1664</v>
      </c>
      <c r="H456" s="2" t="s">
        <v>1665</v>
      </c>
      <c r="I456" s="2" t="s">
        <v>1666</v>
      </c>
      <c r="K456" s="19" t="str">
        <f>IFERROR(__xludf.DUMMYFUNCTION("IF(ISBLANK(A456),
  """",
  IF(ISNUMBER(A456),
    TEXT(A456,""dd/mm/yyyy""),
    IF(
      REGEXMATCH(TRIM(A456),""^\d{1,2}/\d{1,2}/\d{4}$""),
      TRIM(A456),
      IFERROR(
        TEXT(DATEVALUE(SUBSTITUTE(SUBSTITUTE(TRIM(A456),""-"",""/""),""."",""/"&amp;""")),""dd/mm/yyyy""),
        TRIM(A456)
      )
    )
  )
)
"),"12/01/2024")</f>
        <v>12/01/2024</v>
      </c>
      <c r="L456" s="20">
        <v>45303.0</v>
      </c>
      <c r="M456" s="21" t="str">
        <f>IFERROR(__xludf.DUMMYFUNCTION("PROPER(TRIM(
  REGEXREPLACE(
    REGEXREPLACE(
      SUBSTITUTE(SUBSTITUTE(SUBSTITUTE(SUBSTITUTE(SUBSTITUTE(SUBSTITUTE(SUBSTITUTE(SUBSTITUTE(SUBSTITUTE(SUBSTITUTE(SUBSTITUTE(
        B456,""√©"",""é""),""√°"",""á""),""√±"",""ñ""),""√≥"",""ó""),""√â"",""é"&amp;"""),""√Å"",""á""),""√ç"",""í""),""√Ç"",""Í""),""√Â"",""é""),""√≠"",""í""),""√º"",""ú""),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56" s="22" t="str">
        <f>IFERROR(__xludf.DUMMYFUNCTION("SPLIT(
  TRIM(
    SUBSTITUTE(
      SUBSTITUTE(
        SUBSTITUTE(
          SUBSTITUTE(
            C456,
            ""√©"", ""é""
          ),
          ""√±"", ""ñ""
        ),
        ""√°"", ""á""
      ),
      ""√≥"", ""ó""
    )
  ),
  ""-""
)
"),"Teléfono")</f>
        <v>Teléfono</v>
      </c>
      <c r="O456" s="22" t="str">
        <f>IFERROR(__xludf.DUMMYFUNCTION("""COMPUTED_VALUE"""),"Gama media")</f>
        <v>Gama media</v>
      </c>
      <c r="P456" s="22" t="str">
        <f>IFERROR(__xludf.DUMMYFUNCTION("""COMPUTED_VALUE"""),"16GB")</f>
        <v>16GB</v>
      </c>
      <c r="Q456" s="23">
        <f t="shared" si="1"/>
        <v>1527.87</v>
      </c>
      <c r="R456" s="22">
        <f t="shared" si="2"/>
        <v>2</v>
      </c>
      <c r="S456" s="23">
        <f t="shared" si="3"/>
        <v>3055.74</v>
      </c>
      <c r="T456" s="22" t="str">
        <f>IFERROR(__xludf.DUMMYFUNCTION("PROPER(TRIM(
  LET(
    texto1, REGEXREPLACE(G456,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"),"Guillermo Merino")</f>
        <v>Guillermo Merino</v>
      </c>
      <c r="U456" s="22" t="str">
        <f t="shared" si="4"/>
        <v>55c662be-f3d2-40c4-ba87-75f3a5b76faf</v>
      </c>
      <c r="V456" s="24" t="str">
        <f t="shared" si="5"/>
        <v>Teléfono Gama media 16GB</v>
      </c>
    </row>
    <row r="457" ht="15.75" customHeight="1">
      <c r="A457" s="6">
        <v>45623.0</v>
      </c>
      <c r="B457" s="2" t="s">
        <v>50</v>
      </c>
      <c r="C457" s="2" t="s">
        <v>176</v>
      </c>
      <c r="D457" s="7">
        <v>1804.11</v>
      </c>
      <c r="E457" s="2">
        <v>4.0</v>
      </c>
      <c r="F457" s="7">
        <v>7216.44</v>
      </c>
      <c r="G457" s="2" t="s">
        <v>1667</v>
      </c>
      <c r="H457" s="2" t="s">
        <v>1668</v>
      </c>
      <c r="I457" s="2" t="s">
        <v>1669</v>
      </c>
      <c r="K457" s="25" t="str">
        <f>IFERROR(__xludf.DUMMYFUNCTION("IF(ISBLANK(A457),
  """",
  IF(ISNUMBER(A457),
    TEXT(A457,""dd/mm/yyyy""),
    IF(
      REGEXMATCH(TRIM(A457),""^\d{1,2}/\d{1,2}/\d{4}$""),
      TRIM(A457),
      IFERROR(
        TEXT(DATEVALUE(SUBSTITUTE(SUBSTITUTE(TRIM(A457),""-"",""/""),""."",""/"&amp;""")),""dd/mm/yyyy""),
        TRIM(A457)
      )
    )
  )
)
"),"27/11/2024")</f>
        <v>27/11/2024</v>
      </c>
      <c r="L457" s="26">
        <v>45623.0</v>
      </c>
      <c r="M457" s="27" t="str">
        <f>IFERROR(__xludf.DUMMYFUNCTION("PROPER(TRIM(
  REGEXREPLACE(
    REGEXREPLACE(
      SUBSTITUTE(SUBSTITUTE(SUBSTITUTE(SUBSTITUTE(SUBSTITUTE(SUBSTITUTE(SUBSTITUTE(SUBSTITUTE(SUBSTITUTE(SUBSTITUTE(SUBSTITUTE(
        B457,""√©"",""é""),""√°"",""á""),""√±"",""ñ""),""√≥"",""ó""),""√â"",""é"&amp;"""),""√Å"",""á""),""√ç"",""í""),""√Ç"",""Í""),""√Â"",""é""),""√≠"",""í""),""√º"",""ú""),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57" s="28" t="str">
        <f>IFERROR(__xludf.DUMMYFUNCTION("SPLIT(
  TRIM(
    SUBSTITUTE(
      SUBSTITUTE(
        SUBSTITUTE(
          SUBSTITUTE(
            C457,
            ""√©"", ""é""
          ),
          ""√±"", ""ñ""
        ),
        ""√°"", ""á""
      ),
      ""√≥"", ""ó""
    )
  ),
  ""-""
)
"),"Auriculares")</f>
        <v>Auriculares</v>
      </c>
      <c r="O457" s="28" t="str">
        <f>IFERROR(__xludf.DUMMYFUNCTION("""COMPUTED_VALUE"""),"Con cable")</f>
        <v>Con cable</v>
      </c>
      <c r="P457" s="28" t="str">
        <f>IFERROR(__xludf.DUMMYFUNCTION("""COMPUTED_VALUE"""),"8GB")</f>
        <v>8GB</v>
      </c>
      <c r="Q457" s="29">
        <f t="shared" si="1"/>
        <v>1804.11</v>
      </c>
      <c r="R457" s="28">
        <f t="shared" si="2"/>
        <v>4</v>
      </c>
      <c r="S457" s="29">
        <f t="shared" si="3"/>
        <v>7216.44</v>
      </c>
      <c r="T457" s="28" t="str">
        <f>IFERROR(__xludf.DUMMYFUNCTION("PROPER(TRIM(
  LET(
    texto1, REGEXREPLACE(G457,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"),"Omar Nelly Gamboa")</f>
        <v>Omar Nelly Gamboa</v>
      </c>
      <c r="U457" s="28" t="str">
        <f t="shared" si="4"/>
        <v>acec8856-d263-466f-b05c-84bd5b847fc1</v>
      </c>
      <c r="V457" s="30" t="str">
        <f t="shared" si="5"/>
        <v>Auriculares Con cable 8GB</v>
      </c>
    </row>
    <row r="458" ht="15.75" customHeight="1">
      <c r="A458" s="36">
        <v>45334.0</v>
      </c>
      <c r="B458" s="2" t="s">
        <v>27</v>
      </c>
      <c r="C458" s="2" t="s">
        <v>80</v>
      </c>
      <c r="D458" s="7">
        <v>70.91</v>
      </c>
      <c r="E458" s="2">
        <v>3.0</v>
      </c>
      <c r="F458" s="7">
        <v>212.73</v>
      </c>
      <c r="G458" s="2" t="s">
        <v>1670</v>
      </c>
      <c r="H458" s="2" t="s">
        <v>1671</v>
      </c>
      <c r="I458" s="2" t="s">
        <v>1672</v>
      </c>
      <c r="K458" s="19" t="str">
        <f>IFERROR(__xludf.DUMMYFUNCTION("IF(ISBLANK(A458),
  """",
  IF(ISNUMBER(A458),
    TEXT(A458,""dd/mm/yyyy""),
    IF(
      REGEXMATCH(TRIM(A458),""^\d{1,2}/\d{1,2}/\d{4}$""),
      TRIM(A458),
      IFERROR(
        TEXT(DATEVALUE(SUBSTITUTE(SUBSTITUTE(TRIM(A458),""-"",""/""),""."",""/"&amp;""")),""dd/mm/yyyy""),
        TRIM(A458)
      )
    )
  )
)
"),"12/02/2024")</f>
        <v>12/02/2024</v>
      </c>
      <c r="L458" s="20">
        <v>45334.0</v>
      </c>
      <c r="M458" s="21" t="str">
        <f>IFERROR(__xludf.DUMMYFUNCTION("PROPER(TRIM(
  REGEXREPLACE(
    REGEXREPLACE(
      SUBSTITUTE(SUBSTITUTE(SUBSTITUTE(SUBSTITUTE(SUBSTITUTE(SUBSTITUTE(SUBSTITUTE(SUBSTITUTE(SUBSTITUTE(SUBSTITUTE(SUBSTITUTE(
        B458,""√©"",""é""),""√°"",""á""),""√±"",""ñ""),""√≥"",""ó""),""√â"",""é"&amp;"""),""√Å"",""á""),""√ç"",""í""),""√Ç"",""Í""),""√Â"",""é""),""√≠"",""í""),""√º"",""ú""),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58" s="22" t="str">
        <f>IFERROR(__xludf.DUMMYFUNCTION("SPLIT(
  TRIM(
    SUBSTITUTE(
      SUBSTITUTE(
        SUBSTITUTE(
          SUBSTITUTE(
            C458,
            ""√©"", ""é""
          ),
          ""√±"", ""ñ""
        ),
        ""√°"", ""á""
      ),
      ""√≥"", ""ó""
    )
  ),
  ""-""
)
"),"Teléfono")</f>
        <v>Teléfono</v>
      </c>
      <c r="O458" s="22" t="str">
        <f>IFERROR(__xludf.DUMMYFUNCTION("""COMPUTED_VALUE"""),"Gama baja")</f>
        <v>Gama baja</v>
      </c>
      <c r="P458" s="22" t="str">
        <f>IFERROR(__xludf.DUMMYFUNCTION("""COMPUTED_VALUE"""),"16GB")</f>
        <v>16GB</v>
      </c>
      <c r="Q458" s="23">
        <f t="shared" si="1"/>
        <v>70.91</v>
      </c>
      <c r="R458" s="22">
        <f t="shared" si="2"/>
        <v>3</v>
      </c>
      <c r="S458" s="23">
        <f t="shared" si="3"/>
        <v>212.73</v>
      </c>
      <c r="T458" s="22" t="str">
        <f>IFERROR(__xludf.DUMMYFUNCTION("PROPER(TRIM(
  LET(
    texto1, REGEXREPLACE(G458,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"),"Norma Ávila")</f>
        <v>Norma Ávila</v>
      </c>
      <c r="U458" s="22" t="str">
        <f t="shared" si="4"/>
        <v>fbdb0e9b-584d-4085-8bf9-8d372b99ebfb</v>
      </c>
      <c r="V458" s="24" t="str">
        <f t="shared" si="5"/>
        <v>Teléfono Gama baja 16GB</v>
      </c>
    </row>
    <row r="459" ht="15.75" customHeight="1">
      <c r="A459" s="6">
        <v>45620.0</v>
      </c>
      <c r="B459" s="2" t="s">
        <v>50</v>
      </c>
      <c r="C459" s="2" t="s">
        <v>181</v>
      </c>
      <c r="D459" s="7">
        <v>1768.85</v>
      </c>
      <c r="E459" s="2">
        <v>5.0</v>
      </c>
      <c r="F459" s="7">
        <v>8844.25</v>
      </c>
      <c r="G459" s="2" t="s">
        <v>1673</v>
      </c>
      <c r="H459" s="2" t="s">
        <v>1674</v>
      </c>
      <c r="I459" s="2" t="s">
        <v>1675</v>
      </c>
      <c r="K459" s="25" t="str">
        <f>IFERROR(__xludf.DUMMYFUNCTION("IF(ISBLANK(A459),
  """",
  IF(ISNUMBER(A459),
    TEXT(A459,""dd/mm/yyyy""),
    IF(
      REGEXMATCH(TRIM(A459),""^\d{1,2}/\d{1,2}/\d{4}$""),
      TRIM(A459),
      IFERROR(
        TEXT(DATEVALUE(SUBSTITUTE(SUBSTITUTE(TRIM(A459),""-"",""/""),""."",""/"&amp;""")),""dd/mm/yyyy""),
        TRIM(A459)
      )
    )
  )
)
"),"24/11/2024")</f>
        <v>24/11/2024</v>
      </c>
      <c r="L459" s="26">
        <v>45620.0</v>
      </c>
      <c r="M459" s="27" t="str">
        <f>IFERROR(__xludf.DUMMYFUNCTION("PROPER(TRIM(
  REGEXREPLACE(
    REGEXREPLACE(
      SUBSTITUTE(SUBSTITUTE(SUBSTITUTE(SUBSTITUTE(SUBSTITUTE(SUBSTITUTE(SUBSTITUTE(SUBSTITUTE(SUBSTITUTE(SUBSTITUTE(SUBSTITUTE(
        B459,""√©"",""é""),""√°"",""á""),""√±"",""ñ""),""√≥"",""ó""),""√â"",""é"&amp;"""),""√Å"",""á""),""√ç"",""í""),""√Ç"",""Í""),""√Â"",""é""),""√≠"",""í""),""√º"",""ú""),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59" s="28" t="str">
        <f>IFERROR(__xludf.DUMMYFUNCTION("SPLIT(
  TRIM(
    SUBSTITUTE(
      SUBSTITUTE(
        SUBSTITUTE(
          SUBSTITUTE(
            C459,
            ""√©"", ""é""
          ),
          ""√±"", ""ñ""
        ),
        ""√°"", ""á""
      ),
      ""√≥"", ""ó""
    )
  ),
  ""-""
)
"),"Laptop")</f>
        <v>Laptop</v>
      </c>
      <c r="O459" s="28" t="str">
        <f>IFERROR(__xludf.DUMMYFUNCTION("""COMPUTED_VALUE"""),"Ultraliviana")</f>
        <v>Ultraliviana</v>
      </c>
      <c r="P459" s="28" t="str">
        <f>IFERROR(__xludf.DUMMYFUNCTION("""COMPUTED_VALUE"""),"4GB")</f>
        <v>4GB</v>
      </c>
      <c r="Q459" s="29">
        <f t="shared" si="1"/>
        <v>1768.85</v>
      </c>
      <c r="R459" s="28">
        <f t="shared" si="2"/>
        <v>5</v>
      </c>
      <c r="S459" s="29">
        <f t="shared" si="3"/>
        <v>8844.25</v>
      </c>
      <c r="T459" s="28" t="str">
        <f>IFERROR(__xludf.DUMMYFUNCTION("PROPER(TRIM(
  LET(
    texto1, REGEXREPLACE(G459,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"),"Barbara Urrutia Palacios")</f>
        <v>Barbara Urrutia Palacios</v>
      </c>
      <c r="U459" s="28" t="str">
        <f t="shared" si="4"/>
        <v>b138908b-b0cd-458c-9da0-707f94b0ffcd</v>
      </c>
      <c r="V459" s="30" t="str">
        <f t="shared" si="5"/>
        <v>Laptop Ultraliviana 4GB</v>
      </c>
    </row>
    <row r="460" ht="15.75" customHeight="1">
      <c r="A460" s="6">
        <v>45610.0</v>
      </c>
      <c r="B460" s="2" t="s">
        <v>85</v>
      </c>
      <c r="C460" s="2" t="s">
        <v>1676</v>
      </c>
      <c r="D460" s="7">
        <v>446.49</v>
      </c>
      <c r="E460" s="2">
        <v>3.0</v>
      </c>
      <c r="F460" s="7">
        <v>1339.47</v>
      </c>
      <c r="G460" s="2" t="s">
        <v>1677</v>
      </c>
      <c r="H460" s="2" t="s">
        <v>1678</v>
      </c>
      <c r="I460" s="2" t="s">
        <v>1679</v>
      </c>
      <c r="K460" s="19" t="str">
        <f>IFERROR(__xludf.DUMMYFUNCTION("IF(ISBLANK(A460),
  """",
  IF(ISNUMBER(A460),
    TEXT(A460,""dd/mm/yyyy""),
    IF(
      REGEXMATCH(TRIM(A460),""^\d{1,2}/\d{1,2}/\d{4}$""),
      TRIM(A460),
      IFERROR(
        TEXT(DATEVALUE(SUBSTITUTE(SUBSTITUTE(TRIM(A460),""-"",""/""),""."",""/"&amp;""")),""dd/mm/yyyy""),
        TRIM(A460)
      )
    )
  )
)
"),"14/11/2024")</f>
        <v>14/11/2024</v>
      </c>
      <c r="L460" s="20">
        <v>45610.0</v>
      </c>
      <c r="M460" s="21" t="str">
        <f>IFERROR(__xludf.DUMMYFUNCTION("PROPER(TRIM(
  REGEXREPLACE(
    REGEXREPLACE(
      SUBSTITUTE(SUBSTITUTE(SUBSTITUTE(SUBSTITUTE(SUBSTITUTE(SUBSTITUTE(SUBSTITUTE(SUBSTITUTE(SUBSTITUTE(SUBSTITUTE(SUBSTITUTE(
        B460,""√©"",""é""),""√°"",""á""),""√±"",""ñ""),""√≥"",""ó""),""√â"",""é"&amp;"""),""√Å"",""á""),""√ç"",""í""),""√Ç"",""Í""),""√Â"",""é""),""√≠"",""í""),""√º"",""ú""),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60" s="22" t="str">
        <f>IFERROR(__xludf.DUMMYFUNCTION("SPLIT(
  TRIM(
    SUBSTITUTE(
      SUBSTITUTE(
        SUBSTITUTE(
          SUBSTITUTE(
            C460,
            ""√©"", ""é""
          ),
          ""√±"", ""ñ""
        ),
        ""√°"", ""á""
      ),
      ""√≥"", ""ó""
    )
  ),
  ""-""
)
"),"Laptop")</f>
        <v>Laptop</v>
      </c>
      <c r="O460" s="22" t="str">
        <f>IFERROR(__xludf.DUMMYFUNCTION("""COMPUTED_VALUE"""),"Gaming")</f>
        <v>Gaming</v>
      </c>
      <c r="P460" s="22" t="str">
        <f>IFERROR(__xludf.DUMMYFUNCTION("""COMPUTED_VALUE"""),"32GB")</f>
        <v>32GB</v>
      </c>
      <c r="Q460" s="23">
        <f t="shared" si="1"/>
        <v>446.49</v>
      </c>
      <c r="R460" s="22">
        <f t="shared" si="2"/>
        <v>3</v>
      </c>
      <c r="S460" s="23">
        <f t="shared" si="3"/>
        <v>1339.47</v>
      </c>
      <c r="T460" s="22" t="str">
        <f>IFERROR(__xludf.DUMMYFUNCTION("PROPER(TRIM(
  LET(
    texto1, REGEXREPLACE(G460,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"),"Esperanza Pablo Villa Segovia")</f>
        <v>Esperanza Pablo Villa Segovia</v>
      </c>
      <c r="U460" s="22" t="str">
        <f t="shared" si="4"/>
        <v>8cbd3d88-e898-4121-92bf-4315def5c26b</v>
      </c>
      <c r="V460" s="24" t="str">
        <f t="shared" si="5"/>
        <v>Laptop Gaming 32GB</v>
      </c>
    </row>
    <row r="461" ht="15.75" customHeight="1">
      <c r="A461" s="6">
        <v>45612.0</v>
      </c>
      <c r="B461" s="2" t="s">
        <v>101</v>
      </c>
      <c r="C461" s="2" t="s">
        <v>250</v>
      </c>
      <c r="D461" s="7">
        <v>416.81</v>
      </c>
      <c r="E461" s="2">
        <v>2.0</v>
      </c>
      <c r="F461" s="7">
        <v>833.62</v>
      </c>
      <c r="G461" s="2" t="s">
        <v>1680</v>
      </c>
      <c r="H461" s="2" t="s">
        <v>1681</v>
      </c>
      <c r="I461" s="2" t="s">
        <v>1682</v>
      </c>
      <c r="K461" s="25" t="str">
        <f>IFERROR(__xludf.DUMMYFUNCTION("IF(ISBLANK(A461),
  """",
  IF(ISNUMBER(A461),
    TEXT(A461,""dd/mm/yyyy""),
    IF(
      REGEXMATCH(TRIM(A461),""^\d{1,2}/\d{1,2}/\d{4}$""),
      TRIM(A461),
      IFERROR(
        TEXT(DATEVALUE(SUBSTITUTE(SUBSTITUTE(TRIM(A461),""-"",""/""),""."",""/"&amp;""")),""dd/mm/yyyy""),
        TRIM(A461)
      )
    )
  )
)
"),"16/11/2024")</f>
        <v>16/11/2024</v>
      </c>
      <c r="L461" s="26">
        <v>45612.0</v>
      </c>
      <c r="M461" s="27" t="str">
        <f>IFERROR(__xludf.DUMMYFUNCTION("PROPER(TRIM(
  REGEXREPLACE(
    REGEXREPLACE(
      SUBSTITUTE(SUBSTITUTE(SUBSTITUTE(SUBSTITUTE(SUBSTITUTE(SUBSTITUTE(SUBSTITUTE(SUBSTITUTE(SUBSTITUTE(SUBSTITUTE(SUBSTITUTE(
        B461,""√©"",""é""),""√°"",""á""),""√±"",""ñ""),""√≥"",""ó""),""√â"",""é"&amp;"""),""√Å"",""á""),""√ç"",""í""),""√Ç"",""Í""),""√Â"",""é""),""√≠"",""í""),""√º"",""ú""),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61" s="28" t="str">
        <f>IFERROR(__xludf.DUMMYFUNCTION("SPLIT(
  TRIM(
    SUBSTITUTE(
      SUBSTITUTE(
        SUBSTITUTE(
          SUBSTITUTE(
            C461,
            ""√©"", ""é""
          ),
          ""√±"", ""ñ""
        ),
        ""√°"", ""á""
      ),
      ""√≥"", ""ó""
    )
  ),
  ""-""
)
"),"Laptop")</f>
        <v>Laptop</v>
      </c>
      <c r="O461" s="28" t="str">
        <f>IFERROR(__xludf.DUMMYFUNCTION("""COMPUTED_VALUE"""),"Oficina")</f>
        <v>Oficina</v>
      </c>
      <c r="P461" s="28" t="str">
        <f>IFERROR(__xludf.DUMMYFUNCTION("""COMPUTED_VALUE"""),"32GB")</f>
        <v>32GB</v>
      </c>
      <c r="Q461" s="29">
        <f t="shared" si="1"/>
        <v>416.81</v>
      </c>
      <c r="R461" s="28">
        <f t="shared" si="2"/>
        <v>2</v>
      </c>
      <c r="S461" s="29">
        <f t="shared" si="3"/>
        <v>833.62</v>
      </c>
      <c r="T461" s="28" t="str">
        <f>IFERROR(__xludf.DUMMYFUNCTION("PROPER(TRIM(
  LET(
    texto1, REGEXREPLACE(G461,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"),"Zacarías Padrón")</f>
        <v>Zacarías Padrón</v>
      </c>
      <c r="U461" s="28" t="str">
        <f t="shared" si="4"/>
        <v>4d35d453-5b30-4e58-a33c-a870dde7a68f</v>
      </c>
      <c r="V461" s="30" t="str">
        <f t="shared" si="5"/>
        <v>Laptop Oficina 32GB</v>
      </c>
    </row>
    <row r="462" ht="15.75" customHeight="1">
      <c r="A462" s="6">
        <v>45592.0</v>
      </c>
      <c r="B462" s="2" t="s">
        <v>50</v>
      </c>
      <c r="C462" s="2" t="s">
        <v>807</v>
      </c>
      <c r="D462" s="7">
        <v>1437.75</v>
      </c>
      <c r="E462" s="2">
        <v>5.0</v>
      </c>
      <c r="F462" s="7">
        <v>7188.75</v>
      </c>
      <c r="G462" s="2" t="s">
        <v>1684</v>
      </c>
      <c r="H462" s="2" t="s">
        <v>1685</v>
      </c>
      <c r="I462" s="2" t="s">
        <v>1686</v>
      </c>
      <c r="K462" s="19" t="str">
        <f>IFERROR(__xludf.DUMMYFUNCTION("IF(ISBLANK(A462),
  """",
  IF(ISNUMBER(A462),
    TEXT(A462,""dd/mm/yyyy""),
    IF(
      REGEXMATCH(TRIM(A462),""^\d{1,2}/\d{1,2}/\d{4}$""),
      TRIM(A462),
      IFERROR(
        TEXT(DATEVALUE(SUBSTITUTE(SUBSTITUTE(TRIM(A462),""-"",""/""),""."",""/"&amp;""")),""dd/mm/yyyy""),
        TRIM(A462)
      )
    )
  )
)
"),"27/10/2024")</f>
        <v>27/10/2024</v>
      </c>
      <c r="L462" s="20">
        <v>45592.0</v>
      </c>
      <c r="M462" s="21" t="str">
        <f>IFERROR(__xludf.DUMMYFUNCTION("PROPER(TRIM(
  REGEXREPLACE(
    REGEXREPLACE(
      SUBSTITUTE(SUBSTITUTE(SUBSTITUTE(SUBSTITUTE(SUBSTITUTE(SUBSTITUTE(SUBSTITUTE(SUBSTITUTE(SUBSTITUTE(SUBSTITUTE(SUBSTITUTE(
        B462,""√©"",""é""),""√°"",""á""),""√±"",""ñ""),""√≥"",""ó""),""√â"",""é"&amp;"""),""√Å"",""á""),""√ç"",""í""),""√Ç"",""Í""),""√Â"",""é""),""√≠"",""í""),""√º"",""ú""),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62" s="22" t="str">
        <f>IFERROR(__xludf.DUMMYFUNCTION("SPLIT(
  TRIM(
    SUBSTITUTE(
      SUBSTITUTE(
        SUBSTITUTE(
          SUBSTITUTE(
            C462,
            ""√©"", ""é""
          ),
          ""√±"", ""ñ""
        ),
        ""√°"", ""á""
      ),
      ""√≥"", ""ó""
    )
  ),
  ""-""
)
"),"Auriculares")</f>
        <v>Auriculares</v>
      </c>
      <c r="O462" s="22" t="str">
        <f>IFERROR(__xludf.DUMMYFUNCTION("""COMPUTED_VALUE"""),"Con cable")</f>
        <v>Con cable</v>
      </c>
      <c r="P462" s="22" t="str">
        <f>IFERROR(__xludf.DUMMYFUNCTION("""COMPUTED_VALUE"""),"4GB")</f>
        <v>4GB</v>
      </c>
      <c r="Q462" s="23">
        <f t="shared" si="1"/>
        <v>1437.75</v>
      </c>
      <c r="R462" s="22">
        <f t="shared" si="2"/>
        <v>5</v>
      </c>
      <c r="S462" s="23">
        <f t="shared" si="3"/>
        <v>7188.75</v>
      </c>
      <c r="T462" s="22" t="str">
        <f>IFERROR(__xludf.DUMMYFUNCTION("PROPER(TRIM(
  LET(
    texto1, REGEXREPLACE(G462,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"),"Victoria Gurule")</f>
        <v>Victoria Gurule</v>
      </c>
      <c r="U462" s="22" t="str">
        <f t="shared" si="4"/>
        <v>26d71239-8773-4f98-a147-880cc7ae84cb</v>
      </c>
      <c r="V462" s="24" t="str">
        <f t="shared" si="5"/>
        <v>Auriculares Con cable 4GB</v>
      </c>
    </row>
    <row r="463" ht="15.75" customHeight="1">
      <c r="A463" s="36">
        <v>45302.0</v>
      </c>
      <c r="B463" s="2" t="s">
        <v>85</v>
      </c>
      <c r="C463" s="2" t="s">
        <v>360</v>
      </c>
      <c r="D463" s="7">
        <v>2078.48</v>
      </c>
      <c r="E463" s="2">
        <v>3.0</v>
      </c>
      <c r="F463" s="7">
        <v>6235.44</v>
      </c>
      <c r="G463" s="2" t="s">
        <v>1687</v>
      </c>
      <c r="H463" s="2" t="s">
        <v>1688</v>
      </c>
      <c r="I463" s="2" t="s">
        <v>1689</v>
      </c>
      <c r="K463" s="25" t="str">
        <f>IFERROR(__xludf.DUMMYFUNCTION("IF(ISBLANK(A463),
  """",
  IF(ISNUMBER(A463),
    TEXT(A463,""dd/mm/yyyy""),
    IF(
      REGEXMATCH(TRIM(A463),""^\d{1,2}/\d{1,2}/\d{4}$""),
      TRIM(A463),
      IFERROR(
        TEXT(DATEVALUE(SUBSTITUTE(SUBSTITUTE(TRIM(A463),""-"",""/""),""."",""/"&amp;""")),""dd/mm/yyyy""),
        TRIM(A463)
      )
    )
  )
)
"),"11/01/2024")</f>
        <v>11/01/2024</v>
      </c>
      <c r="L463" s="26">
        <v>45302.0</v>
      </c>
      <c r="M463" s="27" t="str">
        <f>IFERROR(__xludf.DUMMYFUNCTION("PROPER(TRIM(
  REGEXREPLACE(
    REGEXREPLACE(
      SUBSTITUTE(SUBSTITUTE(SUBSTITUTE(SUBSTITUTE(SUBSTITUTE(SUBSTITUTE(SUBSTITUTE(SUBSTITUTE(SUBSTITUTE(SUBSTITUTE(SUBSTITUTE(
        B463,""√©"",""é""),""√°"",""á""),""√±"",""ñ""),""√≥"",""ó""),""√â"",""é"&amp;"""),""√Å"",""á""),""√ç"",""í""),""√Ç"",""Í""),""√Â"",""é""),""√≠"",""í""),""√º"",""ú""),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63" s="28" t="str">
        <f>IFERROR(__xludf.DUMMYFUNCTION("SPLIT(
  TRIM(
    SUBSTITUTE(
      SUBSTITUTE(
        SUBSTITUTE(
          SUBSTITUTE(
            C463,
            ""√©"", ""é""
          ),
          ""√±"", ""ñ""
        ),
        ""√°"", ""á""
      ),
      ""√≥"", ""ó""
    )
  ),
  ""-""
)
"),"Tablet")</f>
        <v>Tablet</v>
      </c>
      <c r="O463" s="28" t="str">
        <f>IFERROR(__xludf.DUMMYFUNCTION("""COMPUTED_VALUE"""),"Estándar")</f>
        <v>Estándar</v>
      </c>
      <c r="P463" s="28" t="str">
        <f>IFERROR(__xludf.DUMMYFUNCTION("""COMPUTED_VALUE"""),"8GB")</f>
        <v>8GB</v>
      </c>
      <c r="Q463" s="29">
        <f t="shared" si="1"/>
        <v>2078.48</v>
      </c>
      <c r="R463" s="28">
        <f t="shared" si="2"/>
        <v>3</v>
      </c>
      <c r="S463" s="29">
        <f t="shared" si="3"/>
        <v>6235.44</v>
      </c>
      <c r="T463" s="28" t="str">
        <f>IFERROR(__xludf.DUMMYFUNCTION("PROPER(TRIM(
  LET(
    texto1, REGEXREPLACE(G463,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Luisa Roberto Holguín Zelaya")</f>
        <v>María Luisa Roberto Holguín Zelaya</v>
      </c>
      <c r="U463" s="28" t="str">
        <f t="shared" si="4"/>
        <v>3ce15a6c-2825-434c-ad46-cd79f4bc2381</v>
      </c>
      <c r="V463" s="30" t="str">
        <f t="shared" si="5"/>
        <v>Tablet Estándar 8GB</v>
      </c>
    </row>
    <row r="464" ht="15.75" customHeight="1">
      <c r="A464" s="6">
        <v>45615.0</v>
      </c>
      <c r="B464" s="2" t="s">
        <v>27</v>
      </c>
      <c r="C464" s="2" t="s">
        <v>181</v>
      </c>
      <c r="D464" s="7">
        <v>1292.9</v>
      </c>
      <c r="E464" s="2">
        <v>2.0</v>
      </c>
      <c r="F464" s="7">
        <v>2585.8</v>
      </c>
      <c r="G464" s="2" t="s">
        <v>1690</v>
      </c>
      <c r="H464" s="2" t="s">
        <v>1691</v>
      </c>
      <c r="I464" s="2" t="s">
        <v>1692</v>
      </c>
      <c r="K464" s="19" t="str">
        <f>IFERROR(__xludf.DUMMYFUNCTION("IF(ISBLANK(A464),
  """",
  IF(ISNUMBER(A464),
    TEXT(A464,""dd/mm/yyyy""),
    IF(
      REGEXMATCH(TRIM(A464),""^\d{1,2}/\d{1,2}/\d{4}$""),
      TRIM(A464),
      IFERROR(
        TEXT(DATEVALUE(SUBSTITUTE(SUBSTITUTE(TRIM(A464),""-"",""/""),""."",""/"&amp;""")),""dd/mm/yyyy""),
        TRIM(A464)
      )
    )
  )
)
"),"19/11/2024")</f>
        <v>19/11/2024</v>
      </c>
      <c r="L464" s="20">
        <v>45615.0</v>
      </c>
      <c r="M464" s="21" t="str">
        <f>IFERROR(__xludf.DUMMYFUNCTION("PROPER(TRIM(
  REGEXREPLACE(
    REGEXREPLACE(
      SUBSTITUTE(SUBSTITUTE(SUBSTITUTE(SUBSTITUTE(SUBSTITUTE(SUBSTITUTE(SUBSTITUTE(SUBSTITUTE(SUBSTITUTE(SUBSTITUTE(SUBSTITUTE(
        B464,""√©"",""é""),""√°"",""á""),""√±"",""ñ""),""√≥"",""ó""),""√â"",""é"&amp;"""),""√Å"",""á""),""√ç"",""í""),""√Ç"",""Í""),""√Â"",""é""),""√≠"",""í""),""√º"",""ú""),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64" s="22" t="str">
        <f>IFERROR(__xludf.DUMMYFUNCTION("SPLIT(
  TRIM(
    SUBSTITUTE(
      SUBSTITUTE(
        SUBSTITUTE(
          SUBSTITUTE(
            C464,
            ""√©"", ""é""
          ),
          ""√±"", ""ñ""
        ),
        ""√°"", ""á""
      ),
      ""√≥"", ""ó""
    )
  ),
  ""-""
)
"),"Laptop")</f>
        <v>Laptop</v>
      </c>
      <c r="O464" s="22" t="str">
        <f>IFERROR(__xludf.DUMMYFUNCTION("""COMPUTED_VALUE"""),"Ultraliviana")</f>
        <v>Ultraliviana</v>
      </c>
      <c r="P464" s="22" t="str">
        <f>IFERROR(__xludf.DUMMYFUNCTION("""COMPUTED_VALUE"""),"4GB")</f>
        <v>4GB</v>
      </c>
      <c r="Q464" s="23">
        <f t="shared" si="1"/>
        <v>1292.9</v>
      </c>
      <c r="R464" s="22">
        <f t="shared" si="2"/>
        <v>2</v>
      </c>
      <c r="S464" s="23">
        <f t="shared" si="3"/>
        <v>2585.8</v>
      </c>
      <c r="T464" s="22" t="str">
        <f>IFERROR(__xludf.DUMMYFUNCTION("PROPER(TRIM(
  LET(
    texto1, REGEXREPLACE(G464,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"),"Tomás Cabrera Tijerina")</f>
        <v>Tomás Cabrera Tijerina</v>
      </c>
      <c r="U464" s="22" t="str">
        <f t="shared" si="4"/>
        <v>5548f892-9c81-4567-87e7-399e543e91d9</v>
      </c>
      <c r="V464" s="24" t="str">
        <f t="shared" si="5"/>
        <v>Laptop Ultraliviana 4GB</v>
      </c>
    </row>
    <row r="465" ht="15.75" customHeight="1">
      <c r="A465" s="6">
        <v>45587.0</v>
      </c>
      <c r="B465" s="2" t="s">
        <v>85</v>
      </c>
      <c r="C465" s="2" t="s">
        <v>311</v>
      </c>
      <c r="D465" s="7">
        <v>1703.47</v>
      </c>
      <c r="E465" s="2">
        <v>2.0</v>
      </c>
      <c r="F465" s="7">
        <v>3406.94</v>
      </c>
      <c r="G465" s="2" t="s">
        <v>1693</v>
      </c>
      <c r="H465" s="2" t="s">
        <v>1694</v>
      </c>
      <c r="I465" s="2" t="s">
        <v>1695</v>
      </c>
      <c r="K465" s="25" t="str">
        <f>IFERROR(__xludf.DUMMYFUNCTION("IF(ISBLANK(A465),
  """",
  IF(ISNUMBER(A465),
    TEXT(A465,""dd/mm/yyyy""),
    IF(
      REGEXMATCH(TRIM(A465),""^\d{1,2}/\d{1,2}/\d{4}$""),
      TRIM(A465),
      IFERROR(
        TEXT(DATEVALUE(SUBSTITUTE(SUBSTITUTE(TRIM(A465),""-"",""/""),""."",""/"&amp;""")),""dd/mm/yyyy""),
        TRIM(A465)
      )
    )
  )
)
"),"22/10/2024")</f>
        <v>22/10/2024</v>
      </c>
      <c r="L465" s="26">
        <v>45587.0</v>
      </c>
      <c r="M465" s="27" t="str">
        <f>IFERROR(__xludf.DUMMYFUNCTION("PROPER(TRIM(
  REGEXREPLACE(
    REGEXREPLACE(
      SUBSTITUTE(SUBSTITUTE(SUBSTITUTE(SUBSTITUTE(SUBSTITUTE(SUBSTITUTE(SUBSTITUTE(SUBSTITUTE(SUBSTITUTE(SUBSTITUTE(SUBSTITUTE(
        B465,""√©"",""é""),""√°"",""á""),""√±"",""ñ""),""√≥"",""ó""),""√â"",""é"&amp;"""),""√Å"",""á""),""√ç"",""í""),""√Ç"",""Í""),""√Â"",""é""),""√≠"",""í""),""√º"",""ú""),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65" s="28" t="str">
        <f>IFERROR(__xludf.DUMMYFUNCTION("SPLIT(
  TRIM(
    SUBSTITUTE(
      SUBSTITUTE(
        SUBSTITUTE(
          SUBSTITUTE(
            C465,
            ""√©"", ""é""
          ),
          ""√±"", ""ñ""
        ),
        ""√°"", ""á""
      ),
      ""√≥"", ""ó""
    )
  ),
  ""-""
)
"),"Laptop")</f>
        <v>Laptop</v>
      </c>
      <c r="O465" s="28" t="str">
        <f>IFERROR(__xludf.DUMMYFUNCTION("""COMPUTED_VALUE"""),"Oficina")</f>
        <v>Oficina</v>
      </c>
      <c r="P465" s="28" t="str">
        <f>IFERROR(__xludf.DUMMYFUNCTION("""COMPUTED_VALUE"""),"4GB")</f>
        <v>4GB</v>
      </c>
      <c r="Q465" s="29">
        <f t="shared" si="1"/>
        <v>1703.47</v>
      </c>
      <c r="R465" s="28">
        <f t="shared" si="2"/>
        <v>2</v>
      </c>
      <c r="S465" s="29">
        <f t="shared" si="3"/>
        <v>3406.94</v>
      </c>
      <c r="T465" s="28" t="str">
        <f>IFERROR(__xludf.DUMMYFUNCTION("PROPER(TRIM(
  LET(
    texto1, REGEXREPLACE(G465,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"),"César Burgos Flórez")</f>
        <v>César Burgos Flórez</v>
      </c>
      <c r="U465" s="28" t="str">
        <f t="shared" si="4"/>
        <v>15c161e7-84e8-482a-963e-a7e6326abc14</v>
      </c>
      <c r="V465" s="30" t="str">
        <f t="shared" si="5"/>
        <v>Laptop Oficina 4GB</v>
      </c>
    </row>
    <row r="466" ht="15.75" customHeight="1">
      <c r="A466" s="36">
        <v>45636.0</v>
      </c>
      <c r="B466" s="2" t="s">
        <v>101</v>
      </c>
      <c r="C466" s="2" t="s">
        <v>201</v>
      </c>
      <c r="D466" s="7">
        <v>240.45</v>
      </c>
      <c r="E466" s="2">
        <v>4.0</v>
      </c>
      <c r="F466" s="7">
        <v>961.8</v>
      </c>
      <c r="G466" s="2" t="s">
        <v>1696</v>
      </c>
      <c r="H466" s="2" t="s">
        <v>1697</v>
      </c>
      <c r="I466" s="2" t="s">
        <v>1698</v>
      </c>
      <c r="K466" s="19" t="str">
        <f>IFERROR(__xludf.DUMMYFUNCTION("IF(ISBLANK(A466),
  """",
  IF(ISNUMBER(A466),
    TEXT(A466,""dd/mm/yyyy""),
    IF(
      REGEXMATCH(TRIM(A466),""^\d{1,2}/\d{1,2}/\d{4}$""),
      TRIM(A466),
      IFERROR(
        TEXT(DATEVALUE(SUBSTITUTE(SUBSTITUTE(TRIM(A466),""-"",""/""),""."",""/"&amp;""")),""dd/mm/yyyy""),
        TRIM(A466)
      )
    )
  )
)
"),"10/12/2024")</f>
        <v>10/12/2024</v>
      </c>
      <c r="L466" s="20">
        <v>45636.0</v>
      </c>
      <c r="M466" s="21" t="str">
        <f>IFERROR(__xludf.DUMMYFUNCTION("PROPER(TRIM(
  REGEXREPLACE(
    REGEXREPLACE(
      SUBSTITUTE(SUBSTITUTE(SUBSTITUTE(SUBSTITUTE(SUBSTITUTE(SUBSTITUTE(SUBSTITUTE(SUBSTITUTE(SUBSTITUTE(SUBSTITUTE(SUBSTITUTE(
        B466,""√©"",""é""),""√°"",""á""),""√±"",""ñ""),""√≥"",""ó""),""√â"",""é"&amp;"""),""√Å"",""á""),""√ç"",""í""),""√Ç"",""Í""),""√Â"",""é""),""√≠"",""í""),""√º"",""ú""),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66" s="22" t="str">
        <f>IFERROR(__xludf.DUMMYFUNCTION("SPLIT(
  TRIM(
    SUBSTITUTE(
      SUBSTITUTE(
        SUBSTITUTE(
          SUBSTITUTE(
            C466,
            ""√©"", ""é""
          ),
          ""√±"", ""ñ""
        ),
        ""√°"", ""á""
      ),
      ""√≥"", ""ó""
    )
  ),
  ""-""
)
"),"Laptop")</f>
        <v>Laptop</v>
      </c>
      <c r="O466" s="22" t="str">
        <f>IFERROR(__xludf.DUMMYFUNCTION("""COMPUTED_VALUE"""),"Gaming")</f>
        <v>Gaming</v>
      </c>
      <c r="P466" s="22" t="str">
        <f>IFERROR(__xludf.DUMMYFUNCTION("""COMPUTED_VALUE"""),"4GB")</f>
        <v>4GB</v>
      </c>
      <c r="Q466" s="23">
        <f t="shared" si="1"/>
        <v>240.45</v>
      </c>
      <c r="R466" s="22">
        <f t="shared" si="2"/>
        <v>4</v>
      </c>
      <c r="S466" s="23">
        <f t="shared" si="3"/>
        <v>961.8</v>
      </c>
      <c r="T466" s="22" t="str">
        <f>IFERROR(__xludf.DUMMYFUNCTION("PROPER(TRIM(
  LET(
    texto1, REGEXREPLACE(G466,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"),"Eric Bonilla")</f>
        <v>Eric Bonilla</v>
      </c>
      <c r="U466" s="22" t="str">
        <f t="shared" si="4"/>
        <v>5c493940-b957-429c-b2c2-6378fa0e9e7b</v>
      </c>
      <c r="V466" s="24" t="str">
        <f t="shared" si="5"/>
        <v>Laptop Gaming 4GB</v>
      </c>
    </row>
    <row r="467" ht="15.75" customHeight="1">
      <c r="A467" s="6">
        <v>45643.0</v>
      </c>
      <c r="B467" s="2" t="s">
        <v>38</v>
      </c>
      <c r="C467" s="2" t="s">
        <v>33</v>
      </c>
      <c r="D467" s="7">
        <v>1700.41</v>
      </c>
      <c r="E467" s="2">
        <v>4.0</v>
      </c>
      <c r="F467" s="7">
        <v>6801.64</v>
      </c>
      <c r="G467" s="2" t="s">
        <v>1699</v>
      </c>
      <c r="H467" s="2" t="s">
        <v>1700</v>
      </c>
      <c r="I467" s="2" t="s">
        <v>1701</v>
      </c>
      <c r="K467" s="25" t="str">
        <f>IFERROR(__xludf.DUMMYFUNCTION("IF(ISBLANK(A467),
  """",
  IF(ISNUMBER(A467),
    TEXT(A467,""dd/mm/yyyy""),
    IF(
      REGEXMATCH(TRIM(A467),""^\d{1,2}/\d{1,2}/\d{4}$""),
      TRIM(A467),
      IFERROR(
        TEXT(DATEVALUE(SUBSTITUTE(SUBSTITUTE(TRIM(A467),""-"",""/""),""."",""/"&amp;""")),""dd/mm/yyyy""),
        TRIM(A467)
      )
    )
  )
)
"),"17/12/2024")</f>
        <v>17/12/2024</v>
      </c>
      <c r="L467" s="26">
        <v>45643.0</v>
      </c>
      <c r="M467" s="27" t="str">
        <f>IFERROR(__xludf.DUMMYFUNCTION("PROPER(TRIM(
  REGEXREPLACE(
    REGEXREPLACE(
      SUBSTITUTE(SUBSTITUTE(SUBSTITUTE(SUBSTITUTE(SUBSTITUTE(SUBSTITUTE(SUBSTITUTE(SUBSTITUTE(SUBSTITUTE(SUBSTITUTE(SUBSTITUTE(
        B467,""√©"",""é""),""√°"",""á""),""√±"",""ñ""),""√≥"",""ó""),""√â"",""é"&amp;"""),""√Å"",""á""),""√ç"",""í""),""√Ç"",""Í""),""√Â"",""é""),""√≠"",""í""),""√º"",""ú""),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67" s="28" t="str">
        <f>IFERROR(__xludf.DUMMYFUNCTION("SPLIT(
  TRIM(
    SUBSTITUTE(
      SUBSTITUTE(
        SUBSTITUTE(
          SUBSTITUTE(
            C467,
            ""√©"", ""é""
          ),
          ""√±"", ""ñ""
        ),
        ""√°"", ""á""
      ),
      ""√≥"", ""ó""
    )
  ),
  ""-""
)
"),"Teléfono")</f>
        <v>Teléfono</v>
      </c>
      <c r="O467" s="28" t="str">
        <f>IFERROR(__xludf.DUMMYFUNCTION("""COMPUTED_VALUE"""),"Gama alta")</f>
        <v>Gama alta</v>
      </c>
      <c r="P467" s="28" t="str">
        <f>IFERROR(__xludf.DUMMYFUNCTION("""COMPUTED_VALUE"""),"4GB")</f>
        <v>4GB</v>
      </c>
      <c r="Q467" s="29">
        <f t="shared" si="1"/>
        <v>1700.41</v>
      </c>
      <c r="R467" s="28">
        <f t="shared" si="2"/>
        <v>4</v>
      </c>
      <c r="S467" s="29">
        <f t="shared" si="3"/>
        <v>6801.64</v>
      </c>
      <c r="T467" s="28" t="str">
        <f>IFERROR(__xludf.DUMMYFUNCTION("PROPER(TRIM(
  LET(
    texto1, REGEXREPLACE(G467,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"),"Mónica Montañez")</f>
        <v>Mónica Montañez</v>
      </c>
      <c r="U467" s="28" t="str">
        <f t="shared" si="4"/>
        <v>b132b519-abc7-45bf-afcb-a51cf812697a</v>
      </c>
      <c r="V467" s="30" t="str">
        <f t="shared" si="5"/>
        <v>Teléfono Gama alta 4GB</v>
      </c>
    </row>
    <row r="468" ht="15.75" customHeight="1">
      <c r="A468" s="36">
        <v>45455.0</v>
      </c>
      <c r="B468" s="2" t="s">
        <v>50</v>
      </c>
      <c r="C468" s="2" t="s">
        <v>206</v>
      </c>
      <c r="D468" s="7">
        <v>460.62</v>
      </c>
      <c r="E468" s="2">
        <v>4.0</v>
      </c>
      <c r="F468" s="7">
        <v>1842.48</v>
      </c>
      <c r="G468" s="2" t="s">
        <v>1702</v>
      </c>
      <c r="H468" s="2" t="s">
        <v>1703</v>
      </c>
      <c r="I468" s="2" t="s">
        <v>1704</v>
      </c>
      <c r="K468" s="19" t="str">
        <f>IFERROR(__xludf.DUMMYFUNCTION("IF(ISBLANK(A468),
  """",
  IF(ISNUMBER(A468),
    TEXT(A468,""dd/mm/yyyy""),
    IF(
      REGEXMATCH(TRIM(A468),""^\d{1,2}/\d{1,2}/\d{4}$""),
      TRIM(A468),
      IFERROR(
        TEXT(DATEVALUE(SUBSTITUTE(SUBSTITUTE(TRIM(A468),""-"",""/""),""."",""/"&amp;""")),""dd/mm/yyyy""),
        TRIM(A468)
      )
    )
  )
)
"),"12/06/2024")</f>
        <v>12/06/2024</v>
      </c>
      <c r="L468" s="20">
        <v>45455.0</v>
      </c>
      <c r="M468" s="21" t="str">
        <f>IFERROR(__xludf.DUMMYFUNCTION("PROPER(TRIM(
  REGEXREPLACE(
    REGEXREPLACE(
      SUBSTITUTE(SUBSTITUTE(SUBSTITUTE(SUBSTITUTE(SUBSTITUTE(SUBSTITUTE(SUBSTITUTE(SUBSTITUTE(SUBSTITUTE(SUBSTITUTE(SUBSTITUTE(
        B468,""√©"",""é""),""√°"",""á""),""√±"",""ñ""),""√≥"",""ó""),""√â"",""é"&amp;"""),""√Å"",""á""),""√ç"",""í""),""√Ç"",""Í""),""√Â"",""é""),""√≠"",""í""),""√º"",""ú""),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68" s="22" t="str">
        <f>IFERROR(__xludf.DUMMYFUNCTION("SPLIT(
  TRIM(
    SUBSTITUTE(
      SUBSTITUTE(
        SUBSTITUTE(
          SUBSTITUTE(
            C468,
            ""√©"", ""é""
          ),
          ""√±"", ""ñ""
        ),
        ""√°"", ""á""
      ),
      ""√≥"", ""ó""
    )
  ),
  ""-""
)
"),"Auriculares")</f>
        <v>Auriculares</v>
      </c>
      <c r="O468" s="22" t="str">
        <f>IFERROR(__xludf.DUMMYFUNCTION("""COMPUTED_VALUE"""),"Bluetooth")</f>
        <v>Bluetooth</v>
      </c>
      <c r="P468" s="22" t="str">
        <f>IFERROR(__xludf.DUMMYFUNCTION("""COMPUTED_VALUE"""),"4GB")</f>
        <v>4GB</v>
      </c>
      <c r="Q468" s="23">
        <f t="shared" si="1"/>
        <v>460.62</v>
      </c>
      <c r="R468" s="22">
        <f t="shared" si="2"/>
        <v>4</v>
      </c>
      <c r="S468" s="23">
        <f t="shared" si="3"/>
        <v>1842.48</v>
      </c>
      <c r="T468" s="22" t="str">
        <f>IFERROR(__xludf.DUMMYFUNCTION("PROPER(TRIM(
  LET(
    texto1, REGEXREPLACE(G468,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Díaz")</f>
        <v>María Díaz</v>
      </c>
      <c r="U468" s="22" t="str">
        <f t="shared" si="4"/>
        <v>9a041544-4b70-4ae4-9dee-985076c979eb</v>
      </c>
      <c r="V468" s="24" t="str">
        <f t="shared" si="5"/>
        <v>Auriculares Bluetooth 4GB</v>
      </c>
    </row>
    <row r="469" ht="15.75" customHeight="1">
      <c r="A469" s="6">
        <v>45592.0</v>
      </c>
      <c r="B469" s="2" t="s">
        <v>16</v>
      </c>
      <c r="C469" s="2" t="s">
        <v>75</v>
      </c>
      <c r="D469" s="7">
        <v>1092.45</v>
      </c>
      <c r="E469" s="2">
        <v>3.0</v>
      </c>
      <c r="F469" s="7">
        <v>3277.35</v>
      </c>
      <c r="G469" s="2" t="s">
        <v>1705</v>
      </c>
      <c r="H469" s="2" t="s">
        <v>1706</v>
      </c>
      <c r="I469" s="2" t="s">
        <v>1707</v>
      </c>
      <c r="K469" s="25" t="str">
        <f>IFERROR(__xludf.DUMMYFUNCTION("IF(ISBLANK(A469),
  """",
  IF(ISNUMBER(A469),
    TEXT(A469,""dd/mm/yyyy""),
    IF(
      REGEXMATCH(TRIM(A469),""^\d{1,2}/\d{1,2}/\d{4}$""),
      TRIM(A469),
      IFERROR(
        TEXT(DATEVALUE(SUBSTITUTE(SUBSTITUTE(TRIM(A469),""-"",""/""),""."",""/"&amp;""")),""dd/mm/yyyy""),
        TRIM(A469)
      )
    )
  )
)
"),"27/10/2024")</f>
        <v>27/10/2024</v>
      </c>
      <c r="L469" s="26">
        <v>45592.0</v>
      </c>
      <c r="M469" s="27" t="str">
        <f>IFERROR(__xludf.DUMMYFUNCTION("PROPER(TRIM(
  REGEXREPLACE(
    REGEXREPLACE(
      SUBSTITUTE(SUBSTITUTE(SUBSTITUTE(SUBSTITUTE(SUBSTITUTE(SUBSTITUTE(SUBSTITUTE(SUBSTITUTE(SUBSTITUTE(SUBSTITUTE(SUBSTITUTE(
        B469,""√©"",""é""),""√°"",""á""),""√±"",""ñ""),""√≥"",""ó""),""√â"",""é"&amp;"""),""√Å"",""á""),""√ç"",""í""),""√Ç"",""Í""),""√Â"",""é""),""√≠"",""í""),""√º"",""ú""),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69" s="28" t="str">
        <f>IFERROR(__xludf.DUMMYFUNCTION("SPLIT(
  TRIM(
    SUBSTITUTE(
      SUBSTITUTE(
        SUBSTITUTE(
          SUBSTITUTE(
            C469,
            ""√©"", ""é""
          ),
          ""√±"", ""ñ""
        ),
        ""√°"", ""á""
      ),
      ""√≥"", ""ó""
    )
  ),
  ""-""
)
"),"Tablet")</f>
        <v>Tablet</v>
      </c>
      <c r="O469" s="28" t="str">
        <f>IFERROR(__xludf.DUMMYFUNCTION("""COMPUTED_VALUE"""),"Pro")</f>
        <v>Pro</v>
      </c>
      <c r="P469" s="28" t="str">
        <f>IFERROR(__xludf.DUMMYFUNCTION("""COMPUTED_VALUE"""),"4GB")</f>
        <v>4GB</v>
      </c>
      <c r="Q469" s="29">
        <f t="shared" si="1"/>
        <v>1092.45</v>
      </c>
      <c r="R469" s="28">
        <f t="shared" si="2"/>
        <v>3</v>
      </c>
      <c r="S469" s="29">
        <f t="shared" si="3"/>
        <v>3277.35</v>
      </c>
      <c r="T469" s="28" t="str">
        <f>IFERROR(__xludf.DUMMYFUNCTION("PROPER(TRIM(
  LET(
    texto1, REGEXREPLACE(G469,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"),"Dolores Minerva Frías Baeza")</f>
        <v>Dolores Minerva Frías Baeza</v>
      </c>
      <c r="U469" s="28" t="str">
        <f t="shared" si="4"/>
        <v>08148c4c-9768-48b2-a627-96eb9c4ecb15</v>
      </c>
      <c r="V469" s="30" t="str">
        <f t="shared" si="5"/>
        <v>Tablet Pro 4GB</v>
      </c>
    </row>
    <row r="470" ht="15.75" customHeight="1">
      <c r="A470" s="37">
        <v>45603.0</v>
      </c>
      <c r="B470" s="2" t="s">
        <v>27</v>
      </c>
      <c r="C470" s="2" t="s">
        <v>17</v>
      </c>
      <c r="D470" s="7">
        <v>1270.75</v>
      </c>
      <c r="E470" s="2">
        <v>5.0</v>
      </c>
      <c r="F470" s="7">
        <v>6353.75</v>
      </c>
      <c r="G470" s="2" t="s">
        <v>1708</v>
      </c>
      <c r="H470" s="2" t="s">
        <v>1709</v>
      </c>
      <c r="I470" s="2" t="s">
        <v>1710</v>
      </c>
      <c r="K470" s="19" t="str">
        <f>IFERROR(__xludf.DUMMYFUNCTION("IF(ISBLANK(A470),
  """",
  IF(ISNUMBER(A470),
    TEXT(A470,""dd/mm/yyyy""),
    IF(
      REGEXMATCH(TRIM(A470),""^\d{1,2}/\d{1,2}/\d{4}$""),
      TRIM(A470),
      IFERROR(
        TEXT(DATEVALUE(SUBSTITUTE(SUBSTITUTE(TRIM(A470),""-"",""/""),""."",""/"&amp;""")),""dd/mm/yyyy""),
        TRIM(A470)
      )
    )
  )
)
"),"07/11/2024")</f>
        <v>07/11/2024</v>
      </c>
      <c r="L470" s="20">
        <v>45603.0</v>
      </c>
      <c r="M470" s="21" t="str">
        <f>IFERROR(__xludf.DUMMYFUNCTION("PROPER(TRIM(
  REGEXREPLACE(
    REGEXREPLACE(
      SUBSTITUTE(SUBSTITUTE(SUBSTITUTE(SUBSTITUTE(SUBSTITUTE(SUBSTITUTE(SUBSTITUTE(SUBSTITUTE(SUBSTITUTE(SUBSTITUTE(SUBSTITUTE(
        B470,""√©"",""é""),""√°"",""á""),""√±"",""ñ""),""√≥"",""ó""),""√â"",""é"&amp;"""),""√Å"",""á""),""√ç"",""í""),""√Ç"",""Í""),""√Â"",""é""),""√≠"",""í""),""√º"",""ú""),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70" s="22" t="str">
        <f>IFERROR(__xludf.DUMMYFUNCTION("SPLIT(
  TRIM(
    SUBSTITUTE(
      SUBSTITUTE(
        SUBSTITUTE(
          SUBSTITUTE(
            C470,
            ""√©"", ""é""
          ),
          ""√±"", ""ñ""
        ),
        ""√°"", ""á""
      ),
      ""√≥"", ""ó""
    )
  ),
  ""-""
)
"),"Auriculares")</f>
        <v>Auriculares</v>
      </c>
      <c r="O470" s="22" t="str">
        <f>IFERROR(__xludf.DUMMYFUNCTION("""COMPUTED_VALUE"""),"Bluetooth")</f>
        <v>Bluetooth</v>
      </c>
      <c r="P470" s="22" t="str">
        <f>IFERROR(__xludf.DUMMYFUNCTION("""COMPUTED_VALUE"""),"8GB")</f>
        <v>8GB</v>
      </c>
      <c r="Q470" s="23">
        <f t="shared" si="1"/>
        <v>1270.75</v>
      </c>
      <c r="R470" s="22">
        <f t="shared" si="2"/>
        <v>5</v>
      </c>
      <c r="S470" s="23">
        <f t="shared" si="3"/>
        <v>6353.75</v>
      </c>
      <c r="T470" s="22" t="str">
        <f>IFERROR(__xludf.DUMMYFUNCTION("PROPER(TRIM(
  LET(
    texto1, REGEXREPLACE(G470,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"),"Yuridia Madrid")</f>
        <v>Yuridia Madrid</v>
      </c>
      <c r="U470" s="22" t="str">
        <f t="shared" si="4"/>
        <v>5b24d4c8-65a7-4ec1-8ca1-f46584e4d7f7</v>
      </c>
      <c r="V470" s="24" t="str">
        <f t="shared" si="5"/>
        <v>Auriculares Bluetooth 8GB</v>
      </c>
    </row>
    <row r="471" ht="15.75" customHeight="1">
      <c r="A471" s="36">
        <v>45394.0</v>
      </c>
      <c r="B471" s="2" t="s">
        <v>38</v>
      </c>
      <c r="C471" s="2" t="s">
        <v>1015</v>
      </c>
      <c r="D471" s="7">
        <v>583.68</v>
      </c>
      <c r="E471" s="2">
        <v>4.0</v>
      </c>
      <c r="F471" s="7">
        <v>2334.72</v>
      </c>
      <c r="G471" s="2" t="s">
        <v>1711</v>
      </c>
      <c r="H471" s="2" t="s">
        <v>1712</v>
      </c>
      <c r="I471" s="2" t="s">
        <v>1713</v>
      </c>
      <c r="K471" s="25" t="str">
        <f>IFERROR(__xludf.DUMMYFUNCTION("IF(ISBLANK(A471),
  """",
  IF(ISNUMBER(A471),
    TEXT(A471,""dd/mm/yyyy""),
    IF(
      REGEXMATCH(TRIM(A471),""^\d{1,2}/\d{1,2}/\d{4}$""),
      TRIM(A471),
      IFERROR(
        TEXT(DATEVALUE(SUBSTITUTE(SUBSTITUTE(TRIM(A471),""-"",""/""),""."",""/"&amp;""")),""dd/mm/yyyy""),
        TRIM(A471)
      )
    )
  )
)
"),"12/04/2024")</f>
        <v>12/04/2024</v>
      </c>
      <c r="L471" s="26">
        <v>45394.0</v>
      </c>
      <c r="M471" s="27" t="str">
        <f>IFERROR(__xludf.DUMMYFUNCTION("PROPER(TRIM(
  REGEXREPLACE(
    REGEXREPLACE(
      SUBSTITUTE(SUBSTITUTE(SUBSTITUTE(SUBSTITUTE(SUBSTITUTE(SUBSTITUTE(SUBSTITUTE(SUBSTITUTE(SUBSTITUTE(SUBSTITUTE(SUBSTITUTE(
        B471,""√©"",""é""),""√°"",""á""),""√±"",""ñ""),""√≥"",""ó""),""√â"",""é"&amp;"""),""√Å"",""á""),""√ç"",""í""),""√Ç"",""Í""),""√Â"",""é""),""√≠"",""í""),""√º"",""ú""),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71" s="28" t="str">
        <f>IFERROR(__xludf.DUMMYFUNCTION("SPLIT(
  TRIM(
    SUBSTITUTE(
      SUBSTITUTE(
        SUBSTITUTE(
          SUBSTITUTE(
            C471,
            ""√©"", ""é""
          ),
          ""√±"", ""ñ""
        ),
        ""√°"", ""á""
      ),
      ""√≥"", ""ó""
    )
  ),
  ""-""
)
"),"Auriculares")</f>
        <v>Auriculares</v>
      </c>
      <c r="O471" s="28" t="str">
        <f>IFERROR(__xludf.DUMMYFUNCTION("""COMPUTED_VALUE"""),"Bluetooth")</f>
        <v>Bluetooth</v>
      </c>
      <c r="P471" s="28" t="str">
        <f>IFERROR(__xludf.DUMMYFUNCTION("""COMPUTED_VALUE"""),"32GB")</f>
        <v>32GB</v>
      </c>
      <c r="Q471" s="29">
        <f t="shared" si="1"/>
        <v>583.68</v>
      </c>
      <c r="R471" s="28">
        <f t="shared" si="2"/>
        <v>4</v>
      </c>
      <c r="S471" s="29">
        <f t="shared" si="3"/>
        <v>2334.72</v>
      </c>
      <c r="T471" s="28" t="str">
        <f>IFERROR(__xludf.DUMMYFUNCTION("PROPER(TRIM(
  LET(
    texto1, REGEXREPLACE(G471,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"),"Nelly Arce")</f>
        <v>Nelly Arce</v>
      </c>
      <c r="U471" s="28" t="str">
        <f t="shared" si="4"/>
        <v>df4cc62b-b7d8-4963-99ea-48fe79203fbe</v>
      </c>
      <c r="V471" s="30" t="str">
        <f t="shared" si="5"/>
        <v>Auriculares Bluetooth 32GB</v>
      </c>
    </row>
    <row r="472" ht="15.75" customHeight="1">
      <c r="A472" s="36">
        <v>45547.0</v>
      </c>
      <c r="B472" s="2" t="s">
        <v>27</v>
      </c>
      <c r="C472" s="2" t="s">
        <v>348</v>
      </c>
      <c r="D472" s="7">
        <v>1284.18</v>
      </c>
      <c r="E472" s="2">
        <v>3.0</v>
      </c>
      <c r="F472" s="7">
        <v>3852.54</v>
      </c>
      <c r="G472" s="2" t="s">
        <v>1715</v>
      </c>
      <c r="H472" s="2" t="s">
        <v>1716</v>
      </c>
      <c r="I472" s="2" t="s">
        <v>1717</v>
      </c>
      <c r="K472" s="19" t="str">
        <f>IFERROR(__xludf.DUMMYFUNCTION("IF(ISBLANK(A472),
  """",
  IF(ISNUMBER(A472),
    TEXT(A472,""dd/mm/yyyy""),
    IF(
      REGEXMATCH(TRIM(A472),""^\d{1,2}/\d{1,2}/\d{4}$""),
      TRIM(A472),
      IFERROR(
        TEXT(DATEVALUE(SUBSTITUTE(SUBSTITUTE(TRIM(A472),""-"",""/""),""."",""/"&amp;""")),""dd/mm/yyyy""),
        TRIM(A472)
      )
    )
  )
)
"),"12/09/2024")</f>
        <v>12/09/2024</v>
      </c>
      <c r="L472" s="20">
        <v>45547.0</v>
      </c>
      <c r="M472" s="21" t="str">
        <f>IFERROR(__xludf.DUMMYFUNCTION("PROPER(TRIM(
  REGEXREPLACE(
    REGEXREPLACE(
      SUBSTITUTE(SUBSTITUTE(SUBSTITUTE(SUBSTITUTE(SUBSTITUTE(SUBSTITUTE(SUBSTITUTE(SUBSTITUTE(SUBSTITUTE(SUBSTITUTE(SUBSTITUTE(
        B472,""√©"",""é""),""√°"",""á""),""√±"",""ñ""),""√≥"",""ó""),""√â"",""é"&amp;"""),""√Å"",""á""),""√ç"",""í""),""√Ç"",""Í""),""√Â"",""é""),""√≠"",""í""),""√º"",""ú""),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72" s="22" t="str">
        <f>IFERROR(__xludf.DUMMYFUNCTION("SPLIT(
  TRIM(
    SUBSTITUTE(
      SUBSTITUTE(
        SUBSTITUTE(
          SUBSTITUTE(
            C472,
            ""√©"", ""é""
          ),
          ""√±"", ""ñ""
        ),
        ""√°"", ""á""
      ),
      ""√≥"", ""ó""
    )
  ),
  ""-""
)
"),"Teléfono")</f>
        <v>Teléfono</v>
      </c>
      <c r="O472" s="22" t="str">
        <f>IFERROR(__xludf.DUMMYFUNCTION("""COMPUTED_VALUE"""),"Gama media")</f>
        <v>Gama media</v>
      </c>
      <c r="P472" s="22" t="str">
        <f>IFERROR(__xludf.DUMMYFUNCTION("""COMPUTED_VALUE"""),"8GB")</f>
        <v>8GB</v>
      </c>
      <c r="Q472" s="23">
        <f t="shared" si="1"/>
        <v>1284.18</v>
      </c>
      <c r="R472" s="22">
        <f t="shared" si="2"/>
        <v>3</v>
      </c>
      <c r="S472" s="23">
        <f t="shared" si="3"/>
        <v>3852.54</v>
      </c>
      <c r="T472" s="22" t="str">
        <f>IFERROR(__xludf.DUMMYFUNCTION("PROPER(TRIM(
  LET(
    texto1, REGEXREPLACE(G472,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"),"Antonia Martha Esparza")</f>
        <v>Antonia Martha Esparza</v>
      </c>
      <c r="U472" s="22" t="str">
        <f t="shared" si="4"/>
        <v>85c98452-482f-4a08-b9eb-a1cf145ad831</v>
      </c>
      <c r="V472" s="24" t="str">
        <f t="shared" si="5"/>
        <v>Teléfono Gama media 8GB</v>
      </c>
    </row>
    <row r="473" ht="15.75" customHeight="1">
      <c r="A473" s="36">
        <v>45637.0</v>
      </c>
      <c r="B473" s="2" t="s">
        <v>27</v>
      </c>
      <c r="C473" s="2" t="s">
        <v>22</v>
      </c>
      <c r="D473" s="7">
        <v>569.56</v>
      </c>
      <c r="E473" s="2">
        <v>4.0</v>
      </c>
      <c r="F473" s="7">
        <v>2278.24</v>
      </c>
      <c r="G473" s="2" t="s">
        <v>1718</v>
      </c>
      <c r="H473" s="2" t="s">
        <v>1719</v>
      </c>
      <c r="I473" s="2" t="s">
        <v>1720</v>
      </c>
      <c r="K473" s="25" t="str">
        <f>IFERROR(__xludf.DUMMYFUNCTION("IF(ISBLANK(A473),
  """",
  IF(ISNUMBER(A473),
    TEXT(A473,""dd/mm/yyyy""),
    IF(
      REGEXMATCH(TRIM(A473),""^\d{1,2}/\d{1,2}/\d{4}$""),
      TRIM(A473),
      IFERROR(
        TEXT(DATEVALUE(SUBSTITUTE(SUBSTITUTE(TRIM(A473),""-"",""/""),""."",""/"&amp;""")),""dd/mm/yyyy""),
        TRIM(A473)
      )
    )
  )
)
"),"11/12/2024")</f>
        <v>11/12/2024</v>
      </c>
      <c r="L473" s="26">
        <v>45637.0</v>
      </c>
      <c r="M473" s="27" t="str">
        <f>IFERROR(__xludf.DUMMYFUNCTION("PROPER(TRIM(
  REGEXREPLACE(
    REGEXREPLACE(
      SUBSTITUTE(SUBSTITUTE(SUBSTITUTE(SUBSTITUTE(SUBSTITUTE(SUBSTITUTE(SUBSTITUTE(SUBSTITUTE(SUBSTITUTE(SUBSTITUTE(SUBSTITUTE(
        B473,""√©"",""é""),""√°"",""á""),""√±"",""ñ""),""√≥"",""ó""),""√â"",""é"&amp;"""),""√Å"",""á""),""√ç"",""í""),""√Ç"",""Í""),""√Â"",""é""),""√≠"",""í""),""√º"",""ú""),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73" s="28" t="str">
        <f>IFERROR(__xludf.DUMMYFUNCTION("SPLIT(
  TRIM(
    SUBSTITUTE(
      SUBSTITUTE(
        SUBSTITUTE(
          SUBSTITUTE(
            C473,
            ""√©"", ""é""
          ),
          ""√±"", ""ñ""
        ),
        ""√°"", ""á""
      ),
      ""√≥"", ""ó""
    )
  ),
  ""-""
)
"),"Laptop")</f>
        <v>Laptop</v>
      </c>
      <c r="O473" s="28" t="str">
        <f>IFERROR(__xludf.DUMMYFUNCTION("""COMPUTED_VALUE"""),"Gaming")</f>
        <v>Gaming</v>
      </c>
      <c r="P473" s="28" t="str">
        <f>IFERROR(__xludf.DUMMYFUNCTION("""COMPUTED_VALUE"""),"32GB")</f>
        <v>32GB</v>
      </c>
      <c r="Q473" s="29">
        <f t="shared" si="1"/>
        <v>569.56</v>
      </c>
      <c r="R473" s="28">
        <f t="shared" si="2"/>
        <v>4</v>
      </c>
      <c r="S473" s="29">
        <f t="shared" si="3"/>
        <v>2278.24</v>
      </c>
      <c r="T473" s="28" t="str">
        <f>IFERROR(__xludf.DUMMYFUNCTION("PROPER(TRIM(
  LET(
    texto1, REGEXREPLACE(G473,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"),"Liver Téllez")</f>
        <v>Liver Téllez</v>
      </c>
      <c r="U473" s="28" t="str">
        <f t="shared" si="4"/>
        <v>92e1c1ff-b495-49b7-a5b5-d0aeb1d04194</v>
      </c>
      <c r="V473" s="30" t="str">
        <f t="shared" si="5"/>
        <v>Laptop Gaming 32GB</v>
      </c>
    </row>
    <row r="474" ht="15.75" customHeight="1">
      <c r="A474" s="6">
        <v>45611.0</v>
      </c>
      <c r="B474" s="2" t="s">
        <v>50</v>
      </c>
      <c r="C474" s="2" t="s">
        <v>235</v>
      </c>
      <c r="D474" s="7">
        <v>1808.18</v>
      </c>
      <c r="E474" s="2">
        <v>5.0</v>
      </c>
      <c r="F474" s="7">
        <v>9040.9</v>
      </c>
      <c r="G474" s="2" t="s">
        <v>1721</v>
      </c>
      <c r="H474" s="2" t="s">
        <v>1722</v>
      </c>
      <c r="I474" s="2" t="s">
        <v>1723</v>
      </c>
      <c r="K474" s="19" t="str">
        <f>IFERROR(__xludf.DUMMYFUNCTION("IF(ISBLANK(A474),
  """",
  IF(ISNUMBER(A474),
    TEXT(A474,""dd/mm/yyyy""),
    IF(
      REGEXMATCH(TRIM(A474),""^\d{1,2}/\d{1,2}/\d{4}$""),
      TRIM(A474),
      IFERROR(
        TEXT(DATEVALUE(SUBSTITUTE(SUBSTITUTE(TRIM(A474),""-"",""/""),""."",""/"&amp;""")),""dd/mm/yyyy""),
        TRIM(A474)
      )
    )
  )
)
"),"15/11/2024")</f>
        <v>15/11/2024</v>
      </c>
      <c r="L474" s="20">
        <v>45611.0</v>
      </c>
      <c r="M474" s="21" t="str">
        <f>IFERROR(__xludf.DUMMYFUNCTION("PROPER(TRIM(
  REGEXREPLACE(
    REGEXREPLACE(
      SUBSTITUTE(SUBSTITUTE(SUBSTITUTE(SUBSTITUTE(SUBSTITUTE(SUBSTITUTE(SUBSTITUTE(SUBSTITUTE(SUBSTITUTE(SUBSTITUTE(SUBSTITUTE(
        B474,""√©"",""é""),""√°"",""á""),""√±"",""ñ""),""√≥"",""ó""),""√â"",""é"&amp;"""),""√Å"",""á""),""√ç"",""í""),""√Ç"",""Í""),""√Â"",""é""),""√≠"",""í""),""√º"",""ú""),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74" s="22" t="str">
        <f>IFERROR(__xludf.DUMMYFUNCTION("SPLIT(
  TRIM(
    SUBSTITUTE(
      SUBSTITUTE(
        SUBSTITUTE(
          SUBSTITUTE(
            C474,
            ""√©"", ""é""
          ),
          ""√±"", ""ñ""
        ),
        ""√°"", ""á""
      ),
      ""√≥"", ""ó""
    )
  ),
  ""-""
)
"),"Tablet")</f>
        <v>Tablet</v>
      </c>
      <c r="O474" s="22" t="str">
        <f>IFERROR(__xludf.DUMMYFUNCTION("""COMPUTED_VALUE"""),"Estándar")</f>
        <v>Estándar</v>
      </c>
      <c r="P474" s="22" t="str">
        <f>IFERROR(__xludf.DUMMYFUNCTION("""COMPUTED_VALUE"""),"4GB")</f>
        <v>4GB</v>
      </c>
      <c r="Q474" s="23">
        <f t="shared" si="1"/>
        <v>1808.18</v>
      </c>
      <c r="R474" s="22">
        <f t="shared" si="2"/>
        <v>5</v>
      </c>
      <c r="S474" s="23">
        <f t="shared" si="3"/>
        <v>9040.9</v>
      </c>
      <c r="T474" s="22" t="str">
        <f>IFERROR(__xludf.DUMMYFUNCTION("PROPER(TRIM(
  LET(
    texto1, REGEXREPLACE(G474,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"),"Liver Julio César Cervantes")</f>
        <v>Liver Julio César Cervantes</v>
      </c>
      <c r="U474" s="22" t="str">
        <f t="shared" si="4"/>
        <v>1ee6182c-86b4-4ebe-b5e3-4e371ac515a7</v>
      </c>
      <c r="V474" s="24" t="str">
        <f t="shared" si="5"/>
        <v>Tablet Estándar 4GB</v>
      </c>
    </row>
    <row r="475" ht="15.75" customHeight="1">
      <c r="A475" s="6">
        <v>45613.0</v>
      </c>
      <c r="B475" s="2" t="s">
        <v>50</v>
      </c>
      <c r="C475" s="2" t="s">
        <v>96</v>
      </c>
      <c r="D475" s="7">
        <v>2255.29</v>
      </c>
      <c r="E475" s="2">
        <v>3.0</v>
      </c>
      <c r="F475" s="7">
        <v>6765.87</v>
      </c>
      <c r="G475" s="2" t="s">
        <v>1724</v>
      </c>
      <c r="H475" s="2" t="s">
        <v>1725</v>
      </c>
      <c r="I475" s="2" t="s">
        <v>1726</v>
      </c>
      <c r="K475" s="25" t="str">
        <f>IFERROR(__xludf.DUMMYFUNCTION("IF(ISBLANK(A475),
  """",
  IF(ISNUMBER(A475),
    TEXT(A475,""dd/mm/yyyy""),
    IF(
      REGEXMATCH(TRIM(A475),""^\d{1,2}/\d{1,2}/\d{4}$""),
      TRIM(A475),
      IFERROR(
        TEXT(DATEVALUE(SUBSTITUTE(SUBSTITUTE(TRIM(A475),""-"",""/""),""."",""/"&amp;""")),""dd/mm/yyyy""),
        TRIM(A475)
      )
    )
  )
)
"),"17/11/2024")</f>
        <v>17/11/2024</v>
      </c>
      <c r="L475" s="26">
        <v>45613.0</v>
      </c>
      <c r="M475" s="27" t="str">
        <f>IFERROR(__xludf.DUMMYFUNCTION("PROPER(TRIM(
  REGEXREPLACE(
    REGEXREPLACE(
      SUBSTITUTE(SUBSTITUTE(SUBSTITUTE(SUBSTITUTE(SUBSTITUTE(SUBSTITUTE(SUBSTITUTE(SUBSTITUTE(SUBSTITUTE(SUBSTITUTE(SUBSTITUTE(
        B475,""√©"",""é""),""√°"",""á""),""√±"",""ñ""),""√≥"",""ó""),""√â"",""é"&amp;"""),""√Å"",""á""),""√ç"",""í""),""√Ç"",""Í""),""√Â"",""é""),""√≠"",""í""),""√º"",""ú""),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75" s="28" t="str">
        <f>IFERROR(__xludf.DUMMYFUNCTION("SPLIT(
  TRIM(
    SUBSTITUTE(
      SUBSTITUTE(
        SUBSTITUTE(
          SUBSTITUTE(
            C475,
            ""√©"", ""é""
          ),
          ""√±"", ""ñ""
        ),
        ""√°"", ""á""
      ),
      ""√≥"", ""ó""
    )
  ),
  ""-""
)
"),"Auriculares")</f>
        <v>Auriculares</v>
      </c>
      <c r="O475" s="28" t="str">
        <f>IFERROR(__xludf.DUMMYFUNCTION("""COMPUTED_VALUE"""),"Cancelación de ruido")</f>
        <v>Cancelación de ruido</v>
      </c>
      <c r="P475" s="28" t="str">
        <f>IFERROR(__xludf.DUMMYFUNCTION("""COMPUTED_VALUE"""),"4GB")</f>
        <v>4GB</v>
      </c>
      <c r="Q475" s="29">
        <f t="shared" si="1"/>
        <v>2255.29</v>
      </c>
      <c r="R475" s="28">
        <f t="shared" si="2"/>
        <v>3</v>
      </c>
      <c r="S475" s="29">
        <f t="shared" si="3"/>
        <v>6765.87</v>
      </c>
      <c r="T475" s="28" t="str">
        <f>IFERROR(__xludf.DUMMYFUNCTION("PROPER(TRIM(
  LET(
    texto1, REGEXREPLACE(G475,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"),"Camilo Cervántez")</f>
        <v>Camilo Cervántez</v>
      </c>
      <c r="U475" s="28" t="str">
        <f t="shared" si="4"/>
        <v>6a272f91-94e7-4624-af64-2a57ea5ea246</v>
      </c>
      <c r="V475" s="30" t="str">
        <f t="shared" si="5"/>
        <v>Auriculares Cancelación de ruido 4GB</v>
      </c>
    </row>
    <row r="476" ht="15.75" customHeight="1">
      <c r="A476" s="6">
        <v>45594.0</v>
      </c>
      <c r="B476" s="2" t="s">
        <v>38</v>
      </c>
      <c r="C476" s="2" t="s">
        <v>116</v>
      </c>
      <c r="D476" s="7">
        <v>847.32</v>
      </c>
      <c r="E476" s="2">
        <v>5.0</v>
      </c>
      <c r="F476" s="7">
        <v>4236.6</v>
      </c>
      <c r="G476" s="2" t="s">
        <v>1727</v>
      </c>
      <c r="H476" s="2" t="s">
        <v>1728</v>
      </c>
      <c r="I476" s="2" t="s">
        <v>1729</v>
      </c>
      <c r="K476" s="19" t="str">
        <f>IFERROR(__xludf.DUMMYFUNCTION("IF(ISBLANK(A476),
  """",
  IF(ISNUMBER(A476),
    TEXT(A476,""dd/mm/yyyy""),
    IF(
      REGEXMATCH(TRIM(A476),""^\d{1,2}/\d{1,2}/\d{4}$""),
      TRIM(A476),
      IFERROR(
        TEXT(DATEVALUE(SUBSTITUTE(SUBSTITUTE(TRIM(A476),""-"",""/""),""."",""/"&amp;""")),""dd/mm/yyyy""),
        TRIM(A476)
      )
    )
  )
)
"),"29/10/2024")</f>
        <v>29/10/2024</v>
      </c>
      <c r="L476" s="20">
        <v>45594.0</v>
      </c>
      <c r="M476" s="21" t="str">
        <f>IFERROR(__xludf.DUMMYFUNCTION("PROPER(TRIM(
  REGEXREPLACE(
    REGEXREPLACE(
      SUBSTITUTE(SUBSTITUTE(SUBSTITUTE(SUBSTITUTE(SUBSTITUTE(SUBSTITUTE(SUBSTITUTE(SUBSTITUTE(SUBSTITUTE(SUBSTITUTE(SUBSTITUTE(
        B476,""√©"",""é""),""√°"",""á""),""√±"",""ñ""),""√≥"",""ó""),""√â"",""é"&amp;"""),""√Å"",""á""),""√ç"",""í""),""√Ç"",""Í""),""√Â"",""é""),""√≠"",""í""),""√º"",""ú""),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76" s="22" t="str">
        <f>IFERROR(__xludf.DUMMYFUNCTION("SPLIT(
  TRIM(
    SUBSTITUTE(
      SUBSTITUTE(
        SUBSTITUTE(
          SUBSTITUTE(
            C476,
            ""√©"", ""é""
          ),
          ""√±"", ""ñ""
        ),
        ""√°"", ""á""
      ),
      ""√≥"", ""ó""
    )
  ),
  ""-""
)
"),"Teléfono")</f>
        <v>Teléfono</v>
      </c>
      <c r="O476" s="22" t="str">
        <f>IFERROR(__xludf.DUMMYFUNCTION("""COMPUTED_VALUE"""),"Gama media")</f>
        <v>Gama media</v>
      </c>
      <c r="P476" s="22" t="str">
        <f>IFERROR(__xludf.DUMMYFUNCTION("""COMPUTED_VALUE"""),"4GB")</f>
        <v>4GB</v>
      </c>
      <c r="Q476" s="23">
        <f t="shared" si="1"/>
        <v>847.32</v>
      </c>
      <c r="R476" s="22">
        <f t="shared" si="2"/>
        <v>5</v>
      </c>
      <c r="S476" s="23">
        <f t="shared" si="3"/>
        <v>4236.6</v>
      </c>
      <c r="T476" s="22" t="str">
        <f>IFERROR(__xludf.DUMMYFUNCTION("PROPER(TRIM(
  LET(
    texto1, REGEXREPLACE(G476,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"),"Marcos Amador")</f>
        <v>Marcos Amador</v>
      </c>
      <c r="U476" s="22" t="str">
        <f t="shared" si="4"/>
        <v>75ce132e-b6d1-4542-be19-8b8ae4cfee4c</v>
      </c>
      <c r="V476" s="24" t="str">
        <f t="shared" si="5"/>
        <v>Teléfono Gama media 4GB</v>
      </c>
    </row>
    <row r="477" ht="15.75" customHeight="1">
      <c r="A477" s="6">
        <v>45594.0</v>
      </c>
      <c r="B477" s="2" t="s">
        <v>50</v>
      </c>
      <c r="C477" s="2" t="s">
        <v>75</v>
      </c>
      <c r="D477" s="7">
        <v>509.58</v>
      </c>
      <c r="E477" s="2">
        <v>3.0</v>
      </c>
      <c r="F477" s="7">
        <v>1528.74</v>
      </c>
      <c r="G477" s="2" t="s">
        <v>1730</v>
      </c>
      <c r="H477" s="2" t="s">
        <v>1731</v>
      </c>
      <c r="I477" s="2" t="s">
        <v>1732</v>
      </c>
      <c r="K477" s="25" t="str">
        <f>IFERROR(__xludf.DUMMYFUNCTION("IF(ISBLANK(A477),
  """",
  IF(ISNUMBER(A477),
    TEXT(A477,""dd/mm/yyyy""),
    IF(
      REGEXMATCH(TRIM(A477),""^\d{1,2}/\d{1,2}/\d{4}$""),
      TRIM(A477),
      IFERROR(
        TEXT(DATEVALUE(SUBSTITUTE(SUBSTITUTE(TRIM(A477),""-"",""/""),""."",""/"&amp;""")),""dd/mm/yyyy""),
        TRIM(A477)
      )
    )
  )
)
"),"29/10/2024")</f>
        <v>29/10/2024</v>
      </c>
      <c r="L477" s="26">
        <v>45594.0</v>
      </c>
      <c r="M477" s="27" t="str">
        <f>IFERROR(__xludf.DUMMYFUNCTION("PROPER(TRIM(
  REGEXREPLACE(
    REGEXREPLACE(
      SUBSTITUTE(SUBSTITUTE(SUBSTITUTE(SUBSTITUTE(SUBSTITUTE(SUBSTITUTE(SUBSTITUTE(SUBSTITUTE(SUBSTITUTE(SUBSTITUTE(SUBSTITUTE(
        B477,""√©"",""é""),""√°"",""á""),""√±"",""ñ""),""√≥"",""ó""),""√â"",""é"&amp;"""),""√Å"",""á""),""√ç"",""í""),""√Ç"",""Í""),""√Â"",""é""),""√≠"",""í""),""√º"",""ú""),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77" s="28" t="str">
        <f>IFERROR(__xludf.DUMMYFUNCTION("SPLIT(
  TRIM(
    SUBSTITUTE(
      SUBSTITUTE(
        SUBSTITUTE(
          SUBSTITUTE(
            C477,
            ""√©"", ""é""
          ),
          ""√±"", ""ñ""
        ),
        ""√°"", ""á""
      ),
      ""√≥"", ""ó""
    )
  ),
  ""-""
)
"),"Tablet")</f>
        <v>Tablet</v>
      </c>
      <c r="O477" s="28" t="str">
        <f>IFERROR(__xludf.DUMMYFUNCTION("""COMPUTED_VALUE"""),"Pro")</f>
        <v>Pro</v>
      </c>
      <c r="P477" s="28" t="str">
        <f>IFERROR(__xludf.DUMMYFUNCTION("""COMPUTED_VALUE"""),"4GB")</f>
        <v>4GB</v>
      </c>
      <c r="Q477" s="29">
        <f t="shared" si="1"/>
        <v>509.58</v>
      </c>
      <c r="R477" s="28">
        <f t="shared" si="2"/>
        <v>3</v>
      </c>
      <c r="S477" s="29">
        <f t="shared" si="3"/>
        <v>1528.74</v>
      </c>
      <c r="T477" s="28" t="str">
        <f>IFERROR(__xludf.DUMMYFUNCTION("PROPER(TRIM(
  LET(
    texto1, REGEXREPLACE(G477,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"),"Rosalia Martínez")</f>
        <v>Rosalia Martínez</v>
      </c>
      <c r="U477" s="28" t="str">
        <f t="shared" si="4"/>
        <v>862a25a8-b572-4c67-85cb-bdd2f7503da7</v>
      </c>
      <c r="V477" s="30" t="str">
        <f t="shared" si="5"/>
        <v>Tablet Pro 4GB</v>
      </c>
    </row>
    <row r="478" ht="15.75" customHeight="1">
      <c r="A478" s="36">
        <v>45393.0</v>
      </c>
      <c r="B478" s="2" t="s">
        <v>16</v>
      </c>
      <c r="C478" s="2" t="s">
        <v>369</v>
      </c>
      <c r="D478" s="7">
        <v>578.14</v>
      </c>
      <c r="E478" s="2">
        <v>5.0</v>
      </c>
      <c r="F478" s="7">
        <v>2890.7</v>
      </c>
      <c r="G478" s="2" t="s">
        <v>1733</v>
      </c>
      <c r="H478" s="2" t="s">
        <v>1734</v>
      </c>
      <c r="I478" s="2" t="s">
        <v>1735</v>
      </c>
      <c r="K478" s="19" t="str">
        <f>IFERROR(__xludf.DUMMYFUNCTION("IF(ISBLANK(A478),
  """",
  IF(ISNUMBER(A478),
    TEXT(A478,""dd/mm/yyyy""),
    IF(
      REGEXMATCH(TRIM(A478),""^\d{1,2}/\d{1,2}/\d{4}$""),
      TRIM(A478),
      IFERROR(
        TEXT(DATEVALUE(SUBSTITUTE(SUBSTITUTE(TRIM(A478),""-"",""/""),""."",""/"&amp;""")),""dd/mm/yyyy""),
        TRIM(A478)
      )
    )
  )
)
"),"11/04/2024")</f>
        <v>11/04/2024</v>
      </c>
      <c r="L478" s="20">
        <v>45393.0</v>
      </c>
      <c r="M478" s="21" t="str">
        <f>IFERROR(__xludf.DUMMYFUNCTION("PROPER(TRIM(
  REGEXREPLACE(
    REGEXREPLACE(
      SUBSTITUTE(SUBSTITUTE(SUBSTITUTE(SUBSTITUTE(SUBSTITUTE(SUBSTITUTE(SUBSTITUTE(SUBSTITUTE(SUBSTITUTE(SUBSTITUTE(SUBSTITUTE(
        B478,""√©"",""é""),""√°"",""á""),""√±"",""ñ""),""√≥"",""ó""),""√â"",""é"&amp;"""),""√Å"",""á""),""√ç"",""í""),""√Ç"",""Í""),""√Â"",""é""),""√≠"",""í""),""√º"",""ú""),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78" s="22" t="str">
        <f>IFERROR(__xludf.DUMMYFUNCTION("SPLIT(
  TRIM(
    SUBSTITUTE(
      SUBSTITUTE(
        SUBSTITUTE(
          SUBSTITUTE(
            C478,
            ""√©"", ""é""
          ),
          ""√±"", ""ñ""
        ),
        ""√°"", ""á""
      ),
      ""√≥"", ""ó""
    )
  ),
  ""-""
)
"),"Tablet")</f>
        <v>Tablet</v>
      </c>
      <c r="O478" s="22" t="str">
        <f>IFERROR(__xludf.DUMMYFUNCTION("""COMPUTED_VALUE"""),"Pro")</f>
        <v>Pro</v>
      </c>
      <c r="P478" s="22" t="str">
        <f>IFERROR(__xludf.DUMMYFUNCTION("""COMPUTED_VALUE"""),"16GB")</f>
        <v>16GB</v>
      </c>
      <c r="Q478" s="23">
        <f t="shared" si="1"/>
        <v>578.14</v>
      </c>
      <c r="R478" s="22">
        <f t="shared" si="2"/>
        <v>5</v>
      </c>
      <c r="S478" s="23">
        <f t="shared" si="3"/>
        <v>2890.7</v>
      </c>
      <c r="T478" s="22" t="str">
        <f>IFERROR(__xludf.DUMMYFUNCTION("PROPER(TRIM(
  LET(
    texto1, REGEXREPLACE(G478,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Verónica Avilés")</f>
        <v>Estela Verónica Avilés</v>
      </c>
      <c r="U478" s="22" t="str">
        <f t="shared" si="4"/>
        <v>77c7a554-42e9-435e-b1af-df86b0f8167f</v>
      </c>
      <c r="V478" s="24" t="str">
        <f t="shared" si="5"/>
        <v>Tablet Pro 16GB</v>
      </c>
    </row>
    <row r="479" ht="15.75" customHeight="1">
      <c r="A479" s="6">
        <v>45610.0</v>
      </c>
      <c r="B479" s="2" t="s">
        <v>27</v>
      </c>
      <c r="C479" s="2" t="s">
        <v>245</v>
      </c>
      <c r="D479" s="7">
        <v>879.78</v>
      </c>
      <c r="E479" s="2">
        <v>1.0</v>
      </c>
      <c r="F479" s="7">
        <v>879.78</v>
      </c>
      <c r="G479" s="2" t="s">
        <v>1736</v>
      </c>
      <c r="H479" s="2" t="s">
        <v>1737</v>
      </c>
      <c r="I479" s="2" t="s">
        <v>1738</v>
      </c>
      <c r="K479" s="25" t="str">
        <f>IFERROR(__xludf.DUMMYFUNCTION("IF(ISBLANK(A479),
  """",
  IF(ISNUMBER(A479),
    TEXT(A479,""dd/mm/yyyy""),
    IF(
      REGEXMATCH(TRIM(A479),""^\d{1,2}/\d{1,2}/\d{4}$""),
      TRIM(A479),
      IFERROR(
        TEXT(DATEVALUE(SUBSTITUTE(SUBSTITUTE(TRIM(A479),""-"",""/""),""."",""/"&amp;""")),""dd/mm/yyyy""),
        TRIM(A479)
      )
    )
  )
)
"),"14/11/2024")</f>
        <v>14/11/2024</v>
      </c>
      <c r="L479" s="26">
        <v>45610.0</v>
      </c>
      <c r="M479" s="27" t="str">
        <f>IFERROR(__xludf.DUMMYFUNCTION("PROPER(TRIM(
  REGEXREPLACE(
    REGEXREPLACE(
      SUBSTITUTE(SUBSTITUTE(SUBSTITUTE(SUBSTITUTE(SUBSTITUTE(SUBSTITUTE(SUBSTITUTE(SUBSTITUTE(SUBSTITUTE(SUBSTITUTE(SUBSTITUTE(
        B479,""√©"",""é""),""√°"",""á""),""√±"",""ñ""),""√≥"",""ó""),""√â"",""é"&amp;"""),""√Å"",""á""),""√ç"",""í""),""√Ç"",""Í""),""√Â"",""é""),""√≠"",""í""),""√º"",""ú""),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79" s="28" t="str">
        <f>IFERROR(__xludf.DUMMYFUNCTION("SPLIT(
  TRIM(
    SUBSTITUTE(
      SUBSTITUTE(
        SUBSTITUTE(
          SUBSTITUTE(
            C479,
            ""√©"", ""é""
          ),
          ""√±"", ""ñ""
        ),
        ""√°"", ""á""
      ),
      ""√≥"", ""ó""
    )
  ),
  ""-""
)
"),"Teléfono")</f>
        <v>Teléfono</v>
      </c>
      <c r="O479" s="28" t="str">
        <f>IFERROR(__xludf.DUMMYFUNCTION("""COMPUTED_VALUE"""),"Gama baja")</f>
        <v>Gama baja</v>
      </c>
      <c r="P479" s="28" t="str">
        <f>IFERROR(__xludf.DUMMYFUNCTION("""COMPUTED_VALUE"""),"32GB")</f>
        <v>32GB</v>
      </c>
      <c r="Q479" s="29">
        <f t="shared" si="1"/>
        <v>879.78</v>
      </c>
      <c r="R479" s="28">
        <f t="shared" si="2"/>
        <v>1</v>
      </c>
      <c r="S479" s="29">
        <f t="shared" si="3"/>
        <v>879.78</v>
      </c>
      <c r="T479" s="28" t="str">
        <f>IFERROR(__xludf.DUMMYFUNCTION("PROPER(TRIM(
  LET(
    texto1, REGEXREPLACE(G479,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"),"Eloy Valles")</f>
        <v>Eloy Valles</v>
      </c>
      <c r="U479" s="28" t="str">
        <f t="shared" si="4"/>
        <v>df469a69-84f1-42dd-80d3-89ef0d15476d</v>
      </c>
      <c r="V479" s="30" t="str">
        <f t="shared" si="5"/>
        <v>Teléfono Gama baja 32GB</v>
      </c>
    </row>
    <row r="480" ht="15.75" customHeight="1">
      <c r="A480" s="6">
        <v>45587.0</v>
      </c>
      <c r="B480" s="2" t="s">
        <v>85</v>
      </c>
      <c r="C480" s="2" t="s">
        <v>75</v>
      </c>
      <c r="D480" s="7">
        <v>205.25</v>
      </c>
      <c r="E480" s="2">
        <v>3.0</v>
      </c>
      <c r="F480" s="7">
        <v>615.75</v>
      </c>
      <c r="G480" s="2" t="s">
        <v>1739</v>
      </c>
      <c r="H480" s="2" t="s">
        <v>1740</v>
      </c>
      <c r="I480" s="2" t="s">
        <v>1741</v>
      </c>
      <c r="K480" s="19" t="str">
        <f>IFERROR(__xludf.DUMMYFUNCTION("IF(ISBLANK(A480),
  """",
  IF(ISNUMBER(A480),
    TEXT(A480,""dd/mm/yyyy""),
    IF(
      REGEXMATCH(TRIM(A480),""^\d{1,2}/\d{1,2}/\d{4}$""),
      TRIM(A480),
      IFERROR(
        TEXT(DATEVALUE(SUBSTITUTE(SUBSTITUTE(TRIM(A480),""-"",""/""),""."",""/"&amp;""")),""dd/mm/yyyy""),
        TRIM(A480)
      )
    )
  )
)
"),"22/10/2024")</f>
        <v>22/10/2024</v>
      </c>
      <c r="L480" s="20">
        <v>45587.0</v>
      </c>
      <c r="M480" s="21" t="str">
        <f>IFERROR(__xludf.DUMMYFUNCTION("PROPER(TRIM(
  REGEXREPLACE(
    REGEXREPLACE(
      SUBSTITUTE(SUBSTITUTE(SUBSTITUTE(SUBSTITUTE(SUBSTITUTE(SUBSTITUTE(SUBSTITUTE(SUBSTITUTE(SUBSTITUTE(SUBSTITUTE(SUBSTITUTE(
        B480,""√©"",""é""),""√°"",""á""),""√±"",""ñ""),""√≥"",""ó""),""√â"",""é"&amp;"""),""√Å"",""á""),""√ç"",""í""),""√Ç"",""Í""),""√Â"",""é""),""√≠"",""í""),""√º"",""ú""),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80" s="22" t="str">
        <f>IFERROR(__xludf.DUMMYFUNCTION("SPLIT(
  TRIM(
    SUBSTITUTE(
      SUBSTITUTE(
        SUBSTITUTE(
          SUBSTITUTE(
            C480,
            ""√©"", ""é""
          ),
          ""√±"", ""ñ""
        ),
        ""√°"", ""á""
      ),
      ""√≥"", ""ó""
    )
  ),
  ""-""
)
"),"Tablet")</f>
        <v>Tablet</v>
      </c>
      <c r="O480" s="22" t="str">
        <f>IFERROR(__xludf.DUMMYFUNCTION("""COMPUTED_VALUE"""),"Pro")</f>
        <v>Pro</v>
      </c>
      <c r="P480" s="22" t="str">
        <f>IFERROR(__xludf.DUMMYFUNCTION("""COMPUTED_VALUE"""),"4GB")</f>
        <v>4GB</v>
      </c>
      <c r="Q480" s="23">
        <f t="shared" si="1"/>
        <v>205.25</v>
      </c>
      <c r="R480" s="22">
        <f t="shared" si="2"/>
        <v>3</v>
      </c>
      <c r="S480" s="23">
        <f t="shared" si="3"/>
        <v>615.75</v>
      </c>
      <c r="T480" s="22" t="str">
        <f>IFERROR(__xludf.DUMMYFUNCTION("PROPER(TRIM(
  LET(
    texto1, REGEXREPLACE(G480,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"),"Juan López")</f>
        <v>Juan López</v>
      </c>
      <c r="U480" s="22" t="str">
        <f t="shared" si="4"/>
        <v>bda4c76c-8205-4def-8d46-9d2d6a40365e</v>
      </c>
      <c r="V480" s="24" t="str">
        <f t="shared" si="5"/>
        <v>Tablet Pro 4GB</v>
      </c>
    </row>
    <row r="481" ht="15.75" customHeight="1">
      <c r="A481" s="6">
        <v>45645.0</v>
      </c>
      <c r="B481" s="2" t="s">
        <v>27</v>
      </c>
      <c r="C481" s="2" t="s">
        <v>65</v>
      </c>
      <c r="D481" s="7">
        <v>2309.76</v>
      </c>
      <c r="E481" s="2">
        <v>5.0</v>
      </c>
      <c r="F481" s="7">
        <v>11548.8</v>
      </c>
      <c r="G481" s="2" t="s">
        <v>1742</v>
      </c>
      <c r="H481" s="2" t="s">
        <v>1743</v>
      </c>
      <c r="I481" s="2" t="s">
        <v>1744</v>
      </c>
      <c r="K481" s="25" t="str">
        <f>IFERROR(__xludf.DUMMYFUNCTION("IF(ISBLANK(A481),
  """",
  IF(ISNUMBER(A481),
    TEXT(A481,""dd/mm/yyyy""),
    IF(
      REGEXMATCH(TRIM(A481),""^\d{1,2}/\d{1,2}/\d{4}$""),
      TRIM(A481),
      IFERROR(
        TEXT(DATEVALUE(SUBSTITUTE(SUBSTITUTE(TRIM(A481),""-"",""/""),""."",""/"&amp;""")),""dd/mm/yyyy""),
        TRIM(A481)
      )
    )
  )
)
"),"19/12/2024")</f>
        <v>19/12/2024</v>
      </c>
      <c r="L481" s="26">
        <v>45645.0</v>
      </c>
      <c r="M481" s="27" t="str">
        <f>IFERROR(__xludf.DUMMYFUNCTION("PROPER(TRIM(
  REGEXREPLACE(
    REGEXREPLACE(
      SUBSTITUTE(SUBSTITUTE(SUBSTITUTE(SUBSTITUTE(SUBSTITUTE(SUBSTITUTE(SUBSTITUTE(SUBSTITUTE(SUBSTITUTE(SUBSTITUTE(SUBSTITUTE(
        B481,""√©"",""é""),""√°"",""á""),""√±"",""ñ""),""√≥"",""ó""),""√â"",""é"&amp;"""),""√Å"",""á""),""√ç"",""í""),""√Ç"",""Í""),""√Â"",""é""),""√≠"",""í""),""√º"",""ú""),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81" s="28" t="str">
        <f>IFERROR(__xludf.DUMMYFUNCTION("SPLIT(
  TRIM(
    SUBSTITUTE(
      SUBSTITUTE(
        SUBSTITUTE(
          SUBSTITUTE(
            C481,
            ""√©"", ""é""
          ),
          ""√±"", ""ñ""
        ),
        ""√°"", ""á""
      ),
      ""√≥"", ""ó""
    )
  ),
  ""-""
)
"),"Auriculares")</f>
        <v>Auriculares</v>
      </c>
      <c r="O481" s="28" t="str">
        <f>IFERROR(__xludf.DUMMYFUNCTION("""COMPUTED_VALUE"""),"Bluetooth")</f>
        <v>Bluetooth</v>
      </c>
      <c r="P481" s="28" t="str">
        <f>IFERROR(__xludf.DUMMYFUNCTION("""COMPUTED_VALUE"""),"16GB")</f>
        <v>16GB</v>
      </c>
      <c r="Q481" s="29">
        <f t="shared" si="1"/>
        <v>2309.76</v>
      </c>
      <c r="R481" s="28">
        <f t="shared" si="2"/>
        <v>5</v>
      </c>
      <c r="S481" s="29">
        <f t="shared" si="3"/>
        <v>11548.8</v>
      </c>
      <c r="T481" s="28" t="str">
        <f>IFERROR(__xludf.DUMMYFUNCTION("PROPER(TRIM(
  LET(
    texto1, REGEXREPLACE(G481,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"),"Julia Baeza")</f>
        <v>Julia Baeza</v>
      </c>
      <c r="U481" s="28" t="str">
        <f t="shared" si="4"/>
        <v>09c37b10-c227-4f88-9c6a-eb146d381382</v>
      </c>
      <c r="V481" s="30" t="str">
        <f t="shared" si="5"/>
        <v>Auriculares Bluetooth 16GB</v>
      </c>
    </row>
    <row r="482" ht="15.75" customHeight="1">
      <c r="A482" s="36">
        <v>45423.0</v>
      </c>
      <c r="B482" s="2" t="s">
        <v>16</v>
      </c>
      <c r="C482" s="2" t="s">
        <v>147</v>
      </c>
      <c r="D482" s="7">
        <v>1540.33</v>
      </c>
      <c r="E482" s="2">
        <v>1.0</v>
      </c>
      <c r="F482" s="7">
        <v>1540.33</v>
      </c>
      <c r="G482" s="2" t="s">
        <v>1746</v>
      </c>
      <c r="H482" s="2" t="s">
        <v>1747</v>
      </c>
      <c r="I482" s="2" t="s">
        <v>1748</v>
      </c>
      <c r="K482" s="19" t="str">
        <f>IFERROR(__xludf.DUMMYFUNCTION("IF(ISBLANK(A482),
  """",
  IF(ISNUMBER(A482),
    TEXT(A482,""dd/mm/yyyy""),
    IF(
      REGEXMATCH(TRIM(A482),""^\d{1,2}/\d{1,2}/\d{4}$""),
      TRIM(A482),
      IFERROR(
        TEXT(DATEVALUE(SUBSTITUTE(SUBSTITUTE(TRIM(A482),""-"",""/""),""."",""/"&amp;""")),""dd/mm/yyyy""),
        TRIM(A482)
      )
    )
  )
)
"),"11/05/2024")</f>
        <v>11/05/2024</v>
      </c>
      <c r="L482" s="20">
        <v>45423.0</v>
      </c>
      <c r="M482" s="21" t="str">
        <f>IFERROR(__xludf.DUMMYFUNCTION("PROPER(TRIM(
  REGEXREPLACE(
    REGEXREPLACE(
      SUBSTITUTE(SUBSTITUTE(SUBSTITUTE(SUBSTITUTE(SUBSTITUTE(SUBSTITUTE(SUBSTITUTE(SUBSTITUTE(SUBSTITUTE(SUBSTITUTE(SUBSTITUTE(
        B482,""√©"",""é""),""√°"",""á""),""√±"",""ñ""),""√≥"",""ó""),""√â"",""é"&amp;"""),""√Å"",""á""),""√ç"",""í""),""√Ç"",""Í""),""√Â"",""é""),""√≠"",""í""),""√º"",""ú""),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82" s="22" t="str">
        <f>IFERROR(__xludf.DUMMYFUNCTION("SPLIT(
  TRIM(
    SUBSTITUTE(
      SUBSTITUTE(
        SUBSTITUTE(
          SUBSTITUTE(
            C482,
            ""√©"", ""é""
          ),
          ""√±"", ""ñ""
        ),
        ""√°"", ""á""
      ),
      ""√≥"", ""ó""
    )
  ),
  ""-""
)
"),"Laptop")</f>
        <v>Laptop</v>
      </c>
      <c r="O482" s="22" t="str">
        <f>IFERROR(__xludf.DUMMYFUNCTION("""COMPUTED_VALUE"""),"Oficina")</f>
        <v>Oficina</v>
      </c>
      <c r="P482" s="22" t="str">
        <f>IFERROR(__xludf.DUMMYFUNCTION("""COMPUTED_VALUE"""),"16GB")</f>
        <v>16GB</v>
      </c>
      <c r="Q482" s="23">
        <f t="shared" si="1"/>
        <v>1540.33</v>
      </c>
      <c r="R482" s="22">
        <f t="shared" si="2"/>
        <v>1</v>
      </c>
      <c r="S482" s="23">
        <f t="shared" si="3"/>
        <v>1540.33</v>
      </c>
      <c r="T482" s="22" t="str">
        <f>IFERROR(__xludf.DUMMYFUNCTION("PROPER(TRIM(
  LET(
    texto1, REGEXREPLACE(G482,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"),"Serafín Dulce María Vargas")</f>
        <v>Serafín Dulce María Vargas</v>
      </c>
      <c r="U482" s="22" t="str">
        <f t="shared" si="4"/>
        <v>56e3bed1-3ae7-459a-95b0-7637859d3f76</v>
      </c>
      <c r="V482" s="24" t="str">
        <f t="shared" si="5"/>
        <v>Laptop Oficina 16GB</v>
      </c>
    </row>
    <row r="483" ht="15.75" customHeight="1">
      <c r="A483" s="36">
        <v>45362.0</v>
      </c>
      <c r="B483" s="2" t="s">
        <v>38</v>
      </c>
      <c r="C483" s="2" t="s">
        <v>17</v>
      </c>
      <c r="D483" s="7">
        <v>1018.4</v>
      </c>
      <c r="E483" s="2">
        <v>5.0</v>
      </c>
      <c r="F483" s="7">
        <v>5092.0</v>
      </c>
      <c r="G483" s="2" t="s">
        <v>1749</v>
      </c>
      <c r="H483" s="2" t="s">
        <v>1750</v>
      </c>
      <c r="I483" s="2" t="s">
        <v>1751</v>
      </c>
      <c r="K483" s="25" t="str">
        <f>IFERROR(__xludf.DUMMYFUNCTION("IF(ISBLANK(A483),
  """",
  IF(ISNUMBER(A483),
    TEXT(A483,""dd/mm/yyyy""),
    IF(
      REGEXMATCH(TRIM(A483),""^\d{1,2}/\d{1,2}/\d{4}$""),
      TRIM(A483),
      IFERROR(
        TEXT(DATEVALUE(SUBSTITUTE(SUBSTITUTE(TRIM(A483),""-"",""/""),""."",""/"&amp;""")),""dd/mm/yyyy""),
        TRIM(A483)
      )
    )
  )
)
"),"11/03/2024")</f>
        <v>11/03/2024</v>
      </c>
      <c r="L483" s="26">
        <v>45362.0</v>
      </c>
      <c r="M483" s="27" t="str">
        <f>IFERROR(__xludf.DUMMYFUNCTION("PROPER(TRIM(
  REGEXREPLACE(
    REGEXREPLACE(
      SUBSTITUTE(SUBSTITUTE(SUBSTITUTE(SUBSTITUTE(SUBSTITUTE(SUBSTITUTE(SUBSTITUTE(SUBSTITUTE(SUBSTITUTE(SUBSTITUTE(SUBSTITUTE(
        B483,""√©"",""é""),""√°"",""á""),""√±"",""ñ""),""√≥"",""ó""),""√â"",""é"&amp;"""),""√Å"",""á""),""√ç"",""í""),""√Ç"",""Í""),""√Â"",""é""),""√≠"",""í""),""√º"",""ú""),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83" s="28" t="str">
        <f>IFERROR(__xludf.DUMMYFUNCTION("SPLIT(
  TRIM(
    SUBSTITUTE(
      SUBSTITUTE(
        SUBSTITUTE(
          SUBSTITUTE(
            C483,
            ""√©"", ""é""
          ),
          ""√±"", ""ñ""
        ),
        ""√°"", ""á""
      ),
      ""√≥"", ""ó""
    )
  ),
  ""-""
)
"),"Auriculares")</f>
        <v>Auriculares</v>
      </c>
      <c r="O483" s="28" t="str">
        <f>IFERROR(__xludf.DUMMYFUNCTION("""COMPUTED_VALUE"""),"Bluetooth")</f>
        <v>Bluetooth</v>
      </c>
      <c r="P483" s="28" t="str">
        <f>IFERROR(__xludf.DUMMYFUNCTION("""COMPUTED_VALUE"""),"8GB")</f>
        <v>8GB</v>
      </c>
      <c r="Q483" s="29">
        <f t="shared" si="1"/>
        <v>1018.4</v>
      </c>
      <c r="R483" s="28">
        <f t="shared" si="2"/>
        <v>5</v>
      </c>
      <c r="S483" s="29">
        <f t="shared" si="3"/>
        <v>5092</v>
      </c>
      <c r="T483" s="28" t="str">
        <f>IFERROR(__xludf.DUMMYFUNCTION("PROPER(TRIM(
  LET(
    texto1, REGEXREPLACE(G483,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"),"Citlali Aguayo")</f>
        <v>Citlali Aguayo</v>
      </c>
      <c r="U483" s="28" t="str">
        <f t="shared" si="4"/>
        <v>884ce8a6-a2df-426e-b152-a3a8cca48ac2</v>
      </c>
      <c r="V483" s="30" t="str">
        <f t="shared" si="5"/>
        <v>Auriculares Bluetooth 8GB</v>
      </c>
    </row>
    <row r="484" ht="15.75" customHeight="1">
      <c r="A484" s="36">
        <v>45302.0</v>
      </c>
      <c r="B484" s="2" t="s">
        <v>27</v>
      </c>
      <c r="C484" s="2" t="s">
        <v>807</v>
      </c>
      <c r="D484" s="7">
        <v>1058.81</v>
      </c>
      <c r="E484" s="2">
        <v>3.0</v>
      </c>
      <c r="F484" s="7">
        <v>3176.43</v>
      </c>
      <c r="G484" s="2" t="s">
        <v>1752</v>
      </c>
      <c r="H484" s="2" t="s">
        <v>1753</v>
      </c>
      <c r="I484" s="2" t="s">
        <v>1754</v>
      </c>
      <c r="K484" s="19" t="str">
        <f>IFERROR(__xludf.DUMMYFUNCTION("IF(ISBLANK(A484),
  """",
  IF(ISNUMBER(A484),
    TEXT(A484,""dd/mm/yyyy""),
    IF(
      REGEXMATCH(TRIM(A484),""^\d{1,2}/\d{1,2}/\d{4}$""),
      TRIM(A484),
      IFERROR(
        TEXT(DATEVALUE(SUBSTITUTE(SUBSTITUTE(TRIM(A484),""-"",""/""),""."",""/"&amp;""")),""dd/mm/yyyy""),
        TRIM(A484)
      )
    )
  )
)
"),"11/01/2024")</f>
        <v>11/01/2024</v>
      </c>
      <c r="L484" s="20">
        <v>45302.0</v>
      </c>
      <c r="M484" s="21" t="str">
        <f>IFERROR(__xludf.DUMMYFUNCTION("PROPER(TRIM(
  REGEXREPLACE(
    REGEXREPLACE(
      SUBSTITUTE(SUBSTITUTE(SUBSTITUTE(SUBSTITUTE(SUBSTITUTE(SUBSTITUTE(SUBSTITUTE(SUBSTITUTE(SUBSTITUTE(SUBSTITUTE(SUBSTITUTE(
        B484,""√©"",""é""),""√°"",""á""),""√±"",""ñ""),""√≥"",""ó""),""√â"",""é"&amp;"""),""√Å"",""á""),""√ç"",""í""),""√Ç"",""Í""),""√Â"",""é""),""√≠"",""í""),""√º"",""ú""),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84" s="22" t="str">
        <f>IFERROR(__xludf.DUMMYFUNCTION("SPLIT(
  TRIM(
    SUBSTITUTE(
      SUBSTITUTE(
        SUBSTITUTE(
          SUBSTITUTE(
            C484,
            ""√©"", ""é""
          ),
          ""√±"", ""ñ""
        ),
        ""√°"", ""á""
      ),
      ""√≥"", ""ó""
    )
  ),
  ""-""
)
"),"Auriculares")</f>
        <v>Auriculares</v>
      </c>
      <c r="O484" s="22" t="str">
        <f>IFERROR(__xludf.DUMMYFUNCTION("""COMPUTED_VALUE"""),"Con cable")</f>
        <v>Con cable</v>
      </c>
      <c r="P484" s="22" t="str">
        <f>IFERROR(__xludf.DUMMYFUNCTION("""COMPUTED_VALUE"""),"4GB")</f>
        <v>4GB</v>
      </c>
      <c r="Q484" s="23">
        <f t="shared" si="1"/>
        <v>1058.81</v>
      </c>
      <c r="R484" s="22">
        <f t="shared" si="2"/>
        <v>3</v>
      </c>
      <c r="S484" s="23">
        <f t="shared" si="3"/>
        <v>3176.43</v>
      </c>
      <c r="T484" s="22" t="str">
        <f>IFERROR(__xludf.DUMMYFUNCTION("PROPER(TRIM(
  LET(
    texto1, REGEXREPLACE(G484,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"),"Frida Patiño")</f>
        <v>Frida Patiño</v>
      </c>
      <c r="U484" s="22" t="str">
        <f t="shared" si="4"/>
        <v>5ea8d6a3-3c14-4c58-91c5-b2ce7b7b435a</v>
      </c>
      <c r="V484" s="24" t="str">
        <f t="shared" si="5"/>
        <v>Auriculares Con cable 4GB</v>
      </c>
    </row>
    <row r="485" ht="15.75" customHeight="1">
      <c r="A485" s="6">
        <v>45626.0</v>
      </c>
      <c r="B485" s="2" t="s">
        <v>27</v>
      </c>
      <c r="C485" s="2" t="s">
        <v>176</v>
      </c>
      <c r="D485" s="7">
        <v>890.66</v>
      </c>
      <c r="E485" s="2">
        <v>1.0</v>
      </c>
      <c r="F485" s="7">
        <v>890.66</v>
      </c>
      <c r="G485" s="2" t="s">
        <v>1755</v>
      </c>
      <c r="H485" s="2" t="s">
        <v>1756</v>
      </c>
      <c r="I485" s="2" t="s">
        <v>1757</v>
      </c>
      <c r="K485" s="25" t="str">
        <f>IFERROR(__xludf.DUMMYFUNCTION("IF(ISBLANK(A485),
  """",
  IF(ISNUMBER(A485),
    TEXT(A485,""dd/mm/yyyy""),
    IF(
      REGEXMATCH(TRIM(A485),""^\d{1,2}/\d{1,2}/\d{4}$""),
      TRIM(A485),
      IFERROR(
        TEXT(DATEVALUE(SUBSTITUTE(SUBSTITUTE(TRIM(A485),""-"",""/""),""."",""/"&amp;""")),""dd/mm/yyyy""),
        TRIM(A485)
      )
    )
  )
)
"),"30/11/2024")</f>
        <v>30/11/2024</v>
      </c>
      <c r="L485" s="26">
        <v>45626.0</v>
      </c>
      <c r="M485" s="27" t="str">
        <f>IFERROR(__xludf.DUMMYFUNCTION("PROPER(TRIM(
  REGEXREPLACE(
    REGEXREPLACE(
      SUBSTITUTE(SUBSTITUTE(SUBSTITUTE(SUBSTITUTE(SUBSTITUTE(SUBSTITUTE(SUBSTITUTE(SUBSTITUTE(SUBSTITUTE(SUBSTITUTE(SUBSTITUTE(
        B485,""√©"",""é""),""√°"",""á""),""√±"",""ñ""),""√≥"",""ó""),""√â"",""é"&amp;"""),""√Å"",""á""),""√ç"",""í""),""√Ç"",""Í""),""√Â"",""é""),""√≠"",""í""),""√º"",""ú""),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85" s="28" t="str">
        <f>IFERROR(__xludf.DUMMYFUNCTION("SPLIT(
  TRIM(
    SUBSTITUTE(
      SUBSTITUTE(
        SUBSTITUTE(
          SUBSTITUTE(
            C485,
            ""√©"", ""é""
          ),
          ""√±"", ""ñ""
        ),
        ""√°"", ""á""
      ),
      ""√≥"", ""ó""
    )
  ),
  ""-""
)
"),"Auriculares")</f>
        <v>Auriculares</v>
      </c>
      <c r="O485" s="28" t="str">
        <f>IFERROR(__xludf.DUMMYFUNCTION("""COMPUTED_VALUE"""),"Con cable")</f>
        <v>Con cable</v>
      </c>
      <c r="P485" s="28" t="str">
        <f>IFERROR(__xludf.DUMMYFUNCTION("""COMPUTED_VALUE"""),"8GB")</f>
        <v>8GB</v>
      </c>
      <c r="Q485" s="29">
        <f t="shared" si="1"/>
        <v>890.66</v>
      </c>
      <c r="R485" s="28">
        <f t="shared" si="2"/>
        <v>1</v>
      </c>
      <c r="S485" s="29">
        <f t="shared" si="3"/>
        <v>890.66</v>
      </c>
      <c r="T485" s="28" t="str">
        <f>IFERROR(__xludf.DUMMYFUNCTION("PROPER(TRIM(
  LET(
    texto1, REGEXREPLACE(G485,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"),"Lucía Irma Zñiga")</f>
        <v>Lucía Irma Zñiga</v>
      </c>
      <c r="U485" s="28" t="str">
        <f t="shared" si="4"/>
        <v>03e4dd2e-3e51-4d0d-a880-eb30ad369498</v>
      </c>
      <c r="V485" s="30" t="str">
        <f t="shared" si="5"/>
        <v>Auriculares Con cable 8GB</v>
      </c>
    </row>
    <row r="486" ht="15.75" customHeight="1">
      <c r="A486" s="6">
        <v>45622.0</v>
      </c>
      <c r="B486" s="2" t="s">
        <v>16</v>
      </c>
      <c r="C486" s="2" t="s">
        <v>162</v>
      </c>
      <c r="D486" s="7">
        <v>252.24</v>
      </c>
      <c r="E486" s="2">
        <v>5.0</v>
      </c>
      <c r="F486" s="7">
        <v>1261.2</v>
      </c>
      <c r="G486" s="2" t="s">
        <v>1758</v>
      </c>
      <c r="H486" s="2" t="s">
        <v>1759</v>
      </c>
      <c r="I486" s="2" t="s">
        <v>1760</v>
      </c>
      <c r="K486" s="19" t="str">
        <f>IFERROR(__xludf.DUMMYFUNCTION("IF(ISBLANK(A486),
  """",
  IF(ISNUMBER(A486),
    TEXT(A486,""dd/mm/yyyy""),
    IF(
      REGEXMATCH(TRIM(A486),""^\d{1,2}/\d{1,2}/\d{4}$""),
      TRIM(A486),
      IFERROR(
        TEXT(DATEVALUE(SUBSTITUTE(SUBSTITUTE(TRIM(A486),""-"",""/""),""."",""/"&amp;""")),""dd/mm/yyyy""),
        TRIM(A486)
      )
    )
  )
)
"),"26/11/2024")</f>
        <v>26/11/2024</v>
      </c>
      <c r="L486" s="20">
        <v>45622.0</v>
      </c>
      <c r="M486" s="21" t="str">
        <f>IFERROR(__xludf.DUMMYFUNCTION("PROPER(TRIM(
  REGEXREPLACE(
    REGEXREPLACE(
      SUBSTITUTE(SUBSTITUTE(SUBSTITUTE(SUBSTITUTE(SUBSTITUTE(SUBSTITUTE(SUBSTITUTE(SUBSTITUTE(SUBSTITUTE(SUBSTITUTE(SUBSTITUTE(
        B486,""√©"",""é""),""√°"",""á""),""√±"",""ñ""),""√≥"",""ó""),""√â"",""é"&amp;"""),""√Å"",""á""),""√ç"",""í""),""√Ç"",""Í""),""√Â"",""é""),""√≠"",""í""),""√º"",""ú""),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86" s="22" t="str">
        <f>IFERROR(__xludf.DUMMYFUNCTION("SPLIT(
  TRIM(
    SUBSTITUTE(
      SUBSTITUTE(
        SUBSTITUTE(
          SUBSTITUTE(
            C486,
            ""√©"", ""é""
          ),
          ""√±"", ""ñ""
        ),
        ""√°"", ""á""
      ),
      ""√≥"", ""ó""
    )
  ),
  ""-""
)
"),"Teléfono")</f>
        <v>Teléfono</v>
      </c>
      <c r="O486" s="22" t="str">
        <f>IFERROR(__xludf.DUMMYFUNCTION("""COMPUTED_VALUE"""),"Gama alta")</f>
        <v>Gama alta</v>
      </c>
      <c r="P486" s="22" t="str">
        <f>IFERROR(__xludf.DUMMYFUNCTION("""COMPUTED_VALUE"""),"16GB")</f>
        <v>16GB</v>
      </c>
      <c r="Q486" s="23">
        <f t="shared" si="1"/>
        <v>252.24</v>
      </c>
      <c r="R486" s="22">
        <f t="shared" si="2"/>
        <v>5</v>
      </c>
      <c r="S486" s="23">
        <f t="shared" si="3"/>
        <v>1261.2</v>
      </c>
      <c r="T486" s="22" t="str">
        <f>IFERROR(__xludf.DUMMYFUNCTION("PROPER(TRIM(
  LET(
    texto1, REGEXREPLACE(G486,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"),"Karla Amelia Garrido Zedillo")</f>
        <v>Karla Amelia Garrido Zedillo</v>
      </c>
      <c r="U486" s="22" t="str">
        <f t="shared" si="4"/>
        <v>5d45490d-e212-40da-9db3-7fe81d466e5d</v>
      </c>
      <c r="V486" s="24" t="str">
        <f t="shared" si="5"/>
        <v>Teléfono Gama alta 16GB</v>
      </c>
    </row>
    <row r="487" ht="15.75" customHeight="1">
      <c r="A487" s="36">
        <v>45303.0</v>
      </c>
      <c r="B487" s="2" t="s">
        <v>101</v>
      </c>
      <c r="C487" s="2" t="s">
        <v>311</v>
      </c>
      <c r="D487" s="7">
        <v>1705.74</v>
      </c>
      <c r="E487" s="2">
        <v>4.0</v>
      </c>
      <c r="F487" s="7">
        <v>6822.96</v>
      </c>
      <c r="G487" s="2" t="s">
        <v>1761</v>
      </c>
      <c r="H487" s="2" t="s">
        <v>1762</v>
      </c>
      <c r="I487" s="2" t="s">
        <v>1763</v>
      </c>
      <c r="K487" s="25" t="str">
        <f>IFERROR(__xludf.DUMMYFUNCTION("IF(ISBLANK(A487),
  """",
  IF(ISNUMBER(A487),
    TEXT(A487,""dd/mm/yyyy""),
    IF(
      REGEXMATCH(TRIM(A487),""^\d{1,2}/\d{1,2}/\d{4}$""),
      TRIM(A487),
      IFERROR(
        TEXT(DATEVALUE(SUBSTITUTE(SUBSTITUTE(TRIM(A487),""-"",""/""),""."",""/"&amp;""")),""dd/mm/yyyy""),
        TRIM(A487)
      )
    )
  )
)
"),"12/01/2024")</f>
        <v>12/01/2024</v>
      </c>
      <c r="L487" s="26">
        <v>45303.0</v>
      </c>
      <c r="M487" s="27" t="str">
        <f>IFERROR(__xludf.DUMMYFUNCTION("PROPER(TRIM(
  REGEXREPLACE(
    REGEXREPLACE(
      SUBSTITUTE(SUBSTITUTE(SUBSTITUTE(SUBSTITUTE(SUBSTITUTE(SUBSTITUTE(SUBSTITUTE(SUBSTITUTE(SUBSTITUTE(SUBSTITUTE(SUBSTITUTE(
        B487,""√©"",""é""),""√°"",""á""),""√±"",""ñ""),""√≥"",""ó""),""√â"",""é"&amp;"""),""√Å"",""á""),""√ç"",""í""),""√Ç"",""Í""),""√Â"",""é""),""√≠"",""í""),""√º"",""ú""),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87" s="28" t="str">
        <f>IFERROR(__xludf.DUMMYFUNCTION("SPLIT(
  TRIM(
    SUBSTITUTE(
      SUBSTITUTE(
        SUBSTITUTE(
          SUBSTITUTE(
            C487,
            ""√©"", ""é""
          ),
          ""√±"", ""ñ""
        ),
        ""√°"", ""á""
      ),
      ""√≥"", ""ó""
    )
  ),
  ""-""
)
"),"Laptop")</f>
        <v>Laptop</v>
      </c>
      <c r="O487" s="28" t="str">
        <f>IFERROR(__xludf.DUMMYFUNCTION("""COMPUTED_VALUE"""),"Oficina")</f>
        <v>Oficina</v>
      </c>
      <c r="P487" s="28" t="str">
        <f>IFERROR(__xludf.DUMMYFUNCTION("""COMPUTED_VALUE"""),"4GB")</f>
        <v>4GB</v>
      </c>
      <c r="Q487" s="29">
        <f t="shared" si="1"/>
        <v>1705.74</v>
      </c>
      <c r="R487" s="28">
        <f t="shared" si="2"/>
        <v>4</v>
      </c>
      <c r="S487" s="29">
        <f t="shared" si="3"/>
        <v>6822.96</v>
      </c>
      <c r="T487" s="28" t="str">
        <f>IFERROR(__xludf.DUMMYFUNCTION("PROPER(TRIM(
  LET(
    texto1, REGEXREPLACE(G487,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"),"Wendolin Vallejo Bueno")</f>
        <v>Wendolin Vallejo Bueno</v>
      </c>
      <c r="U487" s="28" t="str">
        <f t="shared" si="4"/>
        <v>47707a3f-9323-4d55-944e-bc1bd0981b5d</v>
      </c>
      <c r="V487" s="30" t="str">
        <f t="shared" si="5"/>
        <v>Laptop Oficina 4GB</v>
      </c>
    </row>
    <row r="488" ht="15.75" customHeight="1">
      <c r="A488" s="6">
        <v>45580.0</v>
      </c>
      <c r="B488" s="2" t="s">
        <v>85</v>
      </c>
      <c r="C488" s="2" t="s">
        <v>65</v>
      </c>
      <c r="D488" s="7">
        <v>2289.42</v>
      </c>
      <c r="E488" s="2">
        <v>4.0</v>
      </c>
      <c r="F488" s="7">
        <v>9157.68</v>
      </c>
      <c r="G488" s="2" t="s">
        <v>1764</v>
      </c>
      <c r="H488" s="2" t="s">
        <v>1765</v>
      </c>
      <c r="I488" s="2" t="s">
        <v>1766</v>
      </c>
      <c r="K488" s="19" t="str">
        <f>IFERROR(__xludf.DUMMYFUNCTION("IF(ISBLANK(A488),
  """",
  IF(ISNUMBER(A488),
    TEXT(A488,""dd/mm/yyyy""),
    IF(
      REGEXMATCH(TRIM(A488),""^\d{1,2}/\d{1,2}/\d{4}$""),
      TRIM(A488),
      IFERROR(
        TEXT(DATEVALUE(SUBSTITUTE(SUBSTITUTE(TRIM(A488),""-"",""/""),""."",""/"&amp;""")),""dd/mm/yyyy""),
        TRIM(A488)
      )
    )
  )
)
"),"15/10/2024")</f>
        <v>15/10/2024</v>
      </c>
      <c r="L488" s="20">
        <v>45580.0</v>
      </c>
      <c r="M488" s="21" t="str">
        <f>IFERROR(__xludf.DUMMYFUNCTION("PROPER(TRIM(
  REGEXREPLACE(
    REGEXREPLACE(
      SUBSTITUTE(SUBSTITUTE(SUBSTITUTE(SUBSTITUTE(SUBSTITUTE(SUBSTITUTE(SUBSTITUTE(SUBSTITUTE(SUBSTITUTE(SUBSTITUTE(SUBSTITUTE(
        B488,""√©"",""é""),""√°"",""á""),""√±"",""ñ""),""√≥"",""ó""),""√â"",""é"&amp;"""),""√Å"",""á""),""√ç"",""í""),""√Ç"",""Í""),""√Â"",""é""),""√≠"",""í""),""√º"",""ú""),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88" s="22" t="str">
        <f>IFERROR(__xludf.DUMMYFUNCTION("SPLIT(
  TRIM(
    SUBSTITUTE(
      SUBSTITUTE(
        SUBSTITUTE(
          SUBSTITUTE(
            C488,
            ""√©"", ""é""
          ),
          ""√±"", ""ñ""
        ),
        ""√°"", ""á""
      ),
      ""√≥"", ""ó""
    )
  ),
  ""-""
)
"),"Auriculares")</f>
        <v>Auriculares</v>
      </c>
      <c r="O488" s="22" t="str">
        <f>IFERROR(__xludf.DUMMYFUNCTION("""COMPUTED_VALUE"""),"Bluetooth")</f>
        <v>Bluetooth</v>
      </c>
      <c r="P488" s="22" t="str">
        <f>IFERROR(__xludf.DUMMYFUNCTION("""COMPUTED_VALUE"""),"16GB")</f>
        <v>16GB</v>
      </c>
      <c r="Q488" s="23">
        <f t="shared" si="1"/>
        <v>2289.42</v>
      </c>
      <c r="R488" s="22">
        <f t="shared" si="2"/>
        <v>4</v>
      </c>
      <c r="S488" s="23">
        <f t="shared" si="3"/>
        <v>9157.68</v>
      </c>
      <c r="T488" s="22" t="str">
        <f>IFERROR(__xludf.DUMMYFUNCTION("PROPER(TRIM(
  LET(
    texto1, REGEXREPLACE(G488,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"),"Jorge Seplveda")</f>
        <v>Jorge Seplveda</v>
      </c>
      <c r="U488" s="22" t="str">
        <f t="shared" si="4"/>
        <v>44eb6606-bfe9-426e-8e4f-c7683d27a64a</v>
      </c>
      <c r="V488" s="24" t="str">
        <f t="shared" si="5"/>
        <v>Auriculares Bluetooth 16GB</v>
      </c>
    </row>
    <row r="489" ht="15.75" customHeight="1">
      <c r="A489" s="6">
        <v>45642.0</v>
      </c>
      <c r="B489" s="2" t="s">
        <v>85</v>
      </c>
      <c r="C489" s="2" t="s">
        <v>181</v>
      </c>
      <c r="D489" s="7">
        <v>2281.01</v>
      </c>
      <c r="E489" s="2">
        <v>4.0</v>
      </c>
      <c r="F489" s="7">
        <v>9124.04</v>
      </c>
      <c r="G489" s="2" t="s">
        <v>1767</v>
      </c>
      <c r="H489" s="2" t="s">
        <v>1768</v>
      </c>
      <c r="I489" s="2" t="s">
        <v>1769</v>
      </c>
      <c r="K489" s="25" t="str">
        <f>IFERROR(__xludf.DUMMYFUNCTION("IF(ISBLANK(A489),
  """",
  IF(ISNUMBER(A489),
    TEXT(A489,""dd/mm/yyyy""),
    IF(
      REGEXMATCH(TRIM(A489),""^\d{1,2}/\d{1,2}/\d{4}$""),
      TRIM(A489),
      IFERROR(
        TEXT(DATEVALUE(SUBSTITUTE(SUBSTITUTE(TRIM(A489),""-"",""/""),""."",""/"&amp;""")),""dd/mm/yyyy""),
        TRIM(A489)
      )
    )
  )
)
"),"16/12/2024")</f>
        <v>16/12/2024</v>
      </c>
      <c r="L489" s="26">
        <v>45642.0</v>
      </c>
      <c r="M489" s="27" t="str">
        <f>IFERROR(__xludf.DUMMYFUNCTION("PROPER(TRIM(
  REGEXREPLACE(
    REGEXREPLACE(
      SUBSTITUTE(SUBSTITUTE(SUBSTITUTE(SUBSTITUTE(SUBSTITUTE(SUBSTITUTE(SUBSTITUTE(SUBSTITUTE(SUBSTITUTE(SUBSTITUTE(SUBSTITUTE(
        B489,""√©"",""é""),""√°"",""á""),""√±"",""ñ""),""√≥"",""ó""),""√â"",""é"&amp;"""),""√Å"",""á""),""√ç"",""í""),""√Ç"",""Í""),""√Â"",""é""),""√≠"",""í""),""√º"",""ú""),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89" s="28" t="str">
        <f>IFERROR(__xludf.DUMMYFUNCTION("SPLIT(
  TRIM(
    SUBSTITUTE(
      SUBSTITUTE(
        SUBSTITUTE(
          SUBSTITUTE(
            C489,
            ""√©"", ""é""
          ),
          ""√±"", ""ñ""
        ),
        ""√°"", ""á""
      ),
      ""√≥"", ""ó""
    )
  ),
  ""-""
)
"),"Laptop")</f>
        <v>Laptop</v>
      </c>
      <c r="O489" s="28" t="str">
        <f>IFERROR(__xludf.DUMMYFUNCTION("""COMPUTED_VALUE"""),"Ultraliviana")</f>
        <v>Ultraliviana</v>
      </c>
      <c r="P489" s="28" t="str">
        <f>IFERROR(__xludf.DUMMYFUNCTION("""COMPUTED_VALUE"""),"4GB")</f>
        <v>4GB</v>
      </c>
      <c r="Q489" s="29">
        <f t="shared" si="1"/>
        <v>2281.01</v>
      </c>
      <c r="R489" s="28">
        <f t="shared" si="2"/>
        <v>4</v>
      </c>
      <c r="S489" s="29">
        <f t="shared" si="3"/>
        <v>9124.04</v>
      </c>
      <c r="T489" s="28" t="str">
        <f>IFERROR(__xludf.DUMMYFUNCTION("PROPER(TRIM(
  LET(
    texto1, REGEXREPLACE(G489,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"),"Isabela Cortez")</f>
        <v>Isabela Cortez</v>
      </c>
      <c r="U489" s="28" t="str">
        <f t="shared" si="4"/>
        <v>18b6e7f0-7f1c-4914-ab72-945d8d766ba6</v>
      </c>
      <c r="V489" s="30" t="str">
        <f t="shared" si="5"/>
        <v>Laptop Ultraliviana 4GB</v>
      </c>
    </row>
    <row r="490" ht="15.75" customHeight="1">
      <c r="A490" s="6">
        <v>45582.0</v>
      </c>
      <c r="B490" s="2" t="s">
        <v>50</v>
      </c>
      <c r="C490" s="2" t="s">
        <v>70</v>
      </c>
      <c r="D490" s="7">
        <v>1093.69</v>
      </c>
      <c r="E490" s="2">
        <v>1.0</v>
      </c>
      <c r="F490" s="7">
        <v>1093.69</v>
      </c>
      <c r="G490" s="2" t="s">
        <v>1770</v>
      </c>
      <c r="H490" s="2" t="s">
        <v>1771</v>
      </c>
      <c r="I490" s="2" t="s">
        <v>1772</v>
      </c>
      <c r="K490" s="19" t="str">
        <f>IFERROR(__xludf.DUMMYFUNCTION("IF(ISBLANK(A490),
  """",
  IF(ISNUMBER(A490),
    TEXT(A490,""dd/mm/yyyy""),
    IF(
      REGEXMATCH(TRIM(A490),""^\d{1,2}/\d{1,2}/\d{4}$""),
      TRIM(A490),
      IFERROR(
        TEXT(DATEVALUE(SUBSTITUTE(SUBSTITUTE(TRIM(A490),""-"",""/""),""."",""/"&amp;""")),""dd/mm/yyyy""),
        TRIM(A490)
      )
    )
  )
)
"),"17/10/2024")</f>
        <v>17/10/2024</v>
      </c>
      <c r="L490" s="20">
        <v>45582.0</v>
      </c>
      <c r="M490" s="21" t="str">
        <f>IFERROR(__xludf.DUMMYFUNCTION("PROPER(TRIM(
  REGEXREPLACE(
    REGEXREPLACE(
      SUBSTITUTE(SUBSTITUTE(SUBSTITUTE(SUBSTITUTE(SUBSTITUTE(SUBSTITUTE(SUBSTITUTE(SUBSTITUTE(SUBSTITUTE(SUBSTITUTE(SUBSTITUTE(
        B490,""√©"",""é""),""√°"",""á""),""√±"",""ñ""),""√≥"",""ó""),""√â"",""é"&amp;"""),""√Å"",""á""),""√ç"",""í""),""√Ç"",""Í""),""√Â"",""é""),""√≠"",""í""),""√º"",""ú""),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90" s="22" t="str">
        <f>IFERROR(__xludf.DUMMYFUNCTION("SPLIT(
  TRIM(
    SUBSTITUTE(
      SUBSTITUTE(
        SUBSTITUTE(
          SUBSTITUTE(
            C490,
            ""√©"", ""é""
          ),
          ""√±"", ""ñ""
        ),
        ""√°"", ""á""
      ),
      ""√≥"", ""ó""
    )
  ),
  ""-""
)
"),"Auriculares")</f>
        <v>Auriculares</v>
      </c>
      <c r="O490" s="22" t="str">
        <f>IFERROR(__xludf.DUMMYFUNCTION("""COMPUTED_VALUE"""),"Con cable")</f>
        <v>Con cable</v>
      </c>
      <c r="P490" s="22" t="str">
        <f>IFERROR(__xludf.DUMMYFUNCTION("""COMPUTED_VALUE"""),"16GB")</f>
        <v>16GB</v>
      </c>
      <c r="Q490" s="23">
        <f t="shared" si="1"/>
        <v>1093.69</v>
      </c>
      <c r="R490" s="22">
        <f t="shared" si="2"/>
        <v>1</v>
      </c>
      <c r="S490" s="23">
        <f t="shared" si="3"/>
        <v>1093.69</v>
      </c>
      <c r="T490" s="22" t="str">
        <f>IFERROR(__xludf.DUMMYFUNCTION("PROPER(TRIM(
  LET(
    texto1, REGEXREPLACE(G490,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"),"Guillermina Carbajal")</f>
        <v>Guillermina Carbajal</v>
      </c>
      <c r="U490" s="22" t="str">
        <f t="shared" si="4"/>
        <v>f0d38b06-2059-47d6-9f56-aefc70f2727d</v>
      </c>
      <c r="V490" s="24" t="str">
        <f t="shared" si="5"/>
        <v>Auriculares Con cable 16GB</v>
      </c>
    </row>
    <row r="491" ht="15.75" customHeight="1">
      <c r="A491" s="6">
        <v>45592.0</v>
      </c>
      <c r="B491" s="2" t="s">
        <v>50</v>
      </c>
      <c r="C491" s="2" t="s">
        <v>147</v>
      </c>
      <c r="D491" s="7">
        <v>233.85</v>
      </c>
      <c r="E491" s="2">
        <v>3.0</v>
      </c>
      <c r="F491" s="7">
        <v>701.55</v>
      </c>
      <c r="G491" s="2" t="s">
        <v>1773</v>
      </c>
      <c r="H491" s="2" t="s">
        <v>1774</v>
      </c>
      <c r="I491" s="2" t="s">
        <v>1775</v>
      </c>
      <c r="K491" s="25" t="str">
        <f>IFERROR(__xludf.DUMMYFUNCTION("IF(ISBLANK(A491),
  """",
  IF(ISNUMBER(A491),
    TEXT(A491,""dd/mm/yyyy""),
    IF(
      REGEXMATCH(TRIM(A491),""^\d{1,2}/\d{1,2}/\d{4}$""),
      TRIM(A491),
      IFERROR(
        TEXT(DATEVALUE(SUBSTITUTE(SUBSTITUTE(TRIM(A491),""-"",""/""),""."",""/"&amp;""")),""dd/mm/yyyy""),
        TRIM(A491)
      )
    )
  )
)
"),"27/10/2024")</f>
        <v>27/10/2024</v>
      </c>
      <c r="L491" s="26">
        <v>45592.0</v>
      </c>
      <c r="M491" s="27" t="str">
        <f>IFERROR(__xludf.DUMMYFUNCTION("PROPER(TRIM(
  REGEXREPLACE(
    REGEXREPLACE(
      SUBSTITUTE(SUBSTITUTE(SUBSTITUTE(SUBSTITUTE(SUBSTITUTE(SUBSTITUTE(SUBSTITUTE(SUBSTITUTE(SUBSTITUTE(SUBSTITUTE(SUBSTITUTE(
        B491,""√©"",""é""),""√°"",""á""),""√±"",""ñ""),""√≥"",""ó""),""√â"",""é"&amp;"""),""√Å"",""á""),""√ç"",""í""),""√Ç"",""Í""),""√Â"",""é""),""√≠"",""í""),""√º"",""ú""),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491" s="28" t="str">
        <f>IFERROR(__xludf.DUMMYFUNCTION("SPLIT(
  TRIM(
    SUBSTITUTE(
      SUBSTITUTE(
        SUBSTITUTE(
          SUBSTITUTE(
            C491,
            ""√©"", ""é""
          ),
          ""√±"", ""ñ""
        ),
        ""√°"", ""á""
      ),
      ""√≥"", ""ó""
    )
  ),
  ""-""
)
"),"Laptop")</f>
        <v>Laptop</v>
      </c>
      <c r="O491" s="28" t="str">
        <f>IFERROR(__xludf.DUMMYFUNCTION("""COMPUTED_VALUE"""),"Oficina")</f>
        <v>Oficina</v>
      </c>
      <c r="P491" s="28" t="str">
        <f>IFERROR(__xludf.DUMMYFUNCTION("""COMPUTED_VALUE"""),"16GB")</f>
        <v>16GB</v>
      </c>
      <c r="Q491" s="29">
        <f t="shared" si="1"/>
        <v>233.85</v>
      </c>
      <c r="R491" s="28">
        <f t="shared" si="2"/>
        <v>3</v>
      </c>
      <c r="S491" s="29">
        <f t="shared" si="3"/>
        <v>701.55</v>
      </c>
      <c r="T491" s="28" t="str">
        <f>IFERROR(__xludf.DUMMYFUNCTION("PROPER(TRIM(
  LET(
    texto1, REGEXREPLACE(G491,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"),"Aldonza Arriaga")</f>
        <v>Aldonza Arriaga</v>
      </c>
      <c r="U491" s="28" t="str">
        <f t="shared" si="4"/>
        <v>2d413f59-b03c-479d-84d2-e6d17034f1ce</v>
      </c>
      <c r="V491" s="30" t="str">
        <f t="shared" si="5"/>
        <v>Laptop Oficina 16GB</v>
      </c>
    </row>
    <row r="492" ht="15.75" customHeight="1">
      <c r="A492" s="6">
        <v>45593.0</v>
      </c>
      <c r="B492" s="2" t="s">
        <v>101</v>
      </c>
      <c r="C492" s="2" t="s">
        <v>508</v>
      </c>
      <c r="D492" s="7">
        <v>1779.34</v>
      </c>
      <c r="E492" s="2">
        <v>3.0</v>
      </c>
      <c r="F492" s="7">
        <v>5338.02</v>
      </c>
      <c r="G492" s="2" t="s">
        <v>1776</v>
      </c>
      <c r="H492" s="2" t="s">
        <v>1777</v>
      </c>
      <c r="I492" s="2" t="s">
        <v>1778</v>
      </c>
      <c r="K492" s="19" t="str">
        <f>IFERROR(__xludf.DUMMYFUNCTION("IF(ISBLANK(A492),
  """",
  IF(ISNUMBER(A492),
    TEXT(A492,""dd/mm/yyyy""),
    IF(
      REGEXMATCH(TRIM(A492),""^\d{1,2}/\d{1,2}/\d{4}$""),
      TRIM(A492),
      IFERROR(
        TEXT(DATEVALUE(SUBSTITUTE(SUBSTITUTE(TRIM(A492),""-"",""/""),""."",""/"&amp;""")),""dd/mm/yyyy""),
        TRIM(A492)
      )
    )
  )
)
"),"28/10/2024")</f>
        <v>28/10/2024</v>
      </c>
      <c r="L492" s="20">
        <v>45593.0</v>
      </c>
      <c r="M492" s="21" t="str">
        <f>IFERROR(__xludf.DUMMYFUNCTION("PROPER(TRIM(
  REGEXREPLACE(
    REGEXREPLACE(
      SUBSTITUTE(SUBSTITUTE(SUBSTITUTE(SUBSTITUTE(SUBSTITUTE(SUBSTITUTE(SUBSTITUTE(SUBSTITUTE(SUBSTITUTE(SUBSTITUTE(SUBSTITUTE(
        B492,""√©"",""é""),""√°"",""á""),""√±"",""ñ""),""√≥"",""ó""),""√â"",""é"&amp;"""),""√Å"",""á""),""√ç"",""í""),""√Ç"",""Í""),""√Â"",""é""),""√≠"",""í""),""√º"",""ú""),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92" s="22" t="str">
        <f>IFERROR(__xludf.DUMMYFUNCTION("SPLIT(
  TRIM(
    SUBSTITUTE(
      SUBSTITUTE(
        SUBSTITUTE(
          SUBSTITUTE(
            C492,
            ""√©"", ""é""
          ),
          ""√±"", ""ñ""
        ),
        ""√°"", ""á""
      ),
      ""√≥"", ""ó""
    )
  ),
  ""-""
)
"),"Auriculares")</f>
        <v>Auriculares</v>
      </c>
      <c r="O492" s="22" t="str">
        <f>IFERROR(__xludf.DUMMYFUNCTION("""COMPUTED_VALUE"""),"Cancelación de ruido")</f>
        <v>Cancelación de ruido</v>
      </c>
      <c r="P492" s="22" t="str">
        <f>IFERROR(__xludf.DUMMYFUNCTION("""COMPUTED_VALUE"""),"16GB")</f>
        <v>16GB</v>
      </c>
      <c r="Q492" s="23">
        <f t="shared" si="1"/>
        <v>1779.34</v>
      </c>
      <c r="R492" s="22">
        <f t="shared" si="2"/>
        <v>3</v>
      </c>
      <c r="S492" s="23">
        <f t="shared" si="3"/>
        <v>5338.02</v>
      </c>
      <c r="T492" s="22" t="str">
        <f>IFERROR(__xludf.DUMMYFUNCTION("PROPER(TRIM(
  LET(
    texto1, REGEXREPLACE(G492,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"),"Mateo Flavio Uribe García")</f>
        <v>Mateo Flavio Uribe García</v>
      </c>
      <c r="U492" s="22" t="str">
        <f t="shared" si="4"/>
        <v>de92a9b2-739f-4ffe-aeb7-97d14d474602</v>
      </c>
      <c r="V492" s="24" t="str">
        <f t="shared" si="5"/>
        <v>Auriculares Cancelación de ruido 16GB</v>
      </c>
    </row>
    <row r="493" ht="15.75" customHeight="1">
      <c r="A493" s="36">
        <v>45516.0</v>
      </c>
      <c r="B493" s="2" t="s">
        <v>16</v>
      </c>
      <c r="C493" s="2" t="s">
        <v>1015</v>
      </c>
      <c r="D493" s="7">
        <v>1490.57</v>
      </c>
      <c r="E493" s="2">
        <v>3.0</v>
      </c>
      <c r="F493" s="7">
        <v>4471.71</v>
      </c>
      <c r="G493" s="2" t="s">
        <v>1779</v>
      </c>
      <c r="H493" s="2" t="s">
        <v>1780</v>
      </c>
      <c r="I493" s="2" t="s">
        <v>1781</v>
      </c>
      <c r="K493" s="25" t="str">
        <f>IFERROR(__xludf.DUMMYFUNCTION("IF(ISBLANK(A493),
  """",
  IF(ISNUMBER(A493),
    TEXT(A493,""dd/mm/yyyy""),
    IF(
      REGEXMATCH(TRIM(A493),""^\d{1,2}/\d{1,2}/\d{4}$""),
      TRIM(A493),
      IFERROR(
        TEXT(DATEVALUE(SUBSTITUTE(SUBSTITUTE(TRIM(A493),""-"",""/""),""."",""/"&amp;""")),""dd/mm/yyyy""),
        TRIM(A493)
      )
    )
  )
)
"),"12/08/2024")</f>
        <v>12/08/2024</v>
      </c>
      <c r="L493" s="26">
        <v>45516.0</v>
      </c>
      <c r="M493" s="27" t="str">
        <f>IFERROR(__xludf.DUMMYFUNCTION("PROPER(TRIM(
  REGEXREPLACE(
    REGEXREPLACE(
      SUBSTITUTE(SUBSTITUTE(SUBSTITUTE(SUBSTITUTE(SUBSTITUTE(SUBSTITUTE(SUBSTITUTE(SUBSTITUTE(SUBSTITUTE(SUBSTITUTE(SUBSTITUTE(
        B493,""√©"",""é""),""√°"",""á""),""√±"",""ñ""),""√≥"",""ó""),""√â"",""é"&amp;"""),""√Å"",""á""),""√ç"",""í""),""√Ç"",""Í""),""√Â"",""é""),""√≠"",""í""),""√º"",""ú""),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493" s="28" t="str">
        <f>IFERROR(__xludf.DUMMYFUNCTION("SPLIT(
  TRIM(
    SUBSTITUTE(
      SUBSTITUTE(
        SUBSTITUTE(
          SUBSTITUTE(
            C493,
            ""√©"", ""é""
          ),
          ""√±"", ""ñ""
        ),
        ""√°"", ""á""
      ),
      ""√≥"", ""ó""
    )
  ),
  ""-""
)
"),"Auriculares")</f>
        <v>Auriculares</v>
      </c>
      <c r="O493" s="28" t="str">
        <f>IFERROR(__xludf.DUMMYFUNCTION("""COMPUTED_VALUE"""),"Bluetooth")</f>
        <v>Bluetooth</v>
      </c>
      <c r="P493" s="28" t="str">
        <f>IFERROR(__xludf.DUMMYFUNCTION("""COMPUTED_VALUE"""),"32GB")</f>
        <v>32GB</v>
      </c>
      <c r="Q493" s="29">
        <f t="shared" si="1"/>
        <v>1490.57</v>
      </c>
      <c r="R493" s="28">
        <f t="shared" si="2"/>
        <v>3</v>
      </c>
      <c r="S493" s="29">
        <f t="shared" si="3"/>
        <v>4471.71</v>
      </c>
      <c r="T493" s="28" t="str">
        <f>IFERROR(__xludf.DUMMYFUNCTION("PROPER(TRIM(
  LET(
    texto1, REGEXREPLACE(G493,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"),"Marcos Ruby Mateo Quiroz")</f>
        <v>Marcos Ruby Mateo Quiroz</v>
      </c>
      <c r="U493" s="28" t="str">
        <f t="shared" si="4"/>
        <v>92b45d23-a69f-49fa-84fe-45e1c5d428e3</v>
      </c>
      <c r="V493" s="30" t="str">
        <f t="shared" si="5"/>
        <v>Auriculares Bluetooth 32GB</v>
      </c>
    </row>
    <row r="494" ht="15.75" customHeight="1">
      <c r="A494" s="6">
        <v>45649.0</v>
      </c>
      <c r="B494" s="2" t="s">
        <v>101</v>
      </c>
      <c r="C494" s="2" t="s">
        <v>135</v>
      </c>
      <c r="D494" s="7">
        <v>1696.63</v>
      </c>
      <c r="E494" s="2">
        <v>4.0</v>
      </c>
      <c r="F494" s="7">
        <v>6786.52</v>
      </c>
      <c r="G494" s="2" t="s">
        <v>1782</v>
      </c>
      <c r="H494" s="2" t="s">
        <v>1783</v>
      </c>
      <c r="I494" s="2" t="s">
        <v>1784</v>
      </c>
      <c r="K494" s="19" t="str">
        <f>IFERROR(__xludf.DUMMYFUNCTION("IF(ISBLANK(A494),
  """",
  IF(ISNUMBER(A494),
    TEXT(A494,""dd/mm/yyyy""),
    IF(
      REGEXMATCH(TRIM(A494),""^\d{1,2}/\d{1,2}/\d{4}$""),
      TRIM(A494),
      IFERROR(
        TEXT(DATEVALUE(SUBSTITUTE(SUBSTITUTE(TRIM(A494),""-"",""/""),""."",""/"&amp;""")),""dd/mm/yyyy""),
        TRIM(A494)
      )
    )
  )
)
"),"23/12/2024")</f>
        <v>23/12/2024</v>
      </c>
      <c r="L494" s="20">
        <v>45649.0</v>
      </c>
      <c r="M494" s="21" t="str">
        <f>IFERROR(__xludf.DUMMYFUNCTION("PROPER(TRIM(
  REGEXREPLACE(
    REGEXREPLACE(
      SUBSTITUTE(SUBSTITUTE(SUBSTITUTE(SUBSTITUTE(SUBSTITUTE(SUBSTITUTE(SUBSTITUTE(SUBSTITUTE(SUBSTITUTE(SUBSTITUTE(SUBSTITUTE(
        B494,""√©"",""é""),""√°"",""á""),""√±"",""ñ""),""√≥"",""ó""),""√â"",""é"&amp;"""),""√Å"",""á""),""√ç"",""í""),""√Ç"",""Í""),""√Â"",""é""),""√≠"",""í""),""√º"",""ú""),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494" s="22" t="str">
        <f>IFERROR(__xludf.DUMMYFUNCTION("SPLIT(
  TRIM(
    SUBSTITUTE(
      SUBSTITUTE(
        SUBSTITUTE(
          SUBSTITUTE(
            C494,
            ""√©"", ""é""
          ),
          ""√±"", ""ñ""
        ),
        ""√°"", ""á""
      ),
      ""√≥"", ""ó""
    )
  ),
  ""-""
)
"),"Laptop")</f>
        <v>Laptop</v>
      </c>
      <c r="O494" s="22" t="str">
        <f>IFERROR(__xludf.DUMMYFUNCTION("""COMPUTED_VALUE"""),"Ultraliviana")</f>
        <v>Ultraliviana</v>
      </c>
      <c r="P494" s="22" t="str">
        <f>IFERROR(__xludf.DUMMYFUNCTION("""COMPUTED_VALUE"""),"32GB")</f>
        <v>32GB</v>
      </c>
      <c r="Q494" s="23">
        <f t="shared" si="1"/>
        <v>1696.63</v>
      </c>
      <c r="R494" s="22">
        <f t="shared" si="2"/>
        <v>4</v>
      </c>
      <c r="S494" s="23">
        <f t="shared" si="3"/>
        <v>6786.52</v>
      </c>
      <c r="T494" s="22" t="str">
        <f>IFERROR(__xludf.DUMMYFUNCTION("PROPER(TRIM(
  LET(
    texto1, REGEXREPLACE(G494,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"),"Ofelia Suárez")</f>
        <v>Ofelia Suárez</v>
      </c>
      <c r="U494" s="22" t="str">
        <f t="shared" si="4"/>
        <v>e7e6c336-1e49-4295-a6a2-d4acf044ce4d</v>
      </c>
      <c r="V494" s="24" t="str">
        <f t="shared" si="5"/>
        <v>Laptop Ultraliviana 32GB</v>
      </c>
    </row>
    <row r="495" ht="15.75" customHeight="1">
      <c r="A495" s="36">
        <v>45454.0</v>
      </c>
      <c r="B495" s="2" t="s">
        <v>27</v>
      </c>
      <c r="C495" s="2" t="s">
        <v>698</v>
      </c>
      <c r="D495" s="7">
        <v>942.47</v>
      </c>
      <c r="E495" s="2">
        <v>2.0</v>
      </c>
      <c r="F495" s="7">
        <v>1884.94</v>
      </c>
      <c r="G495" s="2" t="s">
        <v>1785</v>
      </c>
      <c r="H495" s="2" t="s">
        <v>1786</v>
      </c>
      <c r="I495" s="2" t="s">
        <v>1787</v>
      </c>
      <c r="K495" s="25" t="str">
        <f>IFERROR(__xludf.DUMMYFUNCTION("IF(ISBLANK(A495),
  """",
  IF(ISNUMBER(A495),
    TEXT(A495,""dd/mm/yyyy""),
    IF(
      REGEXMATCH(TRIM(A495),""^\d{1,2}/\d{1,2}/\d{4}$""),
      TRIM(A495),
      IFERROR(
        TEXT(DATEVALUE(SUBSTITUTE(SUBSTITUTE(TRIM(A495),""-"",""/""),""."",""/"&amp;""")),""dd/mm/yyyy""),
        TRIM(A495)
      )
    )
  )
)
"),"11/06/2024")</f>
        <v>11/06/2024</v>
      </c>
      <c r="L495" s="26">
        <v>45454.0</v>
      </c>
      <c r="M495" s="27" t="str">
        <f>IFERROR(__xludf.DUMMYFUNCTION("PROPER(TRIM(
  REGEXREPLACE(
    REGEXREPLACE(
      SUBSTITUTE(SUBSTITUTE(SUBSTITUTE(SUBSTITUTE(SUBSTITUTE(SUBSTITUTE(SUBSTITUTE(SUBSTITUTE(SUBSTITUTE(SUBSTITUTE(SUBSTITUTE(
        B495,""√©"",""é""),""√°"",""á""),""√±"",""ñ""),""√≥"",""ó""),""√â"",""é"&amp;"""),""√Å"",""á""),""√ç"",""í""),""√Ç"",""Í""),""√Â"",""é""),""√≠"",""í""),""√º"",""ú""),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495" s="28" t="str">
        <f>IFERROR(__xludf.DUMMYFUNCTION("SPLIT(
  TRIM(
    SUBSTITUTE(
      SUBSTITUTE(
        SUBSTITUTE(
          SUBSTITUTE(
            C495,
            ""√©"", ""é""
          ),
          ""√±"", ""ñ""
        ),
        ""√°"", ""á""
      ),
      ""√≥"", ""ó""
    )
  ),
  ""-""
)
"),"Laptop")</f>
        <v>Laptop</v>
      </c>
      <c r="O495" s="28" t="str">
        <f>IFERROR(__xludf.DUMMYFUNCTION("""COMPUTED_VALUE"""),"Ultraliviana")</f>
        <v>Ultraliviana</v>
      </c>
      <c r="P495" s="28" t="str">
        <f>IFERROR(__xludf.DUMMYFUNCTION("""COMPUTED_VALUE"""),"8GB")</f>
        <v>8GB</v>
      </c>
      <c r="Q495" s="29">
        <f t="shared" si="1"/>
        <v>942.47</v>
      </c>
      <c r="R495" s="28">
        <f t="shared" si="2"/>
        <v>2</v>
      </c>
      <c r="S495" s="29">
        <f t="shared" si="3"/>
        <v>1884.94</v>
      </c>
      <c r="T495" s="28" t="str">
        <f>IFERROR(__xludf.DUMMYFUNCTION("PROPER(TRIM(
  LET(
    texto1, REGEXREPLACE(G495,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"),"Delia Medrano")</f>
        <v>Delia Medrano</v>
      </c>
      <c r="U495" s="28" t="str">
        <f t="shared" si="4"/>
        <v>b89c9db5-89fd-4f46-92e3-9846d55a78cf</v>
      </c>
      <c r="V495" s="30" t="str">
        <f t="shared" si="5"/>
        <v>Laptop Ultraliviana 8GB</v>
      </c>
    </row>
    <row r="496" ht="15.75" customHeight="1">
      <c r="A496" s="6">
        <v>45656.0</v>
      </c>
      <c r="B496" s="2" t="s">
        <v>38</v>
      </c>
      <c r="C496" s="2" t="s">
        <v>191</v>
      </c>
      <c r="D496" s="7">
        <v>2064.92</v>
      </c>
      <c r="E496" s="2">
        <v>3.0</v>
      </c>
      <c r="F496" s="7">
        <v>6194.76</v>
      </c>
      <c r="G496" s="2" t="s">
        <v>1788</v>
      </c>
      <c r="H496" s="2" t="s">
        <v>1789</v>
      </c>
      <c r="I496" s="3" t="s">
        <v>1790</v>
      </c>
      <c r="K496" s="19" t="str">
        <f>IFERROR(__xludf.DUMMYFUNCTION("IF(ISBLANK(A496),
  """",
  IF(ISNUMBER(A496),
    TEXT(A496,""dd/mm/yyyy""),
    IF(
      REGEXMATCH(TRIM(A496),""^\d{1,2}/\d{1,2}/\d{4}$""),
      TRIM(A496),
      IFERROR(
        TEXT(DATEVALUE(SUBSTITUTE(SUBSTITUTE(TRIM(A496),""-"",""/""),""."",""/"&amp;""")),""dd/mm/yyyy""),
        TRIM(A496)
      )
    )
  )
)
"),"30/12/2024")</f>
        <v>30/12/2024</v>
      </c>
      <c r="L496" s="20">
        <v>45656.0</v>
      </c>
      <c r="M496" s="21" t="str">
        <f>IFERROR(__xludf.DUMMYFUNCTION("PROPER(TRIM(
  REGEXREPLACE(
    REGEXREPLACE(
      SUBSTITUTE(SUBSTITUTE(SUBSTITUTE(SUBSTITUTE(SUBSTITUTE(SUBSTITUTE(SUBSTITUTE(SUBSTITUTE(SUBSTITUTE(SUBSTITUTE(SUBSTITUTE(
        B496,""√©"",""é""),""√°"",""á""),""√±"",""ñ""),""√≥"",""ó""),""√â"",""é"&amp;"""),""√Å"",""á""),""√ç"",""í""),""√Ç"",""Í""),""√Â"",""é""),""√≠"",""í""),""√º"",""ú""),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96" s="22" t="str">
        <f>IFERROR(__xludf.DUMMYFUNCTION("SPLIT(
  TRIM(
    SUBSTITUTE(
      SUBSTITUTE(
        SUBSTITUTE(
          SUBSTITUTE(
            C496,
            ""√©"", ""é""
          ),
          ""√±"", ""ñ""
        ),
        ""√°"", ""á""
      ),
      ""√≥"", ""ó""
    )
  ),
  ""-""
)
"),"Auriculares")</f>
        <v>Auriculares</v>
      </c>
      <c r="O496" s="22" t="str">
        <f>IFERROR(__xludf.DUMMYFUNCTION("""COMPUTED_VALUE"""),"Cancelación de ruido")</f>
        <v>Cancelación de ruido</v>
      </c>
      <c r="P496" s="22" t="str">
        <f>IFERROR(__xludf.DUMMYFUNCTION("""COMPUTED_VALUE"""),"32GB")</f>
        <v>32GB</v>
      </c>
      <c r="Q496" s="23">
        <f t="shared" si="1"/>
        <v>2064.92</v>
      </c>
      <c r="R496" s="22">
        <f t="shared" si="2"/>
        <v>3</v>
      </c>
      <c r="S496" s="23">
        <f t="shared" si="3"/>
        <v>6194.76</v>
      </c>
      <c r="T496" s="22" t="str">
        <f>IFERROR(__xludf.DUMMYFUNCTION("PROPER(TRIM(
  LET(
    texto1, REGEXREPLACE(G496,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"),"Wilfrido Carranza")</f>
        <v>Wilfrido Carranza</v>
      </c>
      <c r="U496" s="33" t="str">
        <f t="shared" si="4"/>
        <v>7e9821f4-95d8-433f-958b-d88fd9985891</v>
      </c>
      <c r="V496" s="24" t="str">
        <f t="shared" si="5"/>
        <v>Auriculares Cancelación de ruido 32GB</v>
      </c>
    </row>
    <row r="497" ht="15.75" customHeight="1">
      <c r="A497" s="36">
        <v>45577.0</v>
      </c>
      <c r="B497" s="2" t="s">
        <v>85</v>
      </c>
      <c r="C497" s="2" t="s">
        <v>152</v>
      </c>
      <c r="D497" s="7">
        <v>2182.77</v>
      </c>
      <c r="E497" s="2">
        <v>3.0</v>
      </c>
      <c r="F497" s="7">
        <v>6548.31</v>
      </c>
      <c r="G497" s="2" t="s">
        <v>1791</v>
      </c>
      <c r="H497" s="2" t="s">
        <v>1792</v>
      </c>
      <c r="I497" s="2" t="s">
        <v>1793</v>
      </c>
      <c r="K497" s="25" t="str">
        <f>IFERROR(__xludf.DUMMYFUNCTION("IF(ISBLANK(A497),
  """",
  IF(ISNUMBER(A497),
    TEXT(A497,""dd/mm/yyyy""),
    IF(
      REGEXMATCH(TRIM(A497),""^\d{1,2}/\d{1,2}/\d{4}$""),
      TRIM(A497),
      IFERROR(
        TEXT(DATEVALUE(SUBSTITUTE(SUBSTITUTE(TRIM(A497),""-"",""/""),""."",""/"&amp;""")),""dd/mm/yyyy""),
        TRIM(A497)
      )
    )
  )
)
"),"12/10/2024")</f>
        <v>12/10/2024</v>
      </c>
      <c r="L497" s="26">
        <v>45577.0</v>
      </c>
      <c r="M497" s="27" t="str">
        <f>IFERROR(__xludf.DUMMYFUNCTION("PROPER(TRIM(
  REGEXREPLACE(
    REGEXREPLACE(
      SUBSTITUTE(SUBSTITUTE(SUBSTITUTE(SUBSTITUTE(SUBSTITUTE(SUBSTITUTE(SUBSTITUTE(SUBSTITUTE(SUBSTITUTE(SUBSTITUTE(SUBSTITUTE(
        B497,""√©"",""é""),""√°"",""á""),""√±"",""ñ""),""√≥"",""ó""),""√â"",""é"&amp;"""),""√Å"",""á""),""√ç"",""í""),""√Ç"",""Í""),""√Â"",""é""),""√≠"",""í""),""√º"",""ú""),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97" s="28" t="str">
        <f>IFERROR(__xludf.DUMMYFUNCTION("SPLIT(
  TRIM(
    SUBSTITUTE(
      SUBSTITUTE(
        SUBSTITUTE(
          SUBSTITUTE(
            C497,
            ""√©"", ""é""
          ),
          ""√±"", ""ñ""
        ),
        ""√°"", ""á""
      ),
      ""√≥"", ""ó""
    )
  ),
  ""-""
)
"),"Teléfono")</f>
        <v>Teléfono</v>
      </c>
      <c r="O497" s="28" t="str">
        <f>IFERROR(__xludf.DUMMYFUNCTION("""COMPUTED_VALUE"""),"Gama baja")</f>
        <v>Gama baja</v>
      </c>
      <c r="P497" s="28" t="str">
        <f>IFERROR(__xludf.DUMMYFUNCTION("""COMPUTED_VALUE"""),"4GB")</f>
        <v>4GB</v>
      </c>
      <c r="Q497" s="29">
        <f t="shared" si="1"/>
        <v>2182.77</v>
      </c>
      <c r="R497" s="28">
        <f t="shared" si="2"/>
        <v>3</v>
      </c>
      <c r="S497" s="29">
        <f t="shared" si="3"/>
        <v>6548.31</v>
      </c>
      <c r="T497" s="28" t="str">
        <f>IFERROR(__xludf.DUMMYFUNCTION("PROPER(TRIM(
  LET(
    texto1, REGEXREPLACE(G497,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"),"Octavio Isabela Barraza")</f>
        <v>Octavio Isabela Barraza</v>
      </c>
      <c r="U497" s="28" t="str">
        <f t="shared" si="4"/>
        <v>bb32f0ba-b764-401c-a691-3d59b0136679</v>
      </c>
      <c r="V497" s="30" t="str">
        <f t="shared" si="5"/>
        <v>Teléfono Gama baja 4GB</v>
      </c>
    </row>
    <row r="498" ht="15.75" customHeight="1">
      <c r="A498" s="6">
        <v>45618.0</v>
      </c>
      <c r="B498" s="2" t="s">
        <v>38</v>
      </c>
      <c r="C498" s="2" t="s">
        <v>385</v>
      </c>
      <c r="D498" s="7">
        <v>1402.66</v>
      </c>
      <c r="E498" s="2">
        <v>5.0</v>
      </c>
      <c r="F498" s="7">
        <v>7013.3</v>
      </c>
      <c r="G498" s="2" t="s">
        <v>1794</v>
      </c>
      <c r="H498" s="2" t="s">
        <v>1795</v>
      </c>
      <c r="I498" s="2" t="s">
        <v>1796</v>
      </c>
      <c r="K498" s="19" t="str">
        <f>IFERROR(__xludf.DUMMYFUNCTION("IF(ISBLANK(A498),
  """",
  IF(ISNUMBER(A498),
    TEXT(A498,""dd/mm/yyyy""),
    IF(
      REGEXMATCH(TRIM(A498),""^\d{1,2}/\d{1,2}/\d{4}$""),
      TRIM(A498),
      IFERROR(
        TEXT(DATEVALUE(SUBSTITUTE(SUBSTITUTE(TRIM(A498),""-"",""/""),""."",""/"&amp;""")),""dd/mm/yyyy""),
        TRIM(A498)
      )
    )
  )
)
"),"22/11/2024")</f>
        <v>22/11/2024</v>
      </c>
      <c r="L498" s="20">
        <v>45618.0</v>
      </c>
      <c r="M498" s="21" t="str">
        <f>IFERROR(__xludf.DUMMYFUNCTION("PROPER(TRIM(
  REGEXREPLACE(
    REGEXREPLACE(
      SUBSTITUTE(SUBSTITUTE(SUBSTITUTE(SUBSTITUTE(SUBSTITUTE(SUBSTITUTE(SUBSTITUTE(SUBSTITUTE(SUBSTITUTE(SUBSTITUTE(SUBSTITUTE(
        B498,""√©"",""é""),""√°"",""á""),""√±"",""ñ""),""√≥"",""ó""),""√â"",""é"&amp;"""),""√Å"",""á""),""√ç"",""í""),""√Ç"",""Í""),""√Â"",""é""),""√≠"",""í""),""√º"",""ú""),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498" s="22" t="str">
        <f>IFERROR(__xludf.DUMMYFUNCTION("SPLIT(
  TRIM(
    SUBSTITUTE(
      SUBSTITUTE(
        SUBSTITUTE(
          SUBSTITUTE(
            C498,
            ""√©"", ""é""
          ),
          ""√±"", ""ñ""
        ),
        ""√°"", ""á""
      ),
      ""√≥"", ""ó""
    )
  ),
  ""-""
)
"),"Tablet")</f>
        <v>Tablet</v>
      </c>
      <c r="O498" s="22" t="str">
        <f>IFERROR(__xludf.DUMMYFUNCTION("""COMPUTED_VALUE"""),"Estándar")</f>
        <v>Estándar</v>
      </c>
      <c r="P498" s="22" t="str">
        <f>IFERROR(__xludf.DUMMYFUNCTION("""COMPUTED_VALUE"""),"32GB")</f>
        <v>32GB</v>
      </c>
      <c r="Q498" s="23">
        <f t="shared" si="1"/>
        <v>1402.66</v>
      </c>
      <c r="R498" s="22">
        <f t="shared" si="2"/>
        <v>5</v>
      </c>
      <c r="S498" s="23">
        <f t="shared" si="3"/>
        <v>7013.3</v>
      </c>
      <c r="T498" s="22" t="str">
        <f>IFERROR(__xludf.DUMMYFUNCTION("PROPER(TRIM(
  LET(
    texto1, REGEXREPLACE(G498,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 Federico Altamirano")</f>
        <v>Emilia Federico Altamirano</v>
      </c>
      <c r="U498" s="22" t="str">
        <f t="shared" si="4"/>
        <v>fa3bf710-eb5a-4873-893c-d6a73dc7c4f9</v>
      </c>
      <c r="V498" s="24" t="str">
        <f t="shared" si="5"/>
        <v>Tablet Estándar 32GB</v>
      </c>
    </row>
    <row r="499" ht="15.75" customHeight="1">
      <c r="A499" s="6">
        <v>45617.0</v>
      </c>
      <c r="B499" s="2" t="s">
        <v>85</v>
      </c>
      <c r="C499" s="2" t="s">
        <v>33</v>
      </c>
      <c r="D499" s="7">
        <v>2420.41</v>
      </c>
      <c r="E499" s="2">
        <v>2.0</v>
      </c>
      <c r="F499" s="7">
        <v>4840.82</v>
      </c>
      <c r="G499" s="2" t="s">
        <v>1797</v>
      </c>
      <c r="H499" s="2" t="s">
        <v>1798</v>
      </c>
      <c r="I499" s="2" t="s">
        <v>1799</v>
      </c>
      <c r="K499" s="25" t="str">
        <f>IFERROR(__xludf.DUMMYFUNCTION("IF(ISBLANK(A499),
  """",
  IF(ISNUMBER(A499),
    TEXT(A499,""dd/mm/yyyy""),
    IF(
      REGEXMATCH(TRIM(A499),""^\d{1,2}/\d{1,2}/\d{4}$""),
      TRIM(A499),
      IFERROR(
        TEXT(DATEVALUE(SUBSTITUTE(SUBSTITUTE(TRIM(A499),""-"",""/""),""."",""/"&amp;""")),""dd/mm/yyyy""),
        TRIM(A499)
      )
    )
  )
)
"),"21/11/2024")</f>
        <v>21/11/2024</v>
      </c>
      <c r="L499" s="26">
        <v>45617.0</v>
      </c>
      <c r="M499" s="27" t="str">
        <f>IFERROR(__xludf.DUMMYFUNCTION("PROPER(TRIM(
  REGEXREPLACE(
    REGEXREPLACE(
      SUBSTITUTE(SUBSTITUTE(SUBSTITUTE(SUBSTITUTE(SUBSTITUTE(SUBSTITUTE(SUBSTITUTE(SUBSTITUTE(SUBSTITUTE(SUBSTITUTE(SUBSTITUTE(
        B499,""√©"",""é""),""√°"",""á""),""√±"",""ñ""),""√≥"",""ó""),""√â"",""é"&amp;"""),""√Å"",""á""),""√ç"",""í""),""√Ç"",""Í""),""√Â"",""é""),""√≠"",""í""),""√º"",""ú""),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499" s="28" t="str">
        <f>IFERROR(__xludf.DUMMYFUNCTION("SPLIT(
  TRIM(
    SUBSTITUTE(
      SUBSTITUTE(
        SUBSTITUTE(
          SUBSTITUTE(
            C499,
            ""√©"", ""é""
          ),
          ""√±"", ""ñ""
        ),
        ""√°"", ""á""
      ),
      ""√≥"", ""ó""
    )
  ),
  ""-""
)
"),"Teléfono")</f>
        <v>Teléfono</v>
      </c>
      <c r="O499" s="28" t="str">
        <f>IFERROR(__xludf.DUMMYFUNCTION("""COMPUTED_VALUE"""),"Gama alta")</f>
        <v>Gama alta</v>
      </c>
      <c r="P499" s="28" t="str">
        <f>IFERROR(__xludf.DUMMYFUNCTION("""COMPUTED_VALUE"""),"4GB")</f>
        <v>4GB</v>
      </c>
      <c r="Q499" s="29">
        <f t="shared" si="1"/>
        <v>2420.41</v>
      </c>
      <c r="R499" s="28">
        <f t="shared" si="2"/>
        <v>2</v>
      </c>
      <c r="S499" s="29">
        <f t="shared" si="3"/>
        <v>4840.82</v>
      </c>
      <c r="T499" s="28" t="str">
        <f>IFERROR(__xludf.DUMMYFUNCTION("PROPER(TRIM(
  LET(
    texto1, REGEXREPLACE(G499,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"),"Concepción Elias Alonso Garrido")</f>
        <v>Concepción Elias Alonso Garrido</v>
      </c>
      <c r="U499" s="28" t="str">
        <f t="shared" si="4"/>
        <v>51261e24-fd4f-491f-82aa-f60c2d85e228</v>
      </c>
      <c r="V499" s="30" t="str">
        <f t="shared" si="5"/>
        <v>Teléfono Gama alta 4GB</v>
      </c>
    </row>
    <row r="500" ht="15.75" customHeight="1">
      <c r="A500" s="36">
        <v>45453.0</v>
      </c>
      <c r="B500" s="2" t="s">
        <v>27</v>
      </c>
      <c r="C500" s="2" t="s">
        <v>11</v>
      </c>
      <c r="D500" s="7">
        <v>2084.89</v>
      </c>
      <c r="E500" s="2">
        <v>5.0</v>
      </c>
      <c r="F500" s="7">
        <v>10424.45</v>
      </c>
      <c r="G500" s="2" t="s">
        <v>1800</v>
      </c>
      <c r="H500" s="2" t="s">
        <v>1801</v>
      </c>
      <c r="I500" s="2" t="s">
        <v>1802</v>
      </c>
      <c r="K500" s="19" t="str">
        <f>IFERROR(__xludf.DUMMYFUNCTION("IF(ISBLANK(A500),
  """",
  IF(ISNUMBER(A500),
    TEXT(A500,""dd/mm/yyyy""),
    IF(
      REGEXMATCH(TRIM(A500),""^\d{1,2}/\d{1,2}/\d{4}$""),
      TRIM(A500),
      IFERROR(
        TEXT(DATEVALUE(SUBSTITUTE(SUBSTITUTE(TRIM(A500),""-"",""/""),""."",""/"&amp;""")),""dd/mm/yyyy""),
        TRIM(A500)
      )
    )
  )
)
"),"10/06/2024")</f>
        <v>10/06/2024</v>
      </c>
      <c r="L500" s="20">
        <v>45453.0</v>
      </c>
      <c r="M500" s="21" t="str">
        <f>IFERROR(__xludf.DUMMYFUNCTION("PROPER(TRIM(
  REGEXREPLACE(
    REGEXREPLACE(
      SUBSTITUTE(SUBSTITUTE(SUBSTITUTE(SUBSTITUTE(SUBSTITUTE(SUBSTITUTE(SUBSTITUTE(SUBSTITUTE(SUBSTITUTE(SUBSTITUTE(SUBSTITUTE(
        B500,""√©"",""é""),""√°"",""á""),""√±"",""ñ""),""√≥"",""ó""),""√â"",""é"&amp;"""),""√Å"",""á""),""√ç"",""í""),""√Ç"",""Í""),""√Â"",""é""),""√≠"",""í""),""√º"",""ú""),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00" s="22" t="str">
        <f>IFERROR(__xludf.DUMMYFUNCTION("SPLIT(
  TRIM(
    SUBSTITUTE(
      SUBSTITUTE(
        SUBSTITUTE(
          SUBSTITUTE(
            C500,
            ""√©"", ""é""
          ),
          ""√±"", ""ñ""
        ),
        ""√°"", ""á""
      ),
      ""√≥"", ""ó""
    )
  ),
  ""-""
)
"),"Auriculares")</f>
        <v>Auriculares</v>
      </c>
      <c r="O500" s="22" t="str">
        <f>IFERROR(__xludf.DUMMYFUNCTION("""COMPUTED_VALUE"""),"Con cable")</f>
        <v>Con cable</v>
      </c>
      <c r="P500" s="22" t="str">
        <f>IFERROR(__xludf.DUMMYFUNCTION("""COMPUTED_VALUE"""),"32GB")</f>
        <v>32GB</v>
      </c>
      <c r="Q500" s="23">
        <f t="shared" si="1"/>
        <v>2084.89</v>
      </c>
      <c r="R500" s="22">
        <f t="shared" si="2"/>
        <v>5</v>
      </c>
      <c r="S500" s="23">
        <f t="shared" si="3"/>
        <v>10424.45</v>
      </c>
      <c r="T500" s="22" t="str">
        <f>IFERROR(__xludf.DUMMYFUNCTION("PROPER(TRIM(
  LET(
    texto1, REGEXREPLACE(G500,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Eduardo Jerónimo Montoya Loera")</f>
        <v>José Eduardo Jerónimo Montoya Loera</v>
      </c>
      <c r="U500" s="22" t="str">
        <f t="shared" si="4"/>
        <v>99993024-cdc4-433a-bc86-99d1960cf2a9</v>
      </c>
      <c r="V500" s="24" t="str">
        <f t="shared" si="5"/>
        <v>Auriculares Con cable 32GB</v>
      </c>
    </row>
    <row r="501" ht="15.75" customHeight="1">
      <c r="A501" s="6">
        <v>45615.0</v>
      </c>
      <c r="B501" s="2" t="s">
        <v>16</v>
      </c>
      <c r="C501" s="2" t="s">
        <v>500</v>
      </c>
      <c r="D501" s="7">
        <v>173.04</v>
      </c>
      <c r="E501" s="2">
        <v>2.0</v>
      </c>
      <c r="F501" s="7">
        <v>346.08</v>
      </c>
      <c r="G501" s="2" t="s">
        <v>1803</v>
      </c>
      <c r="H501" s="2" t="s">
        <v>1804</v>
      </c>
      <c r="I501" s="2" t="s">
        <v>1805</v>
      </c>
      <c r="K501" s="25" t="str">
        <f>IFERROR(__xludf.DUMMYFUNCTION("IF(ISBLANK(A501),
  """",
  IF(ISNUMBER(A501),
    TEXT(A501,""dd/mm/yyyy""),
    IF(
      REGEXMATCH(TRIM(A501),""^\d{1,2}/\d{1,2}/\d{4}$""),
      TRIM(A501),
      IFERROR(
        TEXT(DATEVALUE(SUBSTITUTE(SUBSTITUTE(TRIM(A501),""-"",""/""),""."",""/"&amp;""")),""dd/mm/yyyy""),
        TRIM(A501)
      )
    )
  )
)
"),"19/11/2024")</f>
        <v>19/11/2024</v>
      </c>
      <c r="L501" s="26">
        <v>45615.0</v>
      </c>
      <c r="M501" s="27" t="str">
        <f>IFERROR(__xludf.DUMMYFUNCTION("PROPER(TRIM(
  REGEXREPLACE(
    REGEXREPLACE(
      SUBSTITUTE(SUBSTITUTE(SUBSTITUTE(SUBSTITUTE(SUBSTITUTE(SUBSTITUTE(SUBSTITUTE(SUBSTITUTE(SUBSTITUTE(SUBSTITUTE(SUBSTITUTE(
        B501,""√©"",""é""),""√°"",""á""),""√±"",""ñ""),""√≥"",""ó""),""√â"",""é"&amp;"""),""√Å"",""á""),""√ç"",""í""),""√Ç"",""Í""),""√Â"",""é""),""√≠"",""í""),""√º"",""ú""),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01" s="28" t="str">
        <f>IFERROR(__xludf.DUMMYFUNCTION("SPLIT(
  TRIM(
    SUBSTITUTE(
      SUBSTITUTE(
        SUBSTITUTE(
          SUBSTITUTE(
            C501,
            ""√©"", ""é""
          ),
          ""√±"", ""ñ""
        ),
        ""√°"", ""á""
      ),
      ""√≥"", ""ó""
    )
  ),
  ""-""
)
"),"Teléfono")</f>
        <v>Teléfono</v>
      </c>
      <c r="O501" s="28" t="str">
        <f>IFERROR(__xludf.DUMMYFUNCTION("""COMPUTED_VALUE"""),"Gama alta")</f>
        <v>Gama alta</v>
      </c>
      <c r="P501" s="28" t="str">
        <f>IFERROR(__xludf.DUMMYFUNCTION("""COMPUTED_VALUE"""),"32GB")</f>
        <v>32GB</v>
      </c>
      <c r="Q501" s="29">
        <f t="shared" si="1"/>
        <v>173.04</v>
      </c>
      <c r="R501" s="28">
        <f t="shared" si="2"/>
        <v>2</v>
      </c>
      <c r="S501" s="29">
        <f t="shared" si="3"/>
        <v>346.08</v>
      </c>
      <c r="T501" s="28" t="str">
        <f>IFERROR(__xludf.DUMMYFUNCTION("PROPER(TRIM(
  LET(
    texto1, REGEXREPLACE(G501,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María Palacios Cardenas")</f>
        <v>Ana María Palacios Cardenas</v>
      </c>
      <c r="U501" s="28" t="str">
        <f t="shared" si="4"/>
        <v>147138ab-2800-4faa-9770-b5aac577f7f3</v>
      </c>
      <c r="V501" s="30" t="str">
        <f t="shared" si="5"/>
        <v>Teléfono Gama alta 32GB</v>
      </c>
    </row>
    <row r="502" ht="15.75" customHeight="1">
      <c r="A502" s="6">
        <v>45653.0</v>
      </c>
      <c r="B502" s="2" t="s">
        <v>16</v>
      </c>
      <c r="C502" s="2" t="s">
        <v>172</v>
      </c>
      <c r="D502" s="7">
        <v>1831.56</v>
      </c>
      <c r="E502" s="2">
        <v>2.0</v>
      </c>
      <c r="F502" s="7">
        <v>3663.12</v>
      </c>
      <c r="G502" s="2" t="s">
        <v>1806</v>
      </c>
      <c r="H502" s="2" t="s">
        <v>1807</v>
      </c>
      <c r="I502" s="2" t="s">
        <v>1808</v>
      </c>
      <c r="K502" s="19" t="str">
        <f>IFERROR(__xludf.DUMMYFUNCTION("IF(ISBLANK(A502),
  """",
  IF(ISNUMBER(A502),
    TEXT(A502,""dd/mm/yyyy""),
    IF(
      REGEXMATCH(TRIM(A502),""^\d{1,2}/\d{1,2}/\d{4}$""),
      TRIM(A502),
      IFERROR(
        TEXT(DATEVALUE(SUBSTITUTE(SUBSTITUTE(TRIM(A502),""-"",""/""),""."",""/"&amp;""")),""dd/mm/yyyy""),
        TRIM(A502)
      )
    )
  )
)
"),"27/12/2024")</f>
        <v>27/12/2024</v>
      </c>
      <c r="L502" s="20">
        <v>45653.0</v>
      </c>
      <c r="M502" s="21" t="str">
        <f>IFERROR(__xludf.DUMMYFUNCTION("PROPER(TRIM(
  REGEXREPLACE(
    REGEXREPLACE(
      SUBSTITUTE(SUBSTITUTE(SUBSTITUTE(SUBSTITUTE(SUBSTITUTE(SUBSTITUTE(SUBSTITUTE(SUBSTITUTE(SUBSTITUTE(SUBSTITUTE(SUBSTITUTE(
        B502,""√©"",""é""),""√°"",""á""),""√±"",""ñ""),""√≥"",""ó""),""√â"",""é"&amp;"""),""√Å"",""á""),""√ç"",""í""),""√Ç"",""Í""),""√Â"",""é""),""√≠"",""í""),""√º"",""ú""),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02" s="22" t="str">
        <f>IFERROR(__xludf.DUMMYFUNCTION("SPLIT(
  TRIM(
    SUBSTITUTE(
      SUBSTITUTE(
        SUBSTITUTE(
          SUBSTITUTE(
            C502,
            ""√©"", ""é""
          ),
          ""√±"", ""ñ""
        ),
        ""√°"", ""á""
      ),
      ""√≥"", ""ó""
    )
  ),
  ""-""
)
"),"Laptop")</f>
        <v>Laptop</v>
      </c>
      <c r="O502" s="22" t="str">
        <f>IFERROR(__xludf.DUMMYFUNCTION("""COMPUTED_VALUE"""),"Oficina")</f>
        <v>Oficina</v>
      </c>
      <c r="P502" s="22" t="str">
        <f>IFERROR(__xludf.DUMMYFUNCTION("""COMPUTED_VALUE"""),"8GB")</f>
        <v>8GB</v>
      </c>
      <c r="Q502" s="23">
        <f t="shared" si="1"/>
        <v>1831.56</v>
      </c>
      <c r="R502" s="22">
        <f t="shared" si="2"/>
        <v>2</v>
      </c>
      <c r="S502" s="23">
        <f t="shared" si="3"/>
        <v>3663.12</v>
      </c>
      <c r="T502" s="22" t="str">
        <f>IFERROR(__xludf.DUMMYFUNCTION("PROPER(TRIM(
  LET(
    texto1, REGEXREPLACE(G502,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"),"Ruby Amador Quintero")</f>
        <v>Ruby Amador Quintero</v>
      </c>
      <c r="U502" s="22" t="str">
        <f t="shared" si="4"/>
        <v>7ce37500-a380-4f67-8cbb-04f3cb8e5cc8</v>
      </c>
      <c r="V502" s="24" t="str">
        <f t="shared" si="5"/>
        <v>Laptop Oficina 8GB</v>
      </c>
    </row>
    <row r="503" ht="15.75" customHeight="1">
      <c r="A503" s="6">
        <v>45609.0</v>
      </c>
      <c r="B503" s="2" t="s">
        <v>85</v>
      </c>
      <c r="C503" s="2" t="s">
        <v>508</v>
      </c>
      <c r="D503" s="7">
        <v>1899.66</v>
      </c>
      <c r="E503" s="2">
        <v>2.0</v>
      </c>
      <c r="F503" s="7">
        <v>3799.32</v>
      </c>
      <c r="G503" s="2" t="s">
        <v>1809</v>
      </c>
      <c r="H503" s="2" t="s">
        <v>1810</v>
      </c>
      <c r="I503" s="3" t="s">
        <v>1811</v>
      </c>
      <c r="K503" s="25" t="str">
        <f>IFERROR(__xludf.DUMMYFUNCTION("IF(ISBLANK(A503),
  """",
  IF(ISNUMBER(A503),
    TEXT(A503,""dd/mm/yyyy""),
    IF(
      REGEXMATCH(TRIM(A503),""^\d{1,2}/\d{1,2}/\d{4}$""),
      TRIM(A503),
      IFERROR(
        TEXT(DATEVALUE(SUBSTITUTE(SUBSTITUTE(TRIM(A503),""-"",""/""),""."",""/"&amp;""")),""dd/mm/yyyy""),
        TRIM(A503)
      )
    )
  )
)
"),"13/11/2024")</f>
        <v>13/11/2024</v>
      </c>
      <c r="L503" s="26">
        <v>45609.0</v>
      </c>
      <c r="M503" s="27" t="str">
        <f>IFERROR(__xludf.DUMMYFUNCTION("PROPER(TRIM(
  REGEXREPLACE(
    REGEXREPLACE(
      SUBSTITUTE(SUBSTITUTE(SUBSTITUTE(SUBSTITUTE(SUBSTITUTE(SUBSTITUTE(SUBSTITUTE(SUBSTITUTE(SUBSTITUTE(SUBSTITUTE(SUBSTITUTE(
        B503,""√©"",""é""),""√°"",""á""),""√±"",""ñ""),""√≥"",""ó""),""√â"",""é"&amp;"""),""√Å"",""á""),""√ç"",""í""),""√Ç"",""Í""),""√Â"",""é""),""√≠"",""í""),""√º"",""ú""),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03" s="28" t="str">
        <f>IFERROR(__xludf.DUMMYFUNCTION("SPLIT(
  TRIM(
    SUBSTITUTE(
      SUBSTITUTE(
        SUBSTITUTE(
          SUBSTITUTE(
            C503,
            ""√©"", ""é""
          ),
          ""√±"", ""ñ""
        ),
        ""√°"", ""á""
      ),
      ""√≥"", ""ó""
    )
  ),
  ""-""
)
"),"Auriculares")</f>
        <v>Auriculares</v>
      </c>
      <c r="O503" s="28" t="str">
        <f>IFERROR(__xludf.DUMMYFUNCTION("""COMPUTED_VALUE"""),"Cancelación de ruido")</f>
        <v>Cancelación de ruido</v>
      </c>
      <c r="P503" s="28" t="str">
        <f>IFERROR(__xludf.DUMMYFUNCTION("""COMPUTED_VALUE"""),"16GB")</f>
        <v>16GB</v>
      </c>
      <c r="Q503" s="29">
        <f t="shared" si="1"/>
        <v>1899.66</v>
      </c>
      <c r="R503" s="28">
        <f t="shared" si="2"/>
        <v>2</v>
      </c>
      <c r="S503" s="29">
        <f t="shared" si="3"/>
        <v>3799.32</v>
      </c>
      <c r="T503" s="28" t="str">
        <f>IFERROR(__xludf.DUMMYFUNCTION("PROPER(TRIM(
  LET(
    texto1, REGEXREPLACE(G503,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"),"Pilar Laboy")</f>
        <v>Pilar Laboy</v>
      </c>
      <c r="U503" s="31" t="str">
        <f t="shared" si="4"/>
        <v>86e384a9-c2a7-45ca-a673-368c949b7a96</v>
      </c>
      <c r="V503" s="30" t="str">
        <f t="shared" si="5"/>
        <v>Auriculares Cancelación de ruido 16GB</v>
      </c>
    </row>
    <row r="504" ht="15.75" customHeight="1">
      <c r="A504" s="6">
        <v>45618.0</v>
      </c>
      <c r="B504" s="2" t="s">
        <v>50</v>
      </c>
      <c r="C504" s="2" t="s">
        <v>360</v>
      </c>
      <c r="D504" s="7">
        <v>197.09</v>
      </c>
      <c r="E504" s="2">
        <v>3.0</v>
      </c>
      <c r="F504" s="7">
        <v>591.27</v>
      </c>
      <c r="G504" s="2" t="s">
        <v>1812</v>
      </c>
      <c r="H504" s="2" t="s">
        <v>1813</v>
      </c>
      <c r="I504" s="2" t="s">
        <v>1814</v>
      </c>
      <c r="K504" s="19" t="str">
        <f>IFERROR(__xludf.DUMMYFUNCTION("IF(ISBLANK(A504),
  """",
  IF(ISNUMBER(A504),
    TEXT(A504,""dd/mm/yyyy""),
    IF(
      REGEXMATCH(TRIM(A504),""^\d{1,2}/\d{1,2}/\d{4}$""),
      TRIM(A504),
      IFERROR(
        TEXT(DATEVALUE(SUBSTITUTE(SUBSTITUTE(TRIM(A504),""-"",""/""),""."",""/"&amp;""")),""dd/mm/yyyy""),
        TRIM(A504)
      )
    )
  )
)
"),"22/11/2024")</f>
        <v>22/11/2024</v>
      </c>
      <c r="L504" s="20">
        <v>45618.0</v>
      </c>
      <c r="M504" s="21" t="str">
        <f>IFERROR(__xludf.DUMMYFUNCTION("PROPER(TRIM(
  REGEXREPLACE(
    REGEXREPLACE(
      SUBSTITUTE(SUBSTITUTE(SUBSTITUTE(SUBSTITUTE(SUBSTITUTE(SUBSTITUTE(SUBSTITUTE(SUBSTITUTE(SUBSTITUTE(SUBSTITUTE(SUBSTITUTE(
        B504,""√©"",""é""),""√°"",""á""),""√±"",""ñ""),""√≥"",""ó""),""√â"",""é"&amp;"""),""√Å"",""á""),""√ç"",""í""),""√Ç"",""Í""),""√Â"",""é""),""√≠"",""í""),""√º"",""ú""),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04" s="22" t="str">
        <f>IFERROR(__xludf.DUMMYFUNCTION("SPLIT(
  TRIM(
    SUBSTITUTE(
      SUBSTITUTE(
        SUBSTITUTE(
          SUBSTITUTE(
            C504,
            ""√©"", ""é""
          ),
          ""√±"", ""ñ""
        ),
        ""√°"", ""á""
      ),
      ""√≥"", ""ó""
    )
  ),
  ""-""
)
"),"Tablet")</f>
        <v>Tablet</v>
      </c>
      <c r="O504" s="22" t="str">
        <f>IFERROR(__xludf.DUMMYFUNCTION("""COMPUTED_VALUE"""),"Estándar")</f>
        <v>Estándar</v>
      </c>
      <c r="P504" s="22" t="str">
        <f>IFERROR(__xludf.DUMMYFUNCTION("""COMPUTED_VALUE"""),"8GB")</f>
        <v>8GB</v>
      </c>
      <c r="Q504" s="23">
        <f t="shared" si="1"/>
        <v>197.09</v>
      </c>
      <c r="R504" s="22">
        <f t="shared" si="2"/>
        <v>3</v>
      </c>
      <c r="S504" s="23">
        <f t="shared" si="3"/>
        <v>591.27</v>
      </c>
      <c r="T504" s="22" t="str">
        <f>IFERROR(__xludf.DUMMYFUNCTION("PROPER(TRIM(
  LET(
    texto1, REGEXREPLACE(G504,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"),"Alfredo De La Fuente")</f>
        <v>Alfredo De La Fuente</v>
      </c>
      <c r="U504" s="22" t="str">
        <f t="shared" si="4"/>
        <v>93eed3fe-4660-4b73-ac92-7b7bf72ad00f</v>
      </c>
      <c r="V504" s="24" t="str">
        <f t="shared" si="5"/>
        <v>Tablet Estándar 8GB</v>
      </c>
    </row>
    <row r="505" ht="15.75" customHeight="1">
      <c r="A505" s="6">
        <v>45654.0</v>
      </c>
      <c r="B505" s="2" t="s">
        <v>101</v>
      </c>
      <c r="C505" s="2" t="s">
        <v>70</v>
      </c>
      <c r="D505" s="7">
        <v>1577.5</v>
      </c>
      <c r="E505" s="2">
        <v>4.0</v>
      </c>
      <c r="F505" s="7">
        <v>6310.0</v>
      </c>
      <c r="G505" s="2" t="s">
        <v>1815</v>
      </c>
      <c r="H505" s="2" t="s">
        <v>1816</v>
      </c>
      <c r="I505" s="2" t="s">
        <v>1817</v>
      </c>
      <c r="K505" s="25" t="str">
        <f>IFERROR(__xludf.DUMMYFUNCTION("IF(ISBLANK(A505),
  """",
  IF(ISNUMBER(A505),
    TEXT(A505,""dd/mm/yyyy""),
    IF(
      REGEXMATCH(TRIM(A505),""^\d{1,2}/\d{1,2}/\d{4}$""),
      TRIM(A505),
      IFERROR(
        TEXT(DATEVALUE(SUBSTITUTE(SUBSTITUTE(TRIM(A505),""-"",""/""),""."",""/"&amp;""")),""dd/mm/yyyy""),
        TRIM(A505)
      )
    )
  )
)
"),"28/12/2024")</f>
        <v>28/12/2024</v>
      </c>
      <c r="L505" s="26">
        <v>45654.0</v>
      </c>
      <c r="M505" s="27" t="str">
        <f>IFERROR(__xludf.DUMMYFUNCTION("PROPER(TRIM(
  REGEXREPLACE(
    REGEXREPLACE(
      SUBSTITUTE(SUBSTITUTE(SUBSTITUTE(SUBSTITUTE(SUBSTITUTE(SUBSTITUTE(SUBSTITUTE(SUBSTITUTE(SUBSTITUTE(SUBSTITUTE(SUBSTITUTE(
        B505,""√©"",""é""),""√°"",""á""),""√±"",""ñ""),""√≥"",""ó""),""√â"",""é"&amp;"""),""√Å"",""á""),""√ç"",""í""),""√Ç"",""Í""),""√Â"",""é""),""√≠"",""í""),""√º"",""ú""),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05" s="28" t="str">
        <f>IFERROR(__xludf.DUMMYFUNCTION("SPLIT(
  TRIM(
    SUBSTITUTE(
      SUBSTITUTE(
        SUBSTITUTE(
          SUBSTITUTE(
            C505,
            ""√©"", ""é""
          ),
          ""√±"", ""ñ""
        ),
        ""√°"", ""á""
      ),
      ""√≥"", ""ó""
    )
  ),
  ""-""
)
"),"Auriculares")</f>
        <v>Auriculares</v>
      </c>
      <c r="O505" s="28" t="str">
        <f>IFERROR(__xludf.DUMMYFUNCTION("""COMPUTED_VALUE"""),"Con cable")</f>
        <v>Con cable</v>
      </c>
      <c r="P505" s="28" t="str">
        <f>IFERROR(__xludf.DUMMYFUNCTION("""COMPUTED_VALUE"""),"16GB")</f>
        <v>16GB</v>
      </c>
      <c r="Q505" s="29">
        <f t="shared" si="1"/>
        <v>1577.5</v>
      </c>
      <c r="R505" s="28">
        <f t="shared" si="2"/>
        <v>4</v>
      </c>
      <c r="S505" s="29">
        <f t="shared" si="3"/>
        <v>6310</v>
      </c>
      <c r="T505" s="28" t="str">
        <f>IFERROR(__xludf.DUMMYFUNCTION("PROPER(TRIM(
  LET(
    texto1, REGEXREPLACE(G505,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Iván Figueroa")</f>
        <v>Estela Iván Figueroa</v>
      </c>
      <c r="U505" s="28" t="str">
        <f t="shared" si="4"/>
        <v>0e8a03cd-16fb-4487-accf-bc309a83a97e</v>
      </c>
      <c r="V505" s="30" t="str">
        <f t="shared" si="5"/>
        <v>Auriculares Con cable 16GB</v>
      </c>
    </row>
    <row r="506" ht="15.75" customHeight="1">
      <c r="A506" s="6">
        <v>45592.0</v>
      </c>
      <c r="B506" s="2" t="s">
        <v>27</v>
      </c>
      <c r="C506" s="2" t="s">
        <v>360</v>
      </c>
      <c r="D506" s="7">
        <v>832.37</v>
      </c>
      <c r="E506" s="2">
        <v>2.0</v>
      </c>
      <c r="F506" s="7">
        <v>1664.74</v>
      </c>
      <c r="G506" s="2" t="s">
        <v>1818</v>
      </c>
      <c r="H506" s="2" t="s">
        <v>1819</v>
      </c>
      <c r="I506" s="2" t="s">
        <v>1820</v>
      </c>
      <c r="K506" s="19" t="str">
        <f>IFERROR(__xludf.DUMMYFUNCTION("IF(ISBLANK(A506),
  """",
  IF(ISNUMBER(A506),
    TEXT(A506,""dd/mm/yyyy""),
    IF(
      REGEXMATCH(TRIM(A506),""^\d{1,2}/\d{1,2}/\d{4}$""),
      TRIM(A506),
      IFERROR(
        TEXT(DATEVALUE(SUBSTITUTE(SUBSTITUTE(TRIM(A506),""-"",""/""),""."",""/"&amp;""")),""dd/mm/yyyy""),
        TRIM(A506)
      )
    )
  )
)
"),"27/10/2024")</f>
        <v>27/10/2024</v>
      </c>
      <c r="L506" s="20">
        <v>45592.0</v>
      </c>
      <c r="M506" s="21" t="str">
        <f>IFERROR(__xludf.DUMMYFUNCTION("PROPER(TRIM(
  REGEXREPLACE(
    REGEXREPLACE(
      SUBSTITUTE(SUBSTITUTE(SUBSTITUTE(SUBSTITUTE(SUBSTITUTE(SUBSTITUTE(SUBSTITUTE(SUBSTITUTE(SUBSTITUTE(SUBSTITUTE(SUBSTITUTE(
        B506,""√©"",""é""),""√°"",""á""),""√±"",""ñ""),""√≥"",""ó""),""√â"",""é"&amp;"""),""√Å"",""á""),""√ç"",""í""),""√Ç"",""Í""),""√Â"",""é""),""√≠"",""í""),""√º"",""ú""),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06" s="22" t="str">
        <f>IFERROR(__xludf.DUMMYFUNCTION("SPLIT(
  TRIM(
    SUBSTITUTE(
      SUBSTITUTE(
        SUBSTITUTE(
          SUBSTITUTE(
            C506,
            ""√©"", ""é""
          ),
          ""√±"", ""ñ""
        ),
        ""√°"", ""á""
      ),
      ""√≥"", ""ó""
    )
  ),
  ""-""
)
"),"Tablet")</f>
        <v>Tablet</v>
      </c>
      <c r="O506" s="22" t="str">
        <f>IFERROR(__xludf.DUMMYFUNCTION("""COMPUTED_VALUE"""),"Estándar")</f>
        <v>Estándar</v>
      </c>
      <c r="P506" s="22" t="str">
        <f>IFERROR(__xludf.DUMMYFUNCTION("""COMPUTED_VALUE"""),"8GB")</f>
        <v>8GB</v>
      </c>
      <c r="Q506" s="23">
        <f t="shared" si="1"/>
        <v>832.37</v>
      </c>
      <c r="R506" s="22">
        <f t="shared" si="2"/>
        <v>2</v>
      </c>
      <c r="S506" s="23">
        <f t="shared" si="3"/>
        <v>1664.74</v>
      </c>
      <c r="T506" s="22" t="str">
        <f>IFERROR(__xludf.DUMMYFUNCTION("PROPER(TRIM(
  LET(
    texto1, REGEXREPLACE(G506,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"),"Liliana Pedraza")</f>
        <v>Liliana Pedraza</v>
      </c>
      <c r="U506" s="22" t="str">
        <f t="shared" si="4"/>
        <v>8b0b8f3a-d8c5-47fe-9e94-09d8d82d6464</v>
      </c>
      <c r="V506" s="24" t="str">
        <f t="shared" si="5"/>
        <v>Tablet Estándar 8GB</v>
      </c>
    </row>
    <row r="507" ht="15.75" customHeight="1">
      <c r="A507" s="6">
        <v>45622.0</v>
      </c>
      <c r="B507" s="2" t="s">
        <v>50</v>
      </c>
      <c r="C507" s="2" t="s">
        <v>116</v>
      </c>
      <c r="D507" s="7">
        <v>1519.67</v>
      </c>
      <c r="E507" s="2">
        <v>4.0</v>
      </c>
      <c r="F507" s="7">
        <v>6078.68</v>
      </c>
      <c r="G507" s="2" t="s">
        <v>1821</v>
      </c>
      <c r="H507" s="2" t="s">
        <v>1822</v>
      </c>
      <c r="I507" s="2" t="s">
        <v>1823</v>
      </c>
      <c r="K507" s="25" t="str">
        <f>IFERROR(__xludf.DUMMYFUNCTION("IF(ISBLANK(A507),
  """",
  IF(ISNUMBER(A507),
    TEXT(A507,""dd/mm/yyyy""),
    IF(
      REGEXMATCH(TRIM(A507),""^\d{1,2}/\d{1,2}/\d{4}$""),
      TRIM(A507),
      IFERROR(
        TEXT(DATEVALUE(SUBSTITUTE(SUBSTITUTE(TRIM(A507),""-"",""/""),""."",""/"&amp;""")),""dd/mm/yyyy""),
        TRIM(A507)
      )
    )
  )
)
"),"26/11/2024")</f>
        <v>26/11/2024</v>
      </c>
      <c r="L507" s="26">
        <v>45622.0</v>
      </c>
      <c r="M507" s="27" t="str">
        <f>IFERROR(__xludf.DUMMYFUNCTION("PROPER(TRIM(
  REGEXREPLACE(
    REGEXREPLACE(
      SUBSTITUTE(SUBSTITUTE(SUBSTITUTE(SUBSTITUTE(SUBSTITUTE(SUBSTITUTE(SUBSTITUTE(SUBSTITUTE(SUBSTITUTE(SUBSTITUTE(SUBSTITUTE(
        B507,""√©"",""é""),""√°"",""á""),""√±"",""ñ""),""√≥"",""ó""),""√â"",""é"&amp;"""),""√Å"",""á""),""√ç"",""í""),""√Ç"",""Í""),""√Â"",""é""),""√≠"",""í""),""√º"",""ú""),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07" s="28" t="str">
        <f>IFERROR(__xludf.DUMMYFUNCTION("SPLIT(
  TRIM(
    SUBSTITUTE(
      SUBSTITUTE(
        SUBSTITUTE(
          SUBSTITUTE(
            C507,
            ""√©"", ""é""
          ),
          ""√±"", ""ñ""
        ),
        ""√°"", ""á""
      ),
      ""√≥"", ""ó""
    )
  ),
  ""-""
)
"),"Teléfono")</f>
        <v>Teléfono</v>
      </c>
      <c r="O507" s="28" t="str">
        <f>IFERROR(__xludf.DUMMYFUNCTION("""COMPUTED_VALUE"""),"Gama media")</f>
        <v>Gama media</v>
      </c>
      <c r="P507" s="28" t="str">
        <f>IFERROR(__xludf.DUMMYFUNCTION("""COMPUTED_VALUE"""),"4GB")</f>
        <v>4GB</v>
      </c>
      <c r="Q507" s="29">
        <f t="shared" si="1"/>
        <v>1519.67</v>
      </c>
      <c r="R507" s="28">
        <f t="shared" si="2"/>
        <v>4</v>
      </c>
      <c r="S507" s="29">
        <f t="shared" si="3"/>
        <v>6078.68</v>
      </c>
      <c r="T507" s="28" t="str">
        <f>IFERROR(__xludf.DUMMYFUNCTION("PROPER(TRIM(
  LET(
    texto1, REGEXREPLACE(G507,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"),"Victoria Galván")</f>
        <v>Victoria Galván</v>
      </c>
      <c r="U507" s="28" t="str">
        <f t="shared" si="4"/>
        <v>c95e92f7-8dde-45fb-8837-d183a4786431</v>
      </c>
      <c r="V507" s="30" t="str">
        <f t="shared" si="5"/>
        <v>Teléfono Gama media 4GB</v>
      </c>
    </row>
    <row r="508" ht="15.75" customHeight="1">
      <c r="A508" s="36">
        <v>45485.0</v>
      </c>
      <c r="B508" s="2" t="s">
        <v>130</v>
      </c>
      <c r="C508" s="2" t="s">
        <v>162</v>
      </c>
      <c r="D508" s="7">
        <v>1947.2</v>
      </c>
      <c r="E508" s="2">
        <v>5.0</v>
      </c>
      <c r="F508" s="7">
        <v>9736.0</v>
      </c>
      <c r="G508" s="2" t="s">
        <v>1824</v>
      </c>
      <c r="H508" s="2" t="s">
        <v>1825</v>
      </c>
      <c r="I508" s="2" t="s">
        <v>1826</v>
      </c>
      <c r="K508" s="19" t="str">
        <f>IFERROR(__xludf.DUMMYFUNCTION("IF(ISBLANK(A508),
  """",
  IF(ISNUMBER(A508),
    TEXT(A508,""dd/mm/yyyy""),
    IF(
      REGEXMATCH(TRIM(A508),""^\d{1,2}/\d{1,2}/\d{4}$""),
      TRIM(A508),
      IFERROR(
        TEXT(DATEVALUE(SUBSTITUTE(SUBSTITUTE(TRIM(A508),""-"",""/""),""."",""/"&amp;""")),""dd/mm/yyyy""),
        TRIM(A508)
      )
    )
  )
)
"),"12/07/2024")</f>
        <v>12/07/2024</v>
      </c>
      <c r="L508" s="20">
        <v>45485.0</v>
      </c>
      <c r="M508" s="21" t="str">
        <f>IFERROR(__xludf.DUMMYFUNCTION("PROPER(TRIM(
  REGEXREPLACE(
    REGEXREPLACE(
      SUBSTITUTE(SUBSTITUTE(SUBSTITUTE(SUBSTITUTE(SUBSTITUTE(SUBSTITUTE(SUBSTITUTE(SUBSTITUTE(SUBSTITUTE(SUBSTITUTE(SUBSTITUTE(
        B508,""√©"",""é""),""√°"",""á""),""√±"",""ñ""),""√≥"",""ó""),""√â"",""é"&amp;"""),""√Å"",""á""),""√ç"",""í""),""√Ç"",""Í""),""√Â"",""é""),""√≠"",""í""),""√º"",""ú""),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08" s="22" t="str">
        <f>IFERROR(__xludf.DUMMYFUNCTION("SPLIT(
  TRIM(
    SUBSTITUTE(
      SUBSTITUTE(
        SUBSTITUTE(
          SUBSTITUTE(
            C508,
            ""√©"", ""é""
          ),
          ""√±"", ""ñ""
        ),
        ""√°"", ""á""
      ),
      ""√≥"", ""ó""
    )
  ),
  ""-""
)
"),"Teléfono")</f>
        <v>Teléfono</v>
      </c>
      <c r="O508" s="22" t="str">
        <f>IFERROR(__xludf.DUMMYFUNCTION("""COMPUTED_VALUE"""),"Gama alta")</f>
        <v>Gama alta</v>
      </c>
      <c r="P508" s="22" t="str">
        <f>IFERROR(__xludf.DUMMYFUNCTION("""COMPUTED_VALUE"""),"16GB")</f>
        <v>16GB</v>
      </c>
      <c r="Q508" s="23">
        <f t="shared" si="1"/>
        <v>1947.2</v>
      </c>
      <c r="R508" s="22">
        <f t="shared" si="2"/>
        <v>5</v>
      </c>
      <c r="S508" s="23">
        <f t="shared" si="3"/>
        <v>9736</v>
      </c>
      <c r="T508" s="22" t="str">
        <f>IFERROR(__xludf.DUMMYFUNCTION("PROPER(TRIM(
  LET(
    texto1, REGEXREPLACE(G508,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"),"Ricardo Bruno Báez")</f>
        <v>Ricardo Bruno Báez</v>
      </c>
      <c r="U508" s="22" t="str">
        <f t="shared" si="4"/>
        <v>c3a1ef5f-f105-4822-9c72-844ed7b0298f</v>
      </c>
      <c r="V508" s="24" t="str">
        <f t="shared" si="5"/>
        <v>Teléfono Gama alta 16GB</v>
      </c>
    </row>
    <row r="509" ht="15.75" customHeight="1">
      <c r="A509" s="6">
        <v>45619.0</v>
      </c>
      <c r="B509" s="2" t="s">
        <v>85</v>
      </c>
      <c r="C509" s="2" t="s">
        <v>28</v>
      </c>
      <c r="D509" s="7">
        <v>793.75</v>
      </c>
      <c r="E509" s="2">
        <v>1.0</v>
      </c>
      <c r="F509" s="7">
        <v>793.75</v>
      </c>
      <c r="G509" s="2" t="s">
        <v>1827</v>
      </c>
      <c r="H509" s="2" t="s">
        <v>1828</v>
      </c>
      <c r="I509" s="2" t="s">
        <v>1829</v>
      </c>
      <c r="K509" s="25" t="str">
        <f>IFERROR(__xludf.DUMMYFUNCTION("IF(ISBLANK(A509),
  """",
  IF(ISNUMBER(A509),
    TEXT(A509,""dd/mm/yyyy""),
    IF(
      REGEXMATCH(TRIM(A509),""^\d{1,2}/\d{1,2}/\d{4}$""),
      TRIM(A509),
      IFERROR(
        TEXT(DATEVALUE(SUBSTITUTE(SUBSTITUTE(TRIM(A509),""-"",""/""),""."",""/"&amp;""")),""dd/mm/yyyy""),
        TRIM(A509)
      )
    )
  )
)
"),"23/11/2024")</f>
        <v>23/11/2024</v>
      </c>
      <c r="L509" s="26">
        <v>45619.0</v>
      </c>
      <c r="M509" s="27" t="str">
        <f>IFERROR(__xludf.DUMMYFUNCTION("PROPER(TRIM(
  REGEXREPLACE(
    REGEXREPLACE(
      SUBSTITUTE(SUBSTITUTE(SUBSTITUTE(SUBSTITUTE(SUBSTITUTE(SUBSTITUTE(SUBSTITUTE(SUBSTITUTE(SUBSTITUTE(SUBSTITUTE(SUBSTITUTE(
        B509,""√©"",""é""),""√°"",""á""),""√±"",""ñ""),""√≥"",""ó""),""√â"",""é"&amp;"""),""√Å"",""á""),""√ç"",""í""),""√Ç"",""Í""),""√Â"",""é""),""√≠"",""í""),""√º"",""ú""),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09" s="28" t="str">
        <f>IFERROR(__xludf.DUMMYFUNCTION("SPLIT(
  TRIM(
    SUBSTITUTE(
      SUBSTITUTE(
        SUBSTITUTE(
          SUBSTITUTE(
            C509,
            ""√©"", ""é""
          ),
          ""√±"", ""ñ""
        ),
        ""√°"", ""á""
      ),
      ""√≥"", ""ó""
    )
  ),
  ""-""
)
"),"Tablet")</f>
        <v>Tablet</v>
      </c>
      <c r="O509" s="28" t="str">
        <f>IFERROR(__xludf.DUMMYFUNCTION("""COMPUTED_VALUE"""),"Pro")</f>
        <v>Pro</v>
      </c>
      <c r="P509" s="28" t="str">
        <f>IFERROR(__xludf.DUMMYFUNCTION("""COMPUTED_VALUE"""),"8GB")</f>
        <v>8GB</v>
      </c>
      <c r="Q509" s="29">
        <f t="shared" si="1"/>
        <v>793.75</v>
      </c>
      <c r="R509" s="28">
        <f t="shared" si="2"/>
        <v>1</v>
      </c>
      <c r="S509" s="29">
        <f t="shared" si="3"/>
        <v>793.75</v>
      </c>
      <c r="T509" s="28" t="str">
        <f>IFERROR(__xludf.DUMMYFUNCTION("PROPER(TRIM(
  LET(
    texto1, REGEXREPLACE(G509,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"),"Guillermo Diana Curiel Verdugo")</f>
        <v>Guillermo Diana Curiel Verdugo</v>
      </c>
      <c r="U509" s="28" t="str">
        <f t="shared" si="4"/>
        <v>f76306ca-536d-4c20-8a36-77c9fc49afc0</v>
      </c>
      <c r="V509" s="30" t="str">
        <f t="shared" si="5"/>
        <v>Tablet Pro 8GB</v>
      </c>
    </row>
    <row r="510" ht="15.75" customHeight="1">
      <c r="A510" s="6">
        <v>45610.0</v>
      </c>
      <c r="B510" s="2" t="s">
        <v>27</v>
      </c>
      <c r="C510" s="2" t="s">
        <v>360</v>
      </c>
      <c r="D510" s="7">
        <v>1001.15</v>
      </c>
      <c r="E510" s="2">
        <v>4.0</v>
      </c>
      <c r="F510" s="7">
        <v>4004.6</v>
      </c>
      <c r="G510" s="2" t="s">
        <v>1830</v>
      </c>
      <c r="H510" s="2" t="s">
        <v>1831</v>
      </c>
      <c r="I510" s="2" t="s">
        <v>1832</v>
      </c>
      <c r="K510" s="19" t="str">
        <f>IFERROR(__xludf.DUMMYFUNCTION("IF(ISBLANK(A510),
  """",
  IF(ISNUMBER(A510),
    TEXT(A510,""dd/mm/yyyy""),
    IF(
      REGEXMATCH(TRIM(A510),""^\d{1,2}/\d{1,2}/\d{4}$""),
      TRIM(A510),
      IFERROR(
        TEXT(DATEVALUE(SUBSTITUTE(SUBSTITUTE(TRIM(A510),""-"",""/""),""."",""/"&amp;""")),""dd/mm/yyyy""),
        TRIM(A510)
      )
    )
  )
)
"),"14/11/2024")</f>
        <v>14/11/2024</v>
      </c>
      <c r="L510" s="20">
        <v>45610.0</v>
      </c>
      <c r="M510" s="21" t="str">
        <f>IFERROR(__xludf.DUMMYFUNCTION("PROPER(TRIM(
  REGEXREPLACE(
    REGEXREPLACE(
      SUBSTITUTE(SUBSTITUTE(SUBSTITUTE(SUBSTITUTE(SUBSTITUTE(SUBSTITUTE(SUBSTITUTE(SUBSTITUTE(SUBSTITUTE(SUBSTITUTE(SUBSTITUTE(
        B510,""√©"",""é""),""√°"",""á""),""√±"",""ñ""),""√≥"",""ó""),""√â"",""é"&amp;"""),""√Å"",""á""),""√ç"",""í""),""√Ç"",""Í""),""√Â"",""é""),""√≠"",""í""),""√º"",""ú""),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10" s="22" t="str">
        <f>IFERROR(__xludf.DUMMYFUNCTION("SPLIT(
  TRIM(
    SUBSTITUTE(
      SUBSTITUTE(
        SUBSTITUTE(
          SUBSTITUTE(
            C510,
            ""√©"", ""é""
          ),
          ""√±"", ""ñ""
        ),
        ""√°"", ""á""
      ),
      ""√≥"", ""ó""
    )
  ),
  ""-""
)
"),"Tablet")</f>
        <v>Tablet</v>
      </c>
      <c r="O510" s="22" t="str">
        <f>IFERROR(__xludf.DUMMYFUNCTION("""COMPUTED_VALUE"""),"Estándar")</f>
        <v>Estándar</v>
      </c>
      <c r="P510" s="22" t="str">
        <f>IFERROR(__xludf.DUMMYFUNCTION("""COMPUTED_VALUE"""),"8GB")</f>
        <v>8GB</v>
      </c>
      <c r="Q510" s="23">
        <f t="shared" si="1"/>
        <v>1001.15</v>
      </c>
      <c r="R510" s="22">
        <f t="shared" si="2"/>
        <v>4</v>
      </c>
      <c r="S510" s="23">
        <f t="shared" si="3"/>
        <v>4004.6</v>
      </c>
      <c r="T510" s="22" t="str">
        <f>IFERROR(__xludf.DUMMYFUNCTION("PROPER(TRIM(
  LET(
    texto1, REGEXREPLACE(G510,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"),"Susana Valadez De La Crz")</f>
        <v>Susana Valadez De La Crz</v>
      </c>
      <c r="U510" s="22" t="str">
        <f t="shared" si="4"/>
        <v>4f8944d0-df82-4668-beab-3dcdc6f3cf2f</v>
      </c>
      <c r="V510" s="24" t="str">
        <f t="shared" si="5"/>
        <v>Tablet Estándar 8GB</v>
      </c>
    </row>
    <row r="511" ht="15.75" customHeight="1">
      <c r="A511" s="36">
        <v>45424.0</v>
      </c>
      <c r="B511" s="2" t="s">
        <v>27</v>
      </c>
      <c r="C511" s="2" t="s">
        <v>65</v>
      </c>
      <c r="D511" s="7">
        <v>1492.69</v>
      </c>
      <c r="E511" s="2">
        <v>5.0</v>
      </c>
      <c r="F511" s="7">
        <v>7463.45</v>
      </c>
      <c r="G511" s="2" t="s">
        <v>1833</v>
      </c>
      <c r="H511" s="2" t="s">
        <v>1834</v>
      </c>
      <c r="I511" s="2" t="s">
        <v>1835</v>
      </c>
      <c r="K511" s="25" t="str">
        <f>IFERROR(__xludf.DUMMYFUNCTION("IF(ISBLANK(A511),
  """",
  IF(ISNUMBER(A511),
    TEXT(A511,""dd/mm/yyyy""),
    IF(
      REGEXMATCH(TRIM(A511),""^\d{1,2}/\d{1,2}/\d{4}$""),
      TRIM(A511),
      IFERROR(
        TEXT(DATEVALUE(SUBSTITUTE(SUBSTITUTE(TRIM(A511),""-"",""/""),""."",""/"&amp;""")),""dd/mm/yyyy""),
        TRIM(A511)
      )
    )
  )
)
"),"12/05/2024")</f>
        <v>12/05/2024</v>
      </c>
      <c r="L511" s="26">
        <v>45424.0</v>
      </c>
      <c r="M511" s="27" t="str">
        <f>IFERROR(__xludf.DUMMYFUNCTION("PROPER(TRIM(
  REGEXREPLACE(
    REGEXREPLACE(
      SUBSTITUTE(SUBSTITUTE(SUBSTITUTE(SUBSTITUTE(SUBSTITUTE(SUBSTITUTE(SUBSTITUTE(SUBSTITUTE(SUBSTITUTE(SUBSTITUTE(SUBSTITUTE(
        B511,""√©"",""é""),""√°"",""á""),""√±"",""ñ""),""√≥"",""ó""),""√â"",""é"&amp;"""),""√Å"",""á""),""√ç"",""í""),""√Ç"",""Í""),""√Â"",""é""),""√≠"",""í""),""√º"",""ú""),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11" s="28" t="str">
        <f>IFERROR(__xludf.DUMMYFUNCTION("SPLIT(
  TRIM(
    SUBSTITUTE(
      SUBSTITUTE(
        SUBSTITUTE(
          SUBSTITUTE(
            C511,
            ""√©"", ""é""
          ),
          ""√±"", ""ñ""
        ),
        ""√°"", ""á""
      ),
      ""√≥"", ""ó""
    )
  ),
  ""-""
)
"),"Auriculares")</f>
        <v>Auriculares</v>
      </c>
      <c r="O511" s="28" t="str">
        <f>IFERROR(__xludf.DUMMYFUNCTION("""COMPUTED_VALUE"""),"Bluetooth")</f>
        <v>Bluetooth</v>
      </c>
      <c r="P511" s="28" t="str">
        <f>IFERROR(__xludf.DUMMYFUNCTION("""COMPUTED_VALUE"""),"16GB")</f>
        <v>16GB</v>
      </c>
      <c r="Q511" s="29">
        <f t="shared" si="1"/>
        <v>1492.69</v>
      </c>
      <c r="R511" s="28">
        <f t="shared" si="2"/>
        <v>5</v>
      </c>
      <c r="S511" s="29">
        <f t="shared" si="3"/>
        <v>7463.45</v>
      </c>
      <c r="T511" s="28" t="str">
        <f>IFERROR(__xludf.DUMMYFUNCTION("PROPER(TRIM(
  LET(
    texto1, REGEXREPLACE(G511,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Del Carmen Liver Calderón")</f>
        <v>María Del Carmen Liver Calderón</v>
      </c>
      <c r="U511" s="28" t="str">
        <f t="shared" si="4"/>
        <v>1fd8b779-9173-420c-b04e-89c7391c69a8</v>
      </c>
      <c r="V511" s="30" t="str">
        <f t="shared" si="5"/>
        <v>Auriculares Bluetooth 16GB</v>
      </c>
    </row>
    <row r="512" ht="15.75" customHeight="1">
      <c r="A512" s="36">
        <v>45515.0</v>
      </c>
      <c r="B512" s="2" t="s">
        <v>85</v>
      </c>
      <c r="C512" s="2" t="s">
        <v>250</v>
      </c>
      <c r="D512" s="7">
        <v>1228.88</v>
      </c>
      <c r="E512" s="2">
        <v>3.0</v>
      </c>
      <c r="F512" s="7">
        <v>3686.64</v>
      </c>
      <c r="G512" s="2" t="s">
        <v>1836</v>
      </c>
      <c r="H512" s="2" t="s">
        <v>1837</v>
      </c>
      <c r="I512" s="2" t="s">
        <v>1838</v>
      </c>
      <c r="K512" s="19" t="str">
        <f>IFERROR(__xludf.DUMMYFUNCTION("IF(ISBLANK(A512),
  """",
  IF(ISNUMBER(A512),
    TEXT(A512,""dd/mm/yyyy""),
    IF(
      REGEXMATCH(TRIM(A512),""^\d{1,2}/\d{1,2}/\d{4}$""),
      TRIM(A512),
      IFERROR(
        TEXT(DATEVALUE(SUBSTITUTE(SUBSTITUTE(TRIM(A512),""-"",""/""),""."",""/"&amp;""")),""dd/mm/yyyy""),
        TRIM(A512)
      )
    )
  )
)
"),"11/08/2024")</f>
        <v>11/08/2024</v>
      </c>
      <c r="L512" s="20">
        <v>45515.0</v>
      </c>
      <c r="M512" s="21" t="str">
        <f>IFERROR(__xludf.DUMMYFUNCTION("PROPER(TRIM(
  REGEXREPLACE(
    REGEXREPLACE(
      SUBSTITUTE(SUBSTITUTE(SUBSTITUTE(SUBSTITUTE(SUBSTITUTE(SUBSTITUTE(SUBSTITUTE(SUBSTITUTE(SUBSTITUTE(SUBSTITUTE(SUBSTITUTE(
        B512,""√©"",""é""),""√°"",""á""),""√±"",""ñ""),""√≥"",""ó""),""√â"",""é"&amp;"""),""√Å"",""á""),""√ç"",""í""),""√Ç"",""Í""),""√Â"",""é""),""√≠"",""í""),""√º"",""ú""),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12" s="22" t="str">
        <f>IFERROR(__xludf.DUMMYFUNCTION("SPLIT(
  TRIM(
    SUBSTITUTE(
      SUBSTITUTE(
        SUBSTITUTE(
          SUBSTITUTE(
            C512,
            ""√©"", ""é""
          ),
          ""√±"", ""ñ""
        ),
        ""√°"", ""á""
      ),
      ""√≥"", ""ó""
    )
  ),
  ""-""
)
"),"Laptop")</f>
        <v>Laptop</v>
      </c>
      <c r="O512" s="22" t="str">
        <f>IFERROR(__xludf.DUMMYFUNCTION("""COMPUTED_VALUE"""),"Oficina")</f>
        <v>Oficina</v>
      </c>
      <c r="P512" s="22" t="str">
        <f>IFERROR(__xludf.DUMMYFUNCTION("""COMPUTED_VALUE"""),"32GB")</f>
        <v>32GB</v>
      </c>
      <c r="Q512" s="23">
        <f t="shared" si="1"/>
        <v>1228.88</v>
      </c>
      <c r="R512" s="22">
        <f t="shared" si="2"/>
        <v>3</v>
      </c>
      <c r="S512" s="23">
        <f t="shared" si="3"/>
        <v>3686.64</v>
      </c>
      <c r="T512" s="22" t="str">
        <f>IFERROR(__xludf.DUMMYFUNCTION("PROPER(TRIM(
  LET(
    texto1, REGEXREPLACE(G512,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"),"Gustavo Aldonza Nazario Granado")</f>
        <v>Gustavo Aldonza Nazario Granado</v>
      </c>
      <c r="U512" s="22" t="str">
        <f t="shared" si="4"/>
        <v>0863774e-d706-46c8-a6ec-13da6cff2aed</v>
      </c>
      <c r="V512" s="24" t="str">
        <f t="shared" si="5"/>
        <v>Laptop Oficina 32GB</v>
      </c>
    </row>
    <row r="513" ht="15.75" customHeight="1">
      <c r="A513" s="6">
        <v>45655.0</v>
      </c>
      <c r="B513" s="2" t="s">
        <v>50</v>
      </c>
      <c r="C513" s="2" t="s">
        <v>452</v>
      </c>
      <c r="D513" s="7">
        <v>2068.09</v>
      </c>
      <c r="E513" s="2">
        <v>2.0</v>
      </c>
      <c r="F513" s="7">
        <v>4136.18</v>
      </c>
      <c r="G513" s="2" t="s">
        <v>1839</v>
      </c>
      <c r="H513" s="2" t="s">
        <v>1840</v>
      </c>
      <c r="I513" s="2" t="s">
        <v>1841</v>
      </c>
      <c r="K513" s="25" t="str">
        <f>IFERROR(__xludf.DUMMYFUNCTION("IF(ISBLANK(A513),
  """",
  IF(ISNUMBER(A513),
    TEXT(A513,""dd/mm/yyyy""),
    IF(
      REGEXMATCH(TRIM(A513),""^\d{1,2}/\d{1,2}/\d{4}$""),
      TRIM(A513),
      IFERROR(
        TEXT(DATEVALUE(SUBSTITUTE(SUBSTITUTE(TRIM(A513),""-"",""/""),""."",""/"&amp;""")),""dd/mm/yyyy""),
        TRIM(A513)
      )
    )
  )
)
"),"29/12/2024")</f>
        <v>29/12/2024</v>
      </c>
      <c r="L513" s="26">
        <v>45655.0</v>
      </c>
      <c r="M513" s="27" t="str">
        <f>IFERROR(__xludf.DUMMYFUNCTION("PROPER(TRIM(
  REGEXREPLACE(
    REGEXREPLACE(
      SUBSTITUTE(SUBSTITUTE(SUBSTITUTE(SUBSTITUTE(SUBSTITUTE(SUBSTITUTE(SUBSTITUTE(SUBSTITUTE(SUBSTITUTE(SUBSTITUTE(SUBSTITUTE(
        B513,""√©"",""é""),""√°"",""á""),""√±"",""ñ""),""√≥"",""ó""),""√â"",""é"&amp;"""),""√Å"",""á""),""√ç"",""í""),""√Ç"",""Í""),""√Â"",""é""),""√≠"",""í""),""√º"",""ú""),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13" s="28" t="str">
        <f>IFERROR(__xludf.DUMMYFUNCTION("SPLIT(
  TRIM(
    SUBSTITUTE(
      SUBSTITUTE(
        SUBSTITUTE(
          SUBSTITUTE(
            C513,
            ""√©"", ""é""
          ),
          ""√±"", ""ñ""
        ),
        ""√°"", ""á""
      ),
      ""√≥"", ""ó""
    )
  ),
  ""-""
)
"),"Teléfono")</f>
        <v>Teléfono</v>
      </c>
      <c r="O513" s="28" t="str">
        <f>IFERROR(__xludf.DUMMYFUNCTION("""COMPUTED_VALUE"""),"Gama media")</f>
        <v>Gama media</v>
      </c>
      <c r="P513" s="28" t="str">
        <f>IFERROR(__xludf.DUMMYFUNCTION("""COMPUTED_VALUE"""),"16GB")</f>
        <v>16GB</v>
      </c>
      <c r="Q513" s="29">
        <f t="shared" si="1"/>
        <v>2068.09</v>
      </c>
      <c r="R513" s="28">
        <f t="shared" si="2"/>
        <v>2</v>
      </c>
      <c r="S513" s="29">
        <f t="shared" si="3"/>
        <v>4136.18</v>
      </c>
      <c r="T513" s="28" t="str">
        <f>IFERROR(__xludf.DUMMYFUNCTION("PROPER(TRIM(
  LET(
    texto1, REGEXREPLACE(G513,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Teresa Ocasio Vera")</f>
        <v>María Teresa Ocasio Vera</v>
      </c>
      <c r="U513" s="28" t="str">
        <f t="shared" si="4"/>
        <v>d9f6800f-10da-460e-b27e-bdbb10820a14</v>
      </c>
      <c r="V513" s="30" t="str">
        <f t="shared" si="5"/>
        <v>Teléfono Gama media 16GB</v>
      </c>
    </row>
    <row r="514" ht="15.75" customHeight="1">
      <c r="A514" s="6">
        <v>45587.0</v>
      </c>
      <c r="B514" s="2" t="s">
        <v>38</v>
      </c>
      <c r="C514" s="2" t="s">
        <v>17</v>
      </c>
      <c r="D514" s="7">
        <v>1882.22</v>
      </c>
      <c r="E514" s="2">
        <v>3.0</v>
      </c>
      <c r="F514" s="7">
        <v>5646.66</v>
      </c>
      <c r="G514" s="2" t="s">
        <v>1842</v>
      </c>
      <c r="H514" s="2" t="s">
        <v>1843</v>
      </c>
      <c r="I514" s="2" t="s">
        <v>1844</v>
      </c>
      <c r="K514" s="19" t="str">
        <f>IFERROR(__xludf.DUMMYFUNCTION("IF(ISBLANK(A514),
  """",
  IF(ISNUMBER(A514),
    TEXT(A514,""dd/mm/yyyy""),
    IF(
      REGEXMATCH(TRIM(A514),""^\d{1,2}/\d{1,2}/\d{4}$""),
      TRIM(A514),
      IFERROR(
        TEXT(DATEVALUE(SUBSTITUTE(SUBSTITUTE(TRIM(A514),""-"",""/""),""."",""/"&amp;""")),""dd/mm/yyyy""),
        TRIM(A514)
      )
    )
  )
)
"),"22/10/2024")</f>
        <v>22/10/2024</v>
      </c>
      <c r="L514" s="20">
        <v>45587.0</v>
      </c>
      <c r="M514" s="21" t="str">
        <f>IFERROR(__xludf.DUMMYFUNCTION("PROPER(TRIM(
  REGEXREPLACE(
    REGEXREPLACE(
      SUBSTITUTE(SUBSTITUTE(SUBSTITUTE(SUBSTITUTE(SUBSTITUTE(SUBSTITUTE(SUBSTITUTE(SUBSTITUTE(SUBSTITUTE(SUBSTITUTE(SUBSTITUTE(
        B514,""√©"",""é""),""√°"",""á""),""√±"",""ñ""),""√≥"",""ó""),""√â"",""é"&amp;"""),""√Å"",""á""),""√ç"",""í""),""√Ç"",""Í""),""√Â"",""é""),""√≠"",""í""),""√º"",""ú""),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14" s="22" t="str">
        <f>IFERROR(__xludf.DUMMYFUNCTION("SPLIT(
  TRIM(
    SUBSTITUTE(
      SUBSTITUTE(
        SUBSTITUTE(
          SUBSTITUTE(
            C514,
            ""√©"", ""é""
          ),
          ""√±"", ""ñ""
        ),
        ""√°"", ""á""
      ),
      ""√≥"", ""ó""
    )
  ),
  ""-""
)
"),"Auriculares")</f>
        <v>Auriculares</v>
      </c>
      <c r="O514" s="22" t="str">
        <f>IFERROR(__xludf.DUMMYFUNCTION("""COMPUTED_VALUE"""),"Bluetooth")</f>
        <v>Bluetooth</v>
      </c>
      <c r="P514" s="22" t="str">
        <f>IFERROR(__xludf.DUMMYFUNCTION("""COMPUTED_VALUE"""),"8GB")</f>
        <v>8GB</v>
      </c>
      <c r="Q514" s="23">
        <f t="shared" si="1"/>
        <v>1882.22</v>
      </c>
      <c r="R514" s="22">
        <f t="shared" si="2"/>
        <v>3</v>
      </c>
      <c r="S514" s="23">
        <f t="shared" si="3"/>
        <v>5646.66</v>
      </c>
      <c r="T514" s="22" t="str">
        <f>IFERROR(__xludf.DUMMYFUNCTION("PROPER(TRIM(
  LET(
    texto1, REGEXREPLACE(G514,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"),"Omar Carla Miranda")</f>
        <v>Omar Carla Miranda</v>
      </c>
      <c r="U514" s="22" t="str">
        <f t="shared" si="4"/>
        <v>39880590-7dce-48d2-a8b2-dcef91f42511</v>
      </c>
      <c r="V514" s="24" t="str">
        <f t="shared" si="5"/>
        <v>Auriculares Bluetooth 8GB</v>
      </c>
    </row>
    <row r="515" ht="15.75" customHeight="1">
      <c r="A515" s="6">
        <v>45596.0</v>
      </c>
      <c r="B515" s="2" t="s">
        <v>27</v>
      </c>
      <c r="C515" s="2" t="s">
        <v>181</v>
      </c>
      <c r="D515" s="7">
        <v>2266.71</v>
      </c>
      <c r="E515" s="2">
        <v>2.0</v>
      </c>
      <c r="F515" s="7">
        <v>4533.42</v>
      </c>
      <c r="G515" s="2" t="s">
        <v>1845</v>
      </c>
      <c r="H515" s="2" t="s">
        <v>1846</v>
      </c>
      <c r="I515" s="2" t="s">
        <v>1847</v>
      </c>
      <c r="K515" s="25" t="str">
        <f>IFERROR(__xludf.DUMMYFUNCTION("IF(ISBLANK(A515),
  """",
  IF(ISNUMBER(A515),
    TEXT(A515,""dd/mm/yyyy""),
    IF(
      REGEXMATCH(TRIM(A515),""^\d{1,2}/\d{1,2}/\d{4}$""),
      TRIM(A515),
      IFERROR(
        TEXT(DATEVALUE(SUBSTITUTE(SUBSTITUTE(TRIM(A515),""-"",""/""),""."",""/"&amp;""")),""dd/mm/yyyy""),
        TRIM(A515)
      )
    )
  )
)
"),"31/10/2024")</f>
        <v>31/10/2024</v>
      </c>
      <c r="L515" s="26">
        <v>45596.0</v>
      </c>
      <c r="M515" s="27" t="str">
        <f>IFERROR(__xludf.DUMMYFUNCTION("PROPER(TRIM(
  REGEXREPLACE(
    REGEXREPLACE(
      SUBSTITUTE(SUBSTITUTE(SUBSTITUTE(SUBSTITUTE(SUBSTITUTE(SUBSTITUTE(SUBSTITUTE(SUBSTITUTE(SUBSTITUTE(SUBSTITUTE(SUBSTITUTE(
        B515,""√©"",""é""),""√°"",""á""),""√±"",""ñ""),""√≥"",""ó""),""√â"",""é"&amp;"""),""√Å"",""á""),""√ç"",""í""),""√Ç"",""Í""),""√Â"",""é""),""√≠"",""í""),""√º"",""ú""),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15" s="28" t="str">
        <f>IFERROR(__xludf.DUMMYFUNCTION("SPLIT(
  TRIM(
    SUBSTITUTE(
      SUBSTITUTE(
        SUBSTITUTE(
          SUBSTITUTE(
            C515,
            ""√©"", ""é""
          ),
          ""√±"", ""ñ""
        ),
        ""√°"", ""á""
      ),
      ""√≥"", ""ó""
    )
  ),
  ""-""
)
"),"Laptop")</f>
        <v>Laptop</v>
      </c>
      <c r="O515" s="28" t="str">
        <f>IFERROR(__xludf.DUMMYFUNCTION("""COMPUTED_VALUE"""),"Ultraliviana")</f>
        <v>Ultraliviana</v>
      </c>
      <c r="P515" s="28" t="str">
        <f>IFERROR(__xludf.DUMMYFUNCTION("""COMPUTED_VALUE"""),"4GB")</f>
        <v>4GB</v>
      </c>
      <c r="Q515" s="29">
        <f t="shared" si="1"/>
        <v>2266.71</v>
      </c>
      <c r="R515" s="28">
        <f t="shared" si="2"/>
        <v>2</v>
      </c>
      <c r="S515" s="29">
        <f t="shared" si="3"/>
        <v>4533.42</v>
      </c>
      <c r="T515" s="28" t="str">
        <f>IFERROR(__xludf.DUMMYFUNCTION("PROPER(TRIM(
  LET(
    texto1, REGEXREPLACE(G515,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"),"Yolanda Rafaél Gamez")</f>
        <v>Yolanda Rafaél Gamez</v>
      </c>
      <c r="U515" s="28" t="str">
        <f t="shared" si="4"/>
        <v>d9c1410d-a481-442e-a55e-c877ab1e7b3f</v>
      </c>
      <c r="V515" s="30" t="str">
        <f t="shared" si="5"/>
        <v>Laptop Ultraliviana 4GB</v>
      </c>
    </row>
    <row r="516" ht="15.75" customHeight="1">
      <c r="A516" s="6">
        <v>45643.0</v>
      </c>
      <c r="B516" s="2" t="s">
        <v>50</v>
      </c>
      <c r="C516" s="2" t="s">
        <v>167</v>
      </c>
      <c r="D516" s="7">
        <v>1035.07</v>
      </c>
      <c r="E516" s="2">
        <v>1.0</v>
      </c>
      <c r="F516" s="7">
        <v>1035.07</v>
      </c>
      <c r="G516" s="2" t="s">
        <v>1848</v>
      </c>
      <c r="H516" s="2" t="s">
        <v>1849</v>
      </c>
      <c r="I516" s="2" t="s">
        <v>1850</v>
      </c>
      <c r="K516" s="19" t="str">
        <f>IFERROR(__xludf.DUMMYFUNCTION("IF(ISBLANK(A516),
  """",
  IF(ISNUMBER(A516),
    TEXT(A516,""dd/mm/yyyy""),
    IF(
      REGEXMATCH(TRIM(A516),""^\d{1,2}/\d{1,2}/\d{4}$""),
      TRIM(A516),
      IFERROR(
        TEXT(DATEVALUE(SUBSTITUTE(SUBSTITUTE(TRIM(A516),""-"",""/""),""."",""/"&amp;""")),""dd/mm/yyyy""),
        TRIM(A516)
      )
    )
  )
)
"),"17/12/2024")</f>
        <v>17/12/2024</v>
      </c>
      <c r="L516" s="20">
        <v>45643.0</v>
      </c>
      <c r="M516" s="21" t="str">
        <f>IFERROR(__xludf.DUMMYFUNCTION("PROPER(TRIM(
  REGEXREPLACE(
    REGEXREPLACE(
      SUBSTITUTE(SUBSTITUTE(SUBSTITUTE(SUBSTITUTE(SUBSTITUTE(SUBSTITUTE(SUBSTITUTE(SUBSTITUTE(SUBSTITUTE(SUBSTITUTE(SUBSTITUTE(
        B516,""√©"",""é""),""√°"",""á""),""√±"",""ñ""),""√≥"",""ó""),""√â"",""é"&amp;"""),""√Å"",""á""),""√ç"",""í""),""√Ç"",""Í""),""√Â"",""é""),""√≠"",""í""),""√º"",""ú""),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16" s="22" t="str">
        <f>IFERROR(__xludf.DUMMYFUNCTION("SPLIT(
  TRIM(
    SUBSTITUTE(
      SUBSTITUTE(
        SUBSTITUTE(
          SUBSTITUTE(
            C516,
            ""√©"", ""é""
          ),
          ""√±"", ""ñ""
        ),
        ""√°"", ""á""
      ),
      ""√≥"", ""ó""
    )
  ),
  ""-""
)
"),"Laptop")</f>
        <v>Laptop</v>
      </c>
      <c r="O516" s="22" t="str">
        <f>IFERROR(__xludf.DUMMYFUNCTION("""COMPUTED_VALUE"""),"Gaming")</f>
        <v>Gaming</v>
      </c>
      <c r="P516" s="22" t="str">
        <f>IFERROR(__xludf.DUMMYFUNCTION("""COMPUTED_VALUE"""),"8GB")</f>
        <v>8GB</v>
      </c>
      <c r="Q516" s="23">
        <f t="shared" si="1"/>
        <v>1035.07</v>
      </c>
      <c r="R516" s="22">
        <f t="shared" si="2"/>
        <v>1</v>
      </c>
      <c r="S516" s="23">
        <f t="shared" si="3"/>
        <v>1035.07</v>
      </c>
      <c r="T516" s="22" t="str">
        <f>IFERROR(__xludf.DUMMYFUNCTION("PROPER(TRIM(
  LET(
    texto1, REGEXREPLACE(G516,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"),"Nayeli Del Valle")</f>
        <v>Nayeli Del Valle</v>
      </c>
      <c r="U516" s="22" t="str">
        <f t="shared" si="4"/>
        <v>e4d04092-1822-4155-841a-4386e1c16529</v>
      </c>
      <c r="V516" s="24" t="str">
        <f t="shared" si="5"/>
        <v>Laptop Gaming 8GB</v>
      </c>
    </row>
    <row r="517" ht="15.75" customHeight="1">
      <c r="A517" s="36">
        <v>45455.0</v>
      </c>
      <c r="B517" s="2" t="s">
        <v>16</v>
      </c>
      <c r="C517" s="2" t="s">
        <v>348</v>
      </c>
      <c r="D517" s="7">
        <v>1958.41</v>
      </c>
      <c r="E517" s="2">
        <v>4.0</v>
      </c>
      <c r="F517" s="7">
        <v>7833.64</v>
      </c>
      <c r="G517" s="2" t="s">
        <v>1851</v>
      </c>
      <c r="H517" s="2" t="s">
        <v>1852</v>
      </c>
      <c r="I517" s="2" t="s">
        <v>1853</v>
      </c>
      <c r="K517" s="25" t="str">
        <f>IFERROR(__xludf.DUMMYFUNCTION("IF(ISBLANK(A517),
  """",
  IF(ISNUMBER(A517),
    TEXT(A517,""dd/mm/yyyy""),
    IF(
      REGEXMATCH(TRIM(A517),""^\d{1,2}/\d{1,2}/\d{4}$""),
      TRIM(A517),
      IFERROR(
        TEXT(DATEVALUE(SUBSTITUTE(SUBSTITUTE(TRIM(A517),""-"",""/""),""."",""/"&amp;""")),""dd/mm/yyyy""),
        TRIM(A517)
      )
    )
  )
)
"),"12/06/2024")</f>
        <v>12/06/2024</v>
      </c>
      <c r="L517" s="26">
        <v>45455.0</v>
      </c>
      <c r="M517" s="27" t="str">
        <f>IFERROR(__xludf.DUMMYFUNCTION("PROPER(TRIM(
  REGEXREPLACE(
    REGEXREPLACE(
      SUBSTITUTE(SUBSTITUTE(SUBSTITUTE(SUBSTITUTE(SUBSTITUTE(SUBSTITUTE(SUBSTITUTE(SUBSTITUTE(SUBSTITUTE(SUBSTITUTE(SUBSTITUTE(
        B517,""√©"",""é""),""√°"",""á""),""√±"",""ñ""),""√≥"",""ó""),""√â"",""é"&amp;"""),""√Å"",""á""),""√ç"",""í""),""√Ç"",""Í""),""√Â"",""é""),""√≠"",""í""),""√º"",""ú""),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17" s="28" t="str">
        <f>IFERROR(__xludf.DUMMYFUNCTION("SPLIT(
  TRIM(
    SUBSTITUTE(
      SUBSTITUTE(
        SUBSTITUTE(
          SUBSTITUTE(
            C517,
            ""√©"", ""é""
          ),
          ""√±"", ""ñ""
        ),
        ""√°"", ""á""
      ),
      ""√≥"", ""ó""
    )
  ),
  ""-""
)
"),"Teléfono")</f>
        <v>Teléfono</v>
      </c>
      <c r="O517" s="28" t="str">
        <f>IFERROR(__xludf.DUMMYFUNCTION("""COMPUTED_VALUE"""),"Gama media")</f>
        <v>Gama media</v>
      </c>
      <c r="P517" s="28" t="str">
        <f>IFERROR(__xludf.DUMMYFUNCTION("""COMPUTED_VALUE"""),"8GB")</f>
        <v>8GB</v>
      </c>
      <c r="Q517" s="29">
        <f t="shared" si="1"/>
        <v>1958.41</v>
      </c>
      <c r="R517" s="28">
        <f t="shared" si="2"/>
        <v>4</v>
      </c>
      <c r="S517" s="29">
        <f t="shared" si="3"/>
        <v>7833.64</v>
      </c>
      <c r="T517" s="28" t="str">
        <f>IFERROR(__xludf.DUMMYFUNCTION("PROPER(TRIM(
  LET(
    texto1, REGEXREPLACE(G517,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"),"Elvira Figueroa Fuentes")</f>
        <v>Elvira Figueroa Fuentes</v>
      </c>
      <c r="U517" s="28" t="str">
        <f t="shared" si="4"/>
        <v>e5ed9d85-b980-4269-aaf2-f370cb138032</v>
      </c>
      <c r="V517" s="30" t="str">
        <f t="shared" si="5"/>
        <v>Teléfono Gama media 8GB</v>
      </c>
    </row>
    <row r="518" ht="15.75" customHeight="1">
      <c r="A518" s="36">
        <v>45362.0</v>
      </c>
      <c r="B518" s="2" t="s">
        <v>101</v>
      </c>
      <c r="C518" s="2" t="s">
        <v>1015</v>
      </c>
      <c r="D518" s="7">
        <v>1222.82</v>
      </c>
      <c r="E518" s="2">
        <v>1.0</v>
      </c>
      <c r="F518" s="7">
        <v>1222.82</v>
      </c>
      <c r="G518" s="2" t="s">
        <v>1854</v>
      </c>
      <c r="H518" s="2" t="s">
        <v>1855</v>
      </c>
      <c r="I518" s="2" t="s">
        <v>1856</v>
      </c>
      <c r="K518" s="19" t="str">
        <f>IFERROR(__xludf.DUMMYFUNCTION("IF(ISBLANK(A518),
  """",
  IF(ISNUMBER(A518),
    TEXT(A518,""dd/mm/yyyy""),
    IF(
      REGEXMATCH(TRIM(A518),""^\d{1,2}/\d{1,2}/\d{4}$""),
      TRIM(A518),
      IFERROR(
        TEXT(DATEVALUE(SUBSTITUTE(SUBSTITUTE(TRIM(A518),""-"",""/""),""."",""/"&amp;""")),""dd/mm/yyyy""),
        TRIM(A518)
      )
    )
  )
)
"),"11/03/2024")</f>
        <v>11/03/2024</v>
      </c>
      <c r="L518" s="20">
        <v>45362.0</v>
      </c>
      <c r="M518" s="21" t="str">
        <f>IFERROR(__xludf.DUMMYFUNCTION("PROPER(TRIM(
  REGEXREPLACE(
    REGEXREPLACE(
      SUBSTITUTE(SUBSTITUTE(SUBSTITUTE(SUBSTITUTE(SUBSTITUTE(SUBSTITUTE(SUBSTITUTE(SUBSTITUTE(SUBSTITUTE(SUBSTITUTE(SUBSTITUTE(
        B518,""√©"",""é""),""√°"",""á""),""√±"",""ñ""),""√≥"",""ó""),""√â"",""é"&amp;"""),""√Å"",""á""),""√ç"",""í""),""√Ç"",""Í""),""√Â"",""é""),""√≠"",""í""),""√º"",""ú""),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18" s="22" t="str">
        <f>IFERROR(__xludf.DUMMYFUNCTION("SPLIT(
  TRIM(
    SUBSTITUTE(
      SUBSTITUTE(
        SUBSTITUTE(
          SUBSTITUTE(
            C518,
            ""√©"", ""é""
          ),
          ""√±"", ""ñ""
        ),
        ""√°"", ""á""
      ),
      ""√≥"", ""ó""
    )
  ),
  ""-""
)
"),"Auriculares")</f>
        <v>Auriculares</v>
      </c>
      <c r="O518" s="22" t="str">
        <f>IFERROR(__xludf.DUMMYFUNCTION("""COMPUTED_VALUE"""),"Bluetooth")</f>
        <v>Bluetooth</v>
      </c>
      <c r="P518" s="22" t="str">
        <f>IFERROR(__xludf.DUMMYFUNCTION("""COMPUTED_VALUE"""),"32GB")</f>
        <v>32GB</v>
      </c>
      <c r="Q518" s="23">
        <f t="shared" si="1"/>
        <v>1222.82</v>
      </c>
      <c r="R518" s="22">
        <f t="shared" si="2"/>
        <v>1</v>
      </c>
      <c r="S518" s="23">
        <f t="shared" si="3"/>
        <v>1222.82</v>
      </c>
      <c r="T518" s="22" t="str">
        <f>IFERROR(__xludf.DUMMYFUNCTION("PROPER(TRIM(
  LET(
    texto1, REGEXREPLACE(G518,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Urbina")</f>
        <v>Cristina Urbina</v>
      </c>
      <c r="U518" s="22" t="str">
        <f t="shared" si="4"/>
        <v>0e9b8d25-5a04-4737-8386-12ae6d3bfcb0</v>
      </c>
      <c r="V518" s="24" t="str">
        <f t="shared" si="5"/>
        <v>Auriculares Bluetooth 32GB</v>
      </c>
    </row>
    <row r="519" ht="15.75" customHeight="1">
      <c r="A519" s="36">
        <v>45516.0</v>
      </c>
      <c r="B519" s="2" t="s">
        <v>16</v>
      </c>
      <c r="C519" s="2" t="s">
        <v>147</v>
      </c>
      <c r="D519" s="7">
        <v>66.58</v>
      </c>
      <c r="E519" s="2">
        <v>4.0</v>
      </c>
      <c r="F519" s="7">
        <v>266.32</v>
      </c>
      <c r="G519" s="2" t="s">
        <v>1857</v>
      </c>
      <c r="H519" s="2" t="s">
        <v>1858</v>
      </c>
      <c r="I519" s="2" t="s">
        <v>1859</v>
      </c>
      <c r="K519" s="25" t="str">
        <f>IFERROR(__xludf.DUMMYFUNCTION("IF(ISBLANK(A519),
  """",
  IF(ISNUMBER(A519),
    TEXT(A519,""dd/mm/yyyy""),
    IF(
      REGEXMATCH(TRIM(A519),""^\d{1,2}/\d{1,2}/\d{4}$""),
      TRIM(A519),
      IFERROR(
        TEXT(DATEVALUE(SUBSTITUTE(SUBSTITUTE(TRIM(A519),""-"",""/""),""."",""/"&amp;""")),""dd/mm/yyyy""),
        TRIM(A519)
      )
    )
  )
)
"),"12/08/2024")</f>
        <v>12/08/2024</v>
      </c>
      <c r="L519" s="26">
        <v>45516.0</v>
      </c>
      <c r="M519" s="27" t="str">
        <f>IFERROR(__xludf.DUMMYFUNCTION("PROPER(TRIM(
  REGEXREPLACE(
    REGEXREPLACE(
      SUBSTITUTE(SUBSTITUTE(SUBSTITUTE(SUBSTITUTE(SUBSTITUTE(SUBSTITUTE(SUBSTITUTE(SUBSTITUTE(SUBSTITUTE(SUBSTITUTE(SUBSTITUTE(
        B519,""√©"",""é""),""√°"",""á""),""√±"",""ñ""),""√≥"",""ó""),""√â"",""é"&amp;"""),""√Å"",""á""),""√ç"",""í""),""√Ç"",""Í""),""√Â"",""é""),""√≠"",""í""),""√º"",""ú""),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19" s="28" t="str">
        <f>IFERROR(__xludf.DUMMYFUNCTION("SPLIT(
  TRIM(
    SUBSTITUTE(
      SUBSTITUTE(
        SUBSTITUTE(
          SUBSTITUTE(
            C519,
            ""√©"", ""é""
          ),
          ""√±"", ""ñ""
        ),
        ""√°"", ""á""
      ),
      ""√≥"", ""ó""
    )
  ),
  ""-""
)
"),"Laptop")</f>
        <v>Laptop</v>
      </c>
      <c r="O519" s="28" t="str">
        <f>IFERROR(__xludf.DUMMYFUNCTION("""COMPUTED_VALUE"""),"Oficina")</f>
        <v>Oficina</v>
      </c>
      <c r="P519" s="28" t="str">
        <f>IFERROR(__xludf.DUMMYFUNCTION("""COMPUTED_VALUE"""),"16GB")</f>
        <v>16GB</v>
      </c>
      <c r="Q519" s="29">
        <f t="shared" si="1"/>
        <v>66.58</v>
      </c>
      <c r="R519" s="28">
        <f t="shared" si="2"/>
        <v>4</v>
      </c>
      <c r="S519" s="29">
        <f t="shared" si="3"/>
        <v>266.32</v>
      </c>
      <c r="T519" s="28" t="str">
        <f>IFERROR(__xludf.DUMMYFUNCTION("PROPER(TRIM(
  LET(
    texto1, REGEXREPLACE(G519,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"),"Horacio Victoria Quiroz")</f>
        <v>Horacio Victoria Quiroz</v>
      </c>
      <c r="U519" s="28" t="str">
        <f t="shared" si="4"/>
        <v>d49cecb5-d5f1-4242-84fa-895e2d538ed5</v>
      </c>
      <c r="V519" s="30" t="str">
        <f t="shared" si="5"/>
        <v>Laptop Oficina 16GB</v>
      </c>
    </row>
    <row r="520" ht="15.75" customHeight="1">
      <c r="A520" s="36">
        <v>45547.0</v>
      </c>
      <c r="B520" s="2" t="s">
        <v>38</v>
      </c>
      <c r="C520" s="2" t="s">
        <v>152</v>
      </c>
      <c r="D520" s="7">
        <v>2287.41</v>
      </c>
      <c r="E520" s="2">
        <v>2.0</v>
      </c>
      <c r="F520" s="7">
        <v>4574.82</v>
      </c>
      <c r="G520" s="2" t="s">
        <v>1860</v>
      </c>
      <c r="H520" s="2" t="s">
        <v>1861</v>
      </c>
      <c r="I520" s="2" t="s">
        <v>1862</v>
      </c>
      <c r="K520" s="19" t="str">
        <f>IFERROR(__xludf.DUMMYFUNCTION("IF(ISBLANK(A520),
  """",
  IF(ISNUMBER(A520),
    TEXT(A520,""dd/mm/yyyy""),
    IF(
      REGEXMATCH(TRIM(A520),""^\d{1,2}/\d{1,2}/\d{4}$""),
      TRIM(A520),
      IFERROR(
        TEXT(DATEVALUE(SUBSTITUTE(SUBSTITUTE(TRIM(A520),""-"",""/""),""."",""/"&amp;""")),""dd/mm/yyyy""),
        TRIM(A520)
      )
    )
  )
)
"),"12/09/2024")</f>
        <v>12/09/2024</v>
      </c>
      <c r="L520" s="20">
        <v>45547.0</v>
      </c>
      <c r="M520" s="21" t="str">
        <f>IFERROR(__xludf.DUMMYFUNCTION("PROPER(TRIM(
  REGEXREPLACE(
    REGEXREPLACE(
      SUBSTITUTE(SUBSTITUTE(SUBSTITUTE(SUBSTITUTE(SUBSTITUTE(SUBSTITUTE(SUBSTITUTE(SUBSTITUTE(SUBSTITUTE(SUBSTITUTE(SUBSTITUTE(
        B520,""√©"",""é""),""√°"",""á""),""√±"",""ñ""),""√≥"",""ó""),""√â"",""é"&amp;"""),""√Å"",""á""),""√ç"",""í""),""√Ç"",""Í""),""√Â"",""é""),""√≠"",""í""),""√º"",""ú""),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20" s="22" t="str">
        <f>IFERROR(__xludf.DUMMYFUNCTION("SPLIT(
  TRIM(
    SUBSTITUTE(
      SUBSTITUTE(
        SUBSTITUTE(
          SUBSTITUTE(
            C520,
            ""√©"", ""é""
          ),
          ""√±"", ""ñ""
        ),
        ""√°"", ""á""
      ),
      ""√≥"", ""ó""
    )
  ),
  ""-""
)
"),"Teléfono")</f>
        <v>Teléfono</v>
      </c>
      <c r="O520" s="22" t="str">
        <f>IFERROR(__xludf.DUMMYFUNCTION("""COMPUTED_VALUE"""),"Gama baja")</f>
        <v>Gama baja</v>
      </c>
      <c r="P520" s="22" t="str">
        <f>IFERROR(__xludf.DUMMYFUNCTION("""COMPUTED_VALUE"""),"4GB")</f>
        <v>4GB</v>
      </c>
      <c r="Q520" s="23">
        <f t="shared" si="1"/>
        <v>2287.41</v>
      </c>
      <c r="R520" s="22">
        <f t="shared" si="2"/>
        <v>2</v>
      </c>
      <c r="S520" s="23">
        <f t="shared" si="3"/>
        <v>4574.82</v>
      </c>
      <c r="T520" s="22" t="str">
        <f>IFERROR(__xludf.DUMMYFUNCTION("PROPER(TRIM(
  LET(
    texto1, REGEXREPLACE(G520,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"),"Benito Lucio Iglesias")</f>
        <v>Benito Lucio Iglesias</v>
      </c>
      <c r="U520" s="22" t="str">
        <f t="shared" si="4"/>
        <v>e2e5df9e-ce8b-40e6-9eed-af6f6afbf580</v>
      </c>
      <c r="V520" s="24" t="str">
        <f t="shared" si="5"/>
        <v>Teléfono Gama baja 4GB</v>
      </c>
    </row>
    <row r="521" ht="15.75" customHeight="1">
      <c r="A521" s="6">
        <v>45644.0</v>
      </c>
      <c r="B521" s="2" t="s">
        <v>85</v>
      </c>
      <c r="C521" s="2" t="s">
        <v>55</v>
      </c>
      <c r="D521" s="7">
        <v>2310.61</v>
      </c>
      <c r="E521" s="2">
        <v>3.0</v>
      </c>
      <c r="F521" s="7">
        <v>6931.83</v>
      </c>
      <c r="G521" s="2" t="s">
        <v>1863</v>
      </c>
      <c r="H521" s="2" t="s">
        <v>1864</v>
      </c>
      <c r="I521" s="2" t="s">
        <v>1865</v>
      </c>
      <c r="K521" s="25" t="str">
        <f>IFERROR(__xludf.DUMMYFUNCTION("IF(ISBLANK(A521),
  """",
  IF(ISNUMBER(A521),
    TEXT(A521,""dd/mm/yyyy""),
    IF(
      REGEXMATCH(TRIM(A521),""^\d{1,2}/\d{1,2}/\d{4}$""),
      TRIM(A521),
      IFERROR(
        TEXT(DATEVALUE(SUBSTITUTE(SUBSTITUTE(TRIM(A521),""-"",""/""),""."",""/"&amp;""")),""dd/mm/yyyy""),
        TRIM(A521)
      )
    )
  )
)
"),"18/12/2024")</f>
        <v>18/12/2024</v>
      </c>
      <c r="L521" s="26">
        <v>45644.0</v>
      </c>
      <c r="M521" s="27" t="str">
        <f>IFERROR(__xludf.DUMMYFUNCTION("PROPER(TRIM(
  REGEXREPLACE(
    REGEXREPLACE(
      SUBSTITUTE(SUBSTITUTE(SUBSTITUTE(SUBSTITUTE(SUBSTITUTE(SUBSTITUTE(SUBSTITUTE(SUBSTITUTE(SUBSTITUTE(SUBSTITUTE(SUBSTITUTE(
        B521,""√©"",""é""),""√°"",""á""),""√±"",""ñ""),""√≥"",""ó""),""√â"",""é"&amp;"""),""√Å"",""á""),""√ç"",""í""),""√Ç"",""Í""),""√Â"",""é""),""√≠"",""í""),""√º"",""ú""),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21" s="28" t="str">
        <f>IFERROR(__xludf.DUMMYFUNCTION("SPLIT(
  TRIM(
    SUBSTITUTE(
      SUBSTITUTE(
        SUBSTITUTE(
          SUBSTITUTE(
            C521,
            ""√©"", ""é""
          ),
          ""√±"", ""ñ""
        ),
        ""√°"", ""á""
      ),
      ""√≥"", ""ó""
    )
  ),
  ""-""
)
"),"Laptop")</f>
        <v>Laptop</v>
      </c>
      <c r="O521" s="28" t="str">
        <f>IFERROR(__xludf.DUMMYFUNCTION("""COMPUTED_VALUE"""),"Ultraliviana")</f>
        <v>Ultraliviana</v>
      </c>
      <c r="P521" s="28" t="str">
        <f>IFERROR(__xludf.DUMMYFUNCTION("""COMPUTED_VALUE"""),"16GB")</f>
        <v>16GB</v>
      </c>
      <c r="Q521" s="29">
        <f t="shared" si="1"/>
        <v>2310.61</v>
      </c>
      <c r="R521" s="28">
        <f t="shared" si="2"/>
        <v>3</v>
      </c>
      <c r="S521" s="29">
        <f t="shared" si="3"/>
        <v>6931.83</v>
      </c>
      <c r="T521" s="28" t="str">
        <f>IFERROR(__xludf.DUMMYFUNCTION("PROPER(TRIM(
  LET(
    texto1, REGEXREPLACE(G521,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"),"Caridad Frida Villarreal")</f>
        <v>Caridad Frida Villarreal</v>
      </c>
      <c r="U521" s="28" t="str">
        <f t="shared" si="4"/>
        <v>41673c52-8873-43f3-b016-36a8c4e22ead</v>
      </c>
      <c r="V521" s="30" t="str">
        <f t="shared" si="5"/>
        <v>Laptop Ultraliviana 16GB</v>
      </c>
    </row>
    <row r="522" ht="15.75" customHeight="1">
      <c r="A522" s="36">
        <v>45547.0</v>
      </c>
      <c r="B522" s="2" t="s">
        <v>85</v>
      </c>
      <c r="C522" s="2" t="s">
        <v>45</v>
      </c>
      <c r="D522" s="7">
        <v>1332.22</v>
      </c>
      <c r="E522" s="2">
        <v>5.0</v>
      </c>
      <c r="F522" s="7">
        <v>6661.1</v>
      </c>
      <c r="G522" s="2" t="s">
        <v>1866</v>
      </c>
      <c r="H522" s="2" t="s">
        <v>1867</v>
      </c>
      <c r="I522" s="2" t="s">
        <v>1868</v>
      </c>
      <c r="K522" s="19" t="str">
        <f>IFERROR(__xludf.DUMMYFUNCTION("IF(ISBLANK(A522),
  """",
  IF(ISNUMBER(A522),
    TEXT(A522,""dd/mm/yyyy""),
    IF(
      REGEXMATCH(TRIM(A522),""^\d{1,2}/\d{1,2}/\d{4}$""),
      TRIM(A522),
      IFERROR(
        TEXT(DATEVALUE(SUBSTITUTE(SUBSTITUTE(TRIM(A522),""-"",""/""),""."",""/"&amp;""")),""dd/mm/yyyy""),
        TRIM(A522)
      )
    )
  )
)
"),"12/09/2024")</f>
        <v>12/09/2024</v>
      </c>
      <c r="L522" s="20">
        <v>45547.0</v>
      </c>
      <c r="M522" s="21" t="str">
        <f>IFERROR(__xludf.DUMMYFUNCTION("PROPER(TRIM(
  REGEXREPLACE(
    REGEXREPLACE(
      SUBSTITUTE(SUBSTITUTE(SUBSTITUTE(SUBSTITUTE(SUBSTITUTE(SUBSTITUTE(SUBSTITUTE(SUBSTITUTE(SUBSTITUTE(SUBSTITUTE(SUBSTITUTE(
        B522,""√©"",""é""),""√°"",""á""),""√±"",""ñ""),""√≥"",""ó""),""√â"",""é"&amp;"""),""√Å"",""á""),""√ç"",""í""),""√Ç"",""Í""),""√Â"",""é""),""√≠"",""í""),""√º"",""ú""),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22" s="22" t="str">
        <f>IFERROR(__xludf.DUMMYFUNCTION("SPLIT(
  TRIM(
    SUBSTITUTE(
      SUBSTITUTE(
        SUBSTITUTE(
          SUBSTITUTE(
            C522,
            ""√©"", ""é""
          ),
          ""√±"", ""ñ""
        ),
        ""√°"", ""á""
      ),
      ""√≥"", ""ó""
    )
  ),
  ""-""
)
"),"Tablet")</f>
        <v>Tablet</v>
      </c>
      <c r="O522" s="22" t="str">
        <f>IFERROR(__xludf.DUMMYFUNCTION("""COMPUTED_VALUE"""),"Mini")</f>
        <v>Mini</v>
      </c>
      <c r="P522" s="22" t="str">
        <f>IFERROR(__xludf.DUMMYFUNCTION("""COMPUTED_VALUE"""),"4GB")</f>
        <v>4GB</v>
      </c>
      <c r="Q522" s="23">
        <f t="shared" si="1"/>
        <v>1332.22</v>
      </c>
      <c r="R522" s="22">
        <f t="shared" si="2"/>
        <v>5</v>
      </c>
      <c r="S522" s="23">
        <f t="shared" si="3"/>
        <v>6661.1</v>
      </c>
      <c r="T522" s="22" t="str">
        <f>IFERROR(__xludf.DUMMYFUNCTION("PROPER(TRIM(
  LET(
    texto1, REGEXREPLACE(G522,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"),"Amanda Mariana Verduzco")</f>
        <v>Amanda Mariana Verduzco</v>
      </c>
      <c r="U522" s="22" t="str">
        <f t="shared" si="4"/>
        <v>ac35ebfc-2fef-4aca-8a06-c9547d41dd8a</v>
      </c>
      <c r="V522" s="24" t="str">
        <f t="shared" si="5"/>
        <v>Tablet Mini 4GB</v>
      </c>
    </row>
    <row r="523" ht="15.75" customHeight="1">
      <c r="A523" s="6">
        <v>45618.0</v>
      </c>
      <c r="B523" s="2" t="s">
        <v>27</v>
      </c>
      <c r="C523" s="2" t="s">
        <v>33</v>
      </c>
      <c r="D523" s="7">
        <v>2135.79</v>
      </c>
      <c r="E523" s="2">
        <v>1.0</v>
      </c>
      <c r="F523" s="7">
        <v>2135.79</v>
      </c>
      <c r="G523" s="2" t="s">
        <v>1869</v>
      </c>
      <c r="H523" s="2" t="s">
        <v>1870</v>
      </c>
      <c r="I523" s="2" t="s">
        <v>1871</v>
      </c>
      <c r="K523" s="25" t="str">
        <f>IFERROR(__xludf.DUMMYFUNCTION("IF(ISBLANK(A523),
  """",
  IF(ISNUMBER(A523),
    TEXT(A523,""dd/mm/yyyy""),
    IF(
      REGEXMATCH(TRIM(A523),""^\d{1,2}/\d{1,2}/\d{4}$""),
      TRIM(A523),
      IFERROR(
        TEXT(DATEVALUE(SUBSTITUTE(SUBSTITUTE(TRIM(A523),""-"",""/""),""."",""/"&amp;""")),""dd/mm/yyyy""),
        TRIM(A523)
      )
    )
  )
)
"),"22/11/2024")</f>
        <v>22/11/2024</v>
      </c>
      <c r="L523" s="26">
        <v>45618.0</v>
      </c>
      <c r="M523" s="27" t="str">
        <f>IFERROR(__xludf.DUMMYFUNCTION("PROPER(TRIM(
  REGEXREPLACE(
    REGEXREPLACE(
      SUBSTITUTE(SUBSTITUTE(SUBSTITUTE(SUBSTITUTE(SUBSTITUTE(SUBSTITUTE(SUBSTITUTE(SUBSTITUTE(SUBSTITUTE(SUBSTITUTE(SUBSTITUTE(
        B523,""√©"",""é""),""√°"",""á""),""√±"",""ñ""),""√≥"",""ó""),""√â"",""é"&amp;"""),""√Å"",""á""),""√ç"",""í""),""√Ç"",""Í""),""√Â"",""é""),""√≠"",""í""),""√º"",""ú""),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23" s="28" t="str">
        <f>IFERROR(__xludf.DUMMYFUNCTION("SPLIT(
  TRIM(
    SUBSTITUTE(
      SUBSTITUTE(
        SUBSTITUTE(
          SUBSTITUTE(
            C523,
            ""√©"", ""é""
          ),
          ""√±"", ""ñ""
        ),
        ""√°"", ""á""
      ),
      ""√≥"", ""ó""
    )
  ),
  ""-""
)
"),"Teléfono")</f>
        <v>Teléfono</v>
      </c>
      <c r="O523" s="28" t="str">
        <f>IFERROR(__xludf.DUMMYFUNCTION("""COMPUTED_VALUE"""),"Gama alta")</f>
        <v>Gama alta</v>
      </c>
      <c r="P523" s="28" t="str">
        <f>IFERROR(__xludf.DUMMYFUNCTION("""COMPUTED_VALUE"""),"4GB")</f>
        <v>4GB</v>
      </c>
      <c r="Q523" s="29">
        <f t="shared" si="1"/>
        <v>2135.79</v>
      </c>
      <c r="R523" s="28">
        <f t="shared" si="2"/>
        <v>1</v>
      </c>
      <c r="S523" s="29">
        <f t="shared" si="3"/>
        <v>2135.79</v>
      </c>
      <c r="T523" s="28" t="str">
        <f>IFERROR(__xludf.DUMMYFUNCTION("PROPER(TRIM(
  LET(
    texto1, REGEXREPLACE(G523,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"),"Helena Salvador Alba")</f>
        <v>Helena Salvador Alba</v>
      </c>
      <c r="U523" s="28" t="str">
        <f t="shared" si="4"/>
        <v>ff3bf349-be3d-4ed5-a05d-026306680047</v>
      </c>
      <c r="V523" s="30" t="str">
        <f t="shared" si="5"/>
        <v>Teléfono Gama alta 4GB</v>
      </c>
    </row>
    <row r="524" ht="15.75" customHeight="1">
      <c r="A524" s="6">
        <v>45591.0</v>
      </c>
      <c r="B524" s="2" t="s">
        <v>16</v>
      </c>
      <c r="C524" s="2" t="s">
        <v>698</v>
      </c>
      <c r="D524" s="7">
        <v>1868.91</v>
      </c>
      <c r="E524" s="2">
        <v>5.0</v>
      </c>
      <c r="F524" s="7">
        <v>9344.55</v>
      </c>
      <c r="G524" s="2" t="s">
        <v>1872</v>
      </c>
      <c r="H524" s="2" t="s">
        <v>1873</v>
      </c>
      <c r="I524" s="2" t="s">
        <v>1874</v>
      </c>
      <c r="K524" s="19" t="str">
        <f>IFERROR(__xludf.DUMMYFUNCTION("IF(ISBLANK(A524),
  """",
  IF(ISNUMBER(A524),
    TEXT(A524,""dd/mm/yyyy""),
    IF(
      REGEXMATCH(TRIM(A524),""^\d{1,2}/\d{1,2}/\d{4}$""),
      TRIM(A524),
      IFERROR(
        TEXT(DATEVALUE(SUBSTITUTE(SUBSTITUTE(TRIM(A524),""-"",""/""),""."",""/"&amp;""")),""dd/mm/yyyy""),
        TRIM(A524)
      )
    )
  )
)
"),"26/10/2024")</f>
        <v>26/10/2024</v>
      </c>
      <c r="L524" s="20">
        <v>45591.0</v>
      </c>
      <c r="M524" s="21" t="str">
        <f>IFERROR(__xludf.DUMMYFUNCTION("PROPER(TRIM(
  REGEXREPLACE(
    REGEXREPLACE(
      SUBSTITUTE(SUBSTITUTE(SUBSTITUTE(SUBSTITUTE(SUBSTITUTE(SUBSTITUTE(SUBSTITUTE(SUBSTITUTE(SUBSTITUTE(SUBSTITUTE(SUBSTITUTE(
        B524,""√©"",""é""),""√°"",""á""),""√±"",""ñ""),""√≥"",""ó""),""√â"",""é"&amp;"""),""√Å"",""á""),""√ç"",""í""),""√Ç"",""Í""),""√Â"",""é""),""√≠"",""í""),""√º"",""ú""),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24" s="22" t="str">
        <f>IFERROR(__xludf.DUMMYFUNCTION("SPLIT(
  TRIM(
    SUBSTITUTE(
      SUBSTITUTE(
        SUBSTITUTE(
          SUBSTITUTE(
            C524,
            ""√©"", ""é""
          ),
          ""√±"", ""ñ""
        ),
        ""√°"", ""á""
      ),
      ""√≥"", ""ó""
    )
  ),
  ""-""
)
"),"Laptop")</f>
        <v>Laptop</v>
      </c>
      <c r="O524" s="22" t="str">
        <f>IFERROR(__xludf.DUMMYFUNCTION("""COMPUTED_VALUE"""),"Ultraliviana")</f>
        <v>Ultraliviana</v>
      </c>
      <c r="P524" s="22" t="str">
        <f>IFERROR(__xludf.DUMMYFUNCTION("""COMPUTED_VALUE"""),"8GB")</f>
        <v>8GB</v>
      </c>
      <c r="Q524" s="23">
        <f t="shared" si="1"/>
        <v>1868.91</v>
      </c>
      <c r="R524" s="22">
        <f t="shared" si="2"/>
        <v>5</v>
      </c>
      <c r="S524" s="23">
        <f t="shared" si="3"/>
        <v>9344.55</v>
      </c>
      <c r="T524" s="22" t="str">
        <f>IFERROR(__xludf.DUMMYFUNCTION("PROPER(TRIM(
  LET(
    texto1, REGEXREPLACE(G524,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"),"Sandra Cornelio Nava Galarza")</f>
        <v>Sandra Cornelio Nava Galarza</v>
      </c>
      <c r="U524" s="22" t="str">
        <f t="shared" si="4"/>
        <v>8a075c13-f70b-4b5b-909b-e961bf332236</v>
      </c>
      <c r="V524" s="24" t="str">
        <f t="shared" si="5"/>
        <v>Laptop Ultraliviana 8GB</v>
      </c>
    </row>
    <row r="525" ht="15.75" customHeight="1">
      <c r="A525" s="6">
        <v>45582.0</v>
      </c>
      <c r="B525" s="2" t="s">
        <v>101</v>
      </c>
      <c r="C525" s="2" t="s">
        <v>80</v>
      </c>
      <c r="D525" s="7">
        <v>2063.13</v>
      </c>
      <c r="E525" s="2">
        <v>4.0</v>
      </c>
      <c r="F525" s="7">
        <v>8252.52</v>
      </c>
      <c r="G525" s="2" t="s">
        <v>1875</v>
      </c>
      <c r="H525" s="2" t="s">
        <v>1876</v>
      </c>
      <c r="I525" s="2" t="s">
        <v>1877</v>
      </c>
      <c r="K525" s="25" t="str">
        <f>IFERROR(__xludf.DUMMYFUNCTION("IF(ISBLANK(A525),
  """",
  IF(ISNUMBER(A525),
    TEXT(A525,""dd/mm/yyyy""),
    IF(
      REGEXMATCH(TRIM(A525),""^\d{1,2}/\d{1,2}/\d{4}$""),
      TRIM(A525),
      IFERROR(
        TEXT(DATEVALUE(SUBSTITUTE(SUBSTITUTE(TRIM(A525),""-"",""/""),""."",""/"&amp;""")),""dd/mm/yyyy""),
        TRIM(A525)
      )
    )
  )
)
"),"17/10/2024")</f>
        <v>17/10/2024</v>
      </c>
      <c r="L525" s="26">
        <v>45582.0</v>
      </c>
      <c r="M525" s="27" t="str">
        <f>IFERROR(__xludf.DUMMYFUNCTION("PROPER(TRIM(
  REGEXREPLACE(
    REGEXREPLACE(
      SUBSTITUTE(SUBSTITUTE(SUBSTITUTE(SUBSTITUTE(SUBSTITUTE(SUBSTITUTE(SUBSTITUTE(SUBSTITUTE(SUBSTITUTE(SUBSTITUTE(SUBSTITUTE(
        B525,""√©"",""é""),""√°"",""á""),""√±"",""ñ""),""√≥"",""ó""),""√â"",""é"&amp;"""),""√Å"",""á""),""√ç"",""í""),""√Ç"",""Í""),""√Â"",""é""),""√≠"",""í""),""√º"",""ú""),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25" s="28" t="str">
        <f>IFERROR(__xludf.DUMMYFUNCTION("SPLIT(
  TRIM(
    SUBSTITUTE(
      SUBSTITUTE(
        SUBSTITUTE(
          SUBSTITUTE(
            C525,
            ""√©"", ""é""
          ),
          ""√±"", ""ñ""
        ),
        ""√°"", ""á""
      ),
      ""√≥"", ""ó""
    )
  ),
  ""-""
)
"),"Teléfono")</f>
        <v>Teléfono</v>
      </c>
      <c r="O525" s="28" t="str">
        <f>IFERROR(__xludf.DUMMYFUNCTION("""COMPUTED_VALUE"""),"Gama baja")</f>
        <v>Gama baja</v>
      </c>
      <c r="P525" s="28" t="str">
        <f>IFERROR(__xludf.DUMMYFUNCTION("""COMPUTED_VALUE"""),"16GB")</f>
        <v>16GB</v>
      </c>
      <c r="Q525" s="29">
        <f t="shared" si="1"/>
        <v>2063.13</v>
      </c>
      <c r="R525" s="28">
        <f t="shared" si="2"/>
        <v>4</v>
      </c>
      <c r="S525" s="29">
        <f t="shared" si="3"/>
        <v>8252.52</v>
      </c>
      <c r="T525" s="28" t="str">
        <f>IFERROR(__xludf.DUMMYFUNCTION("PROPER(TRIM(
  LET(
    texto1, REGEXREPLACE(G525,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"),"Leonardo José Luis Manzanares Trujillo")</f>
        <v>Leonardo José Luis Manzanares Trujillo</v>
      </c>
      <c r="U525" s="28" t="str">
        <f t="shared" si="4"/>
        <v>969772b7-82a9-4281-b808-f08dbacfaa54</v>
      </c>
      <c r="V525" s="30" t="str">
        <f t="shared" si="5"/>
        <v>Teléfono Gama baja 16GB</v>
      </c>
    </row>
    <row r="526" ht="15.75" customHeight="1">
      <c r="A526" s="36">
        <v>45454.0</v>
      </c>
      <c r="B526" s="2" t="s">
        <v>27</v>
      </c>
      <c r="C526" s="2" t="s">
        <v>186</v>
      </c>
      <c r="D526" s="7">
        <v>1772.58</v>
      </c>
      <c r="E526" s="2">
        <v>2.0</v>
      </c>
      <c r="F526" s="7">
        <v>3545.16</v>
      </c>
      <c r="G526" s="2" t="s">
        <v>1878</v>
      </c>
      <c r="H526" s="2" t="s">
        <v>1879</v>
      </c>
      <c r="I526" s="2" t="s">
        <v>1880</v>
      </c>
      <c r="K526" s="19" t="str">
        <f>IFERROR(__xludf.DUMMYFUNCTION("IF(ISBLANK(A526),
  """",
  IF(ISNUMBER(A526),
    TEXT(A526,""dd/mm/yyyy""),
    IF(
      REGEXMATCH(TRIM(A526),""^\d{1,2}/\d{1,2}/\d{4}$""),
      TRIM(A526),
      IFERROR(
        TEXT(DATEVALUE(SUBSTITUTE(SUBSTITUTE(TRIM(A526),""-"",""/""),""."",""/"&amp;""")),""dd/mm/yyyy""),
        TRIM(A526)
      )
    )
  )
)
"),"11/06/2024")</f>
        <v>11/06/2024</v>
      </c>
      <c r="L526" s="20">
        <v>45454.0</v>
      </c>
      <c r="M526" s="21" t="str">
        <f>IFERROR(__xludf.DUMMYFUNCTION("PROPER(TRIM(
  REGEXREPLACE(
    REGEXREPLACE(
      SUBSTITUTE(SUBSTITUTE(SUBSTITUTE(SUBSTITUTE(SUBSTITUTE(SUBSTITUTE(SUBSTITUTE(SUBSTITUTE(SUBSTITUTE(SUBSTITUTE(SUBSTITUTE(
        B526,""√©"",""é""),""√°"",""á""),""√±"",""ñ""),""√≥"",""ó""),""√â"",""é"&amp;"""),""√Å"",""á""),""√ç"",""í""),""√Ç"",""Í""),""√Â"",""é""),""√≠"",""í""),""√º"",""ú""),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26" s="22" t="str">
        <f>IFERROR(__xludf.DUMMYFUNCTION("SPLIT(
  TRIM(
    SUBSTITUTE(
      SUBSTITUTE(
        SUBSTITUTE(
          SUBSTITUTE(
            C526,
            ""√©"", ""é""
          ),
          ""√±"", ""ñ""
        ),
        ""√°"", ""á""
      ),
      ""√≥"", ""ó""
    )
  ),
  ""-""
)
"),"Tablet")</f>
        <v>Tablet</v>
      </c>
      <c r="O526" s="22" t="str">
        <f>IFERROR(__xludf.DUMMYFUNCTION("""COMPUTED_VALUE"""),"Mini")</f>
        <v>Mini</v>
      </c>
      <c r="P526" s="22" t="str">
        <f>IFERROR(__xludf.DUMMYFUNCTION("""COMPUTED_VALUE"""),"8GB")</f>
        <v>8GB</v>
      </c>
      <c r="Q526" s="23">
        <f t="shared" si="1"/>
        <v>1772.58</v>
      </c>
      <c r="R526" s="22">
        <f t="shared" si="2"/>
        <v>2</v>
      </c>
      <c r="S526" s="23">
        <f t="shared" si="3"/>
        <v>3545.16</v>
      </c>
      <c r="T526" s="22" t="str">
        <f>IFERROR(__xludf.DUMMYFUNCTION("PROPER(TRIM(
  LET(
    texto1, REGEXREPLACE(G526,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"),"Norma Paulina Quiñones")</f>
        <v>Norma Paulina Quiñones</v>
      </c>
      <c r="U526" s="22" t="str">
        <f t="shared" si="4"/>
        <v>30208b2a-0356-49da-b9b5-5dadc87e2157</v>
      </c>
      <c r="V526" s="24" t="str">
        <f t="shared" si="5"/>
        <v>Tablet Mini 8GB</v>
      </c>
    </row>
    <row r="527" ht="15.75" customHeight="1">
      <c r="A527" s="6">
        <v>45610.0</v>
      </c>
      <c r="B527" s="2" t="s">
        <v>101</v>
      </c>
      <c r="C527" s="2" t="s">
        <v>75</v>
      </c>
      <c r="D527" s="7">
        <v>2224.61</v>
      </c>
      <c r="E527" s="2">
        <v>4.0</v>
      </c>
      <c r="F527" s="7">
        <v>8898.44</v>
      </c>
      <c r="G527" s="2" t="s">
        <v>1881</v>
      </c>
      <c r="H527" s="2" t="s">
        <v>1882</v>
      </c>
      <c r="I527" s="2" t="s">
        <v>1883</v>
      </c>
      <c r="K527" s="25" t="str">
        <f>IFERROR(__xludf.DUMMYFUNCTION("IF(ISBLANK(A527),
  """",
  IF(ISNUMBER(A527),
    TEXT(A527,""dd/mm/yyyy""),
    IF(
      REGEXMATCH(TRIM(A527),""^\d{1,2}/\d{1,2}/\d{4}$""),
      TRIM(A527),
      IFERROR(
        TEXT(DATEVALUE(SUBSTITUTE(SUBSTITUTE(TRIM(A527),""-"",""/""),""."",""/"&amp;""")),""dd/mm/yyyy""),
        TRIM(A527)
      )
    )
  )
)
"),"14/11/2024")</f>
        <v>14/11/2024</v>
      </c>
      <c r="L527" s="26">
        <v>45610.0</v>
      </c>
      <c r="M527" s="27" t="str">
        <f>IFERROR(__xludf.DUMMYFUNCTION("PROPER(TRIM(
  REGEXREPLACE(
    REGEXREPLACE(
      SUBSTITUTE(SUBSTITUTE(SUBSTITUTE(SUBSTITUTE(SUBSTITUTE(SUBSTITUTE(SUBSTITUTE(SUBSTITUTE(SUBSTITUTE(SUBSTITUTE(SUBSTITUTE(
        B527,""√©"",""é""),""√°"",""á""),""√±"",""ñ""),""√≥"",""ó""),""√â"",""é"&amp;"""),""√Å"",""á""),""√ç"",""í""),""√Ç"",""Í""),""√Â"",""é""),""√≠"",""í""),""√º"",""ú""),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27" s="28" t="str">
        <f>IFERROR(__xludf.DUMMYFUNCTION("SPLIT(
  TRIM(
    SUBSTITUTE(
      SUBSTITUTE(
        SUBSTITUTE(
          SUBSTITUTE(
            C527,
            ""√©"", ""é""
          ),
          ""√±"", ""ñ""
        ),
        ""√°"", ""á""
      ),
      ""√≥"", ""ó""
    )
  ),
  ""-""
)
"),"Tablet")</f>
        <v>Tablet</v>
      </c>
      <c r="O527" s="28" t="str">
        <f>IFERROR(__xludf.DUMMYFUNCTION("""COMPUTED_VALUE"""),"Pro")</f>
        <v>Pro</v>
      </c>
      <c r="P527" s="28" t="str">
        <f>IFERROR(__xludf.DUMMYFUNCTION("""COMPUTED_VALUE"""),"4GB")</f>
        <v>4GB</v>
      </c>
      <c r="Q527" s="29">
        <f t="shared" si="1"/>
        <v>2224.61</v>
      </c>
      <c r="R527" s="28">
        <f t="shared" si="2"/>
        <v>4</v>
      </c>
      <c r="S527" s="29">
        <f t="shared" si="3"/>
        <v>8898.44</v>
      </c>
      <c r="T527" s="28" t="str">
        <f>IFERROR(__xludf.DUMMYFUNCTION("PROPER(TRIM(
  LET(
    texto1, REGEXREPLACE(G527,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"),"Emilio Alva")</f>
        <v>Emilio Alva</v>
      </c>
      <c r="U527" s="28" t="str">
        <f t="shared" si="4"/>
        <v>2c896ee7-2283-43d2-9ff9-44e43322ed6f</v>
      </c>
      <c r="V527" s="30" t="str">
        <f t="shared" si="5"/>
        <v>Tablet Pro 4GB</v>
      </c>
    </row>
    <row r="528" ht="15.75" customHeight="1">
      <c r="A528" s="6">
        <v>45587.0</v>
      </c>
      <c r="B528" s="2" t="s">
        <v>16</v>
      </c>
      <c r="C528" s="2" t="s">
        <v>311</v>
      </c>
      <c r="D528" s="7">
        <v>419.18</v>
      </c>
      <c r="E528" s="2">
        <v>4.0</v>
      </c>
      <c r="F528" s="7">
        <v>1676.72</v>
      </c>
      <c r="G528" s="2" t="s">
        <v>1884</v>
      </c>
      <c r="H528" s="2" t="s">
        <v>1885</v>
      </c>
      <c r="I528" s="2" t="s">
        <v>1886</v>
      </c>
      <c r="K528" s="19" t="str">
        <f>IFERROR(__xludf.DUMMYFUNCTION("IF(ISBLANK(A528),
  """",
  IF(ISNUMBER(A528),
    TEXT(A528,""dd/mm/yyyy""),
    IF(
      REGEXMATCH(TRIM(A528),""^\d{1,2}/\d{1,2}/\d{4}$""),
      TRIM(A528),
      IFERROR(
        TEXT(DATEVALUE(SUBSTITUTE(SUBSTITUTE(TRIM(A528),""-"",""/""),""."",""/"&amp;""")),""dd/mm/yyyy""),
        TRIM(A528)
      )
    )
  )
)
"),"22/10/2024")</f>
        <v>22/10/2024</v>
      </c>
      <c r="L528" s="20">
        <v>45587.0</v>
      </c>
      <c r="M528" s="21" t="str">
        <f>IFERROR(__xludf.DUMMYFUNCTION("PROPER(TRIM(
  REGEXREPLACE(
    REGEXREPLACE(
      SUBSTITUTE(SUBSTITUTE(SUBSTITUTE(SUBSTITUTE(SUBSTITUTE(SUBSTITUTE(SUBSTITUTE(SUBSTITUTE(SUBSTITUTE(SUBSTITUTE(SUBSTITUTE(
        B528,""√©"",""é""),""√°"",""á""),""√±"",""ñ""),""√≥"",""ó""),""√â"",""é"&amp;"""),""√Å"",""á""),""√ç"",""í""),""√Ç"",""Í""),""√Â"",""é""),""√≠"",""í""),""√º"",""ú""),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28" s="22" t="str">
        <f>IFERROR(__xludf.DUMMYFUNCTION("SPLIT(
  TRIM(
    SUBSTITUTE(
      SUBSTITUTE(
        SUBSTITUTE(
          SUBSTITUTE(
            C528,
            ""√©"", ""é""
          ),
          ""√±"", ""ñ""
        ),
        ""√°"", ""á""
      ),
      ""√≥"", ""ó""
    )
  ),
  ""-""
)
"),"Laptop")</f>
        <v>Laptop</v>
      </c>
      <c r="O528" s="22" t="str">
        <f>IFERROR(__xludf.DUMMYFUNCTION("""COMPUTED_VALUE"""),"Oficina")</f>
        <v>Oficina</v>
      </c>
      <c r="P528" s="22" t="str">
        <f>IFERROR(__xludf.DUMMYFUNCTION("""COMPUTED_VALUE"""),"4GB")</f>
        <v>4GB</v>
      </c>
      <c r="Q528" s="23">
        <f t="shared" si="1"/>
        <v>419.18</v>
      </c>
      <c r="R528" s="22">
        <f t="shared" si="2"/>
        <v>4</v>
      </c>
      <c r="S528" s="23">
        <f t="shared" si="3"/>
        <v>1676.72</v>
      </c>
      <c r="T528" s="22" t="str">
        <f>IFERROR(__xludf.DUMMYFUNCTION("PROPER(TRIM(
  LET(
    texto1, REGEXREPLACE(G528,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"),"Virginia Irma Rolón Arteaga")</f>
        <v>Virginia Irma Rolón Arteaga</v>
      </c>
      <c r="U528" s="22" t="str">
        <f t="shared" si="4"/>
        <v>8961a6a3-8576-4db8-bcfd-98eaefa53976</v>
      </c>
      <c r="V528" s="24" t="str">
        <f t="shared" si="5"/>
        <v>Laptop Oficina 4GB</v>
      </c>
    </row>
    <row r="529" ht="15.75" customHeight="1">
      <c r="A529" s="6">
        <v>45656.0</v>
      </c>
      <c r="B529" s="2" t="s">
        <v>101</v>
      </c>
      <c r="C529" s="2" t="s">
        <v>500</v>
      </c>
      <c r="D529" s="7">
        <v>2149.59</v>
      </c>
      <c r="E529" s="2">
        <v>4.0</v>
      </c>
      <c r="F529" s="7">
        <v>8598.36</v>
      </c>
      <c r="G529" s="2" t="s">
        <v>1887</v>
      </c>
      <c r="H529" s="2" t="s">
        <v>1888</v>
      </c>
      <c r="I529" s="2" t="s">
        <v>1889</v>
      </c>
      <c r="K529" s="25" t="str">
        <f>IFERROR(__xludf.DUMMYFUNCTION("IF(ISBLANK(A529),
  """",
  IF(ISNUMBER(A529),
    TEXT(A529,""dd/mm/yyyy""),
    IF(
      REGEXMATCH(TRIM(A529),""^\d{1,2}/\d{1,2}/\d{4}$""),
      TRIM(A529),
      IFERROR(
        TEXT(DATEVALUE(SUBSTITUTE(SUBSTITUTE(TRIM(A529),""-"",""/""),""."",""/"&amp;""")),""dd/mm/yyyy""),
        TRIM(A529)
      )
    )
  )
)
"),"30/12/2024")</f>
        <v>30/12/2024</v>
      </c>
      <c r="L529" s="26">
        <v>45656.0</v>
      </c>
      <c r="M529" s="27" t="str">
        <f>IFERROR(__xludf.DUMMYFUNCTION("PROPER(TRIM(
  REGEXREPLACE(
    REGEXREPLACE(
      SUBSTITUTE(SUBSTITUTE(SUBSTITUTE(SUBSTITUTE(SUBSTITUTE(SUBSTITUTE(SUBSTITUTE(SUBSTITUTE(SUBSTITUTE(SUBSTITUTE(SUBSTITUTE(
        B529,""√©"",""é""),""√°"",""á""),""√±"",""ñ""),""√≥"",""ó""),""√â"",""é"&amp;"""),""√Å"",""á""),""√ç"",""í""),""√Ç"",""Í""),""√Â"",""é""),""√≠"",""í""),""√º"",""ú""),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29" s="28" t="str">
        <f>IFERROR(__xludf.DUMMYFUNCTION("SPLIT(
  TRIM(
    SUBSTITUTE(
      SUBSTITUTE(
        SUBSTITUTE(
          SUBSTITUTE(
            C529,
            ""√©"", ""é""
          ),
          ""√±"", ""ñ""
        ),
        ""√°"", ""á""
      ),
      ""√≥"", ""ó""
    )
  ),
  ""-""
)
"),"Teléfono")</f>
        <v>Teléfono</v>
      </c>
      <c r="O529" s="28" t="str">
        <f>IFERROR(__xludf.DUMMYFUNCTION("""COMPUTED_VALUE"""),"Gama alta")</f>
        <v>Gama alta</v>
      </c>
      <c r="P529" s="28" t="str">
        <f>IFERROR(__xludf.DUMMYFUNCTION("""COMPUTED_VALUE"""),"32GB")</f>
        <v>32GB</v>
      </c>
      <c r="Q529" s="29">
        <f t="shared" si="1"/>
        <v>2149.59</v>
      </c>
      <c r="R529" s="28">
        <f t="shared" si="2"/>
        <v>4</v>
      </c>
      <c r="S529" s="29">
        <f t="shared" si="3"/>
        <v>8598.36</v>
      </c>
      <c r="T529" s="28" t="str">
        <f>IFERROR(__xludf.DUMMYFUNCTION("PROPER(TRIM(
  LET(
    texto1, REGEXREPLACE(G529,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"),"Hilda Armando Padilla Castellanos")</f>
        <v>Hilda Armando Padilla Castellanos</v>
      </c>
      <c r="U529" s="28" t="str">
        <f t="shared" si="4"/>
        <v>36cbc08f-0000-4ac1-a306-2119638696af</v>
      </c>
      <c r="V529" s="30" t="str">
        <f t="shared" si="5"/>
        <v>Teléfono Gama alta 32GB</v>
      </c>
    </row>
    <row r="530" ht="15.75" customHeight="1">
      <c r="A530" s="6">
        <v>45583.0</v>
      </c>
      <c r="B530" s="2" t="s">
        <v>16</v>
      </c>
      <c r="C530" s="2" t="s">
        <v>201</v>
      </c>
      <c r="D530" s="7">
        <v>709.65</v>
      </c>
      <c r="E530" s="2">
        <v>3.0</v>
      </c>
      <c r="F530" s="7">
        <v>2128.95</v>
      </c>
      <c r="G530" s="2" t="s">
        <v>1890</v>
      </c>
      <c r="H530" s="2" t="s">
        <v>1891</v>
      </c>
      <c r="I530" s="2" t="s">
        <v>1892</v>
      </c>
      <c r="K530" s="19" t="str">
        <f>IFERROR(__xludf.DUMMYFUNCTION("IF(ISBLANK(A530),
  """",
  IF(ISNUMBER(A530),
    TEXT(A530,""dd/mm/yyyy""),
    IF(
      REGEXMATCH(TRIM(A530),""^\d{1,2}/\d{1,2}/\d{4}$""),
      TRIM(A530),
      IFERROR(
        TEXT(DATEVALUE(SUBSTITUTE(SUBSTITUTE(TRIM(A530),""-"",""/""),""."",""/"&amp;""")),""dd/mm/yyyy""),
        TRIM(A530)
      )
    )
  )
)
"),"18/10/2024")</f>
        <v>18/10/2024</v>
      </c>
      <c r="L530" s="20">
        <v>45583.0</v>
      </c>
      <c r="M530" s="21" t="str">
        <f>IFERROR(__xludf.DUMMYFUNCTION("PROPER(TRIM(
  REGEXREPLACE(
    REGEXREPLACE(
      SUBSTITUTE(SUBSTITUTE(SUBSTITUTE(SUBSTITUTE(SUBSTITUTE(SUBSTITUTE(SUBSTITUTE(SUBSTITUTE(SUBSTITUTE(SUBSTITUTE(SUBSTITUTE(
        B530,""√©"",""é""),""√°"",""á""),""√±"",""ñ""),""√≥"",""ó""),""√â"",""é"&amp;"""),""√Å"",""á""),""√ç"",""í""),""√Ç"",""Í""),""√Â"",""é""),""√≠"",""í""),""√º"",""ú""),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30" s="22" t="str">
        <f>IFERROR(__xludf.DUMMYFUNCTION("SPLIT(
  TRIM(
    SUBSTITUTE(
      SUBSTITUTE(
        SUBSTITUTE(
          SUBSTITUTE(
            C530,
            ""√©"", ""é""
          ),
          ""√±"", ""ñ""
        ),
        ""√°"", ""á""
      ),
      ""√≥"", ""ó""
    )
  ),
  ""-""
)
"),"Laptop")</f>
        <v>Laptop</v>
      </c>
      <c r="O530" s="22" t="str">
        <f>IFERROR(__xludf.DUMMYFUNCTION("""COMPUTED_VALUE"""),"Gaming")</f>
        <v>Gaming</v>
      </c>
      <c r="P530" s="22" t="str">
        <f>IFERROR(__xludf.DUMMYFUNCTION("""COMPUTED_VALUE"""),"4GB")</f>
        <v>4GB</v>
      </c>
      <c r="Q530" s="23">
        <f t="shared" si="1"/>
        <v>709.65</v>
      </c>
      <c r="R530" s="22">
        <f t="shared" si="2"/>
        <v>3</v>
      </c>
      <c r="S530" s="23">
        <f t="shared" si="3"/>
        <v>2128.95</v>
      </c>
      <c r="T530" s="22" t="str">
        <f>IFERROR(__xludf.DUMMYFUNCTION("PROPER(TRIM(
  LET(
    texto1, REGEXREPLACE(G530,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"),"Javier Ofelia Quintanilla Villa")</f>
        <v>Javier Ofelia Quintanilla Villa</v>
      </c>
      <c r="U530" s="22" t="str">
        <f t="shared" si="4"/>
        <v>8a1ce3fb-e2c2-4c33-8f15-c428f8a97642</v>
      </c>
      <c r="V530" s="24" t="str">
        <f t="shared" si="5"/>
        <v>Laptop Gaming 4GB</v>
      </c>
    </row>
    <row r="531" ht="15.75" customHeight="1">
      <c r="A531" s="6">
        <v>45653.0</v>
      </c>
      <c r="B531" s="2" t="s">
        <v>85</v>
      </c>
      <c r="C531" s="2" t="s">
        <v>191</v>
      </c>
      <c r="D531" s="7">
        <v>1191.71</v>
      </c>
      <c r="E531" s="2">
        <v>4.0</v>
      </c>
      <c r="F531" s="7">
        <v>4766.84</v>
      </c>
      <c r="G531" s="2" t="s">
        <v>1893</v>
      </c>
      <c r="H531" s="2" t="s">
        <v>1894</v>
      </c>
      <c r="I531" s="2" t="s">
        <v>1895</v>
      </c>
      <c r="K531" s="25" t="str">
        <f>IFERROR(__xludf.DUMMYFUNCTION("IF(ISBLANK(A531),
  """",
  IF(ISNUMBER(A531),
    TEXT(A531,""dd/mm/yyyy""),
    IF(
      REGEXMATCH(TRIM(A531),""^\d{1,2}/\d{1,2}/\d{4}$""),
      TRIM(A531),
      IFERROR(
        TEXT(DATEVALUE(SUBSTITUTE(SUBSTITUTE(TRIM(A531),""-"",""/""),""."",""/"&amp;""")),""dd/mm/yyyy""),
        TRIM(A531)
      )
    )
  )
)
"),"27/12/2024")</f>
        <v>27/12/2024</v>
      </c>
      <c r="L531" s="26">
        <v>45653.0</v>
      </c>
      <c r="M531" s="27" t="str">
        <f>IFERROR(__xludf.DUMMYFUNCTION("PROPER(TRIM(
  REGEXREPLACE(
    REGEXREPLACE(
      SUBSTITUTE(SUBSTITUTE(SUBSTITUTE(SUBSTITUTE(SUBSTITUTE(SUBSTITUTE(SUBSTITUTE(SUBSTITUTE(SUBSTITUTE(SUBSTITUTE(SUBSTITUTE(
        B531,""√©"",""é""),""√°"",""á""),""√±"",""ñ""),""√≥"",""ó""),""√â"",""é"&amp;"""),""√Å"",""á""),""√ç"",""í""),""√Ç"",""Í""),""√Â"",""é""),""√≠"",""í""),""√º"",""ú""),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31" s="28" t="str">
        <f>IFERROR(__xludf.DUMMYFUNCTION("SPLIT(
  TRIM(
    SUBSTITUTE(
      SUBSTITUTE(
        SUBSTITUTE(
          SUBSTITUTE(
            C531,
            ""√©"", ""é""
          ),
          ""√±"", ""ñ""
        ),
        ""√°"", ""á""
      ),
      ""√≥"", ""ó""
    )
  ),
  ""-""
)
"),"Auriculares")</f>
        <v>Auriculares</v>
      </c>
      <c r="O531" s="28" t="str">
        <f>IFERROR(__xludf.DUMMYFUNCTION("""COMPUTED_VALUE"""),"Cancelación de ruido")</f>
        <v>Cancelación de ruido</v>
      </c>
      <c r="P531" s="28" t="str">
        <f>IFERROR(__xludf.DUMMYFUNCTION("""COMPUTED_VALUE"""),"32GB")</f>
        <v>32GB</v>
      </c>
      <c r="Q531" s="29">
        <f t="shared" si="1"/>
        <v>1191.71</v>
      </c>
      <c r="R531" s="28">
        <f t="shared" si="2"/>
        <v>4</v>
      </c>
      <c r="S531" s="29">
        <f t="shared" si="3"/>
        <v>4766.84</v>
      </c>
      <c r="T531" s="28" t="str">
        <f>IFERROR(__xludf.DUMMYFUNCTION("PROPER(TRIM(
  LET(
    texto1, REGEXREPLACE(G531,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"),"Mauro Meléndez")</f>
        <v>Mauro Meléndez</v>
      </c>
      <c r="U531" s="28" t="str">
        <f t="shared" si="4"/>
        <v>43c7bc6c-6c1b-481e-b0de-1a182eecc87e</v>
      </c>
      <c r="V531" s="30" t="str">
        <f t="shared" si="5"/>
        <v>Auriculares Cancelación de ruido 32GB</v>
      </c>
    </row>
    <row r="532" ht="15.75" customHeight="1">
      <c r="A532" s="6">
        <v>45611.0</v>
      </c>
      <c r="B532" s="2" t="s">
        <v>38</v>
      </c>
      <c r="C532" s="2" t="s">
        <v>45</v>
      </c>
      <c r="D532" s="7">
        <v>914.84</v>
      </c>
      <c r="E532" s="2">
        <v>4.0</v>
      </c>
      <c r="F532" s="7">
        <v>3659.36</v>
      </c>
      <c r="G532" s="2" t="s">
        <v>1896</v>
      </c>
      <c r="H532" s="2" t="s">
        <v>1897</v>
      </c>
      <c r="I532" s="3" t="s">
        <v>1898</v>
      </c>
      <c r="K532" s="19" t="str">
        <f>IFERROR(__xludf.DUMMYFUNCTION("IF(ISBLANK(A532),
  """",
  IF(ISNUMBER(A532),
    TEXT(A532,""dd/mm/yyyy""),
    IF(
      REGEXMATCH(TRIM(A532),""^\d{1,2}/\d{1,2}/\d{4}$""),
      TRIM(A532),
      IFERROR(
        TEXT(DATEVALUE(SUBSTITUTE(SUBSTITUTE(TRIM(A532),""-"",""/""),""."",""/"&amp;""")),""dd/mm/yyyy""),
        TRIM(A532)
      )
    )
  )
)
"),"15/11/2024")</f>
        <v>15/11/2024</v>
      </c>
      <c r="L532" s="20">
        <v>45611.0</v>
      </c>
      <c r="M532" s="21" t="str">
        <f>IFERROR(__xludf.DUMMYFUNCTION("PROPER(TRIM(
  REGEXREPLACE(
    REGEXREPLACE(
      SUBSTITUTE(SUBSTITUTE(SUBSTITUTE(SUBSTITUTE(SUBSTITUTE(SUBSTITUTE(SUBSTITUTE(SUBSTITUTE(SUBSTITUTE(SUBSTITUTE(SUBSTITUTE(
        B532,""√©"",""é""),""√°"",""á""),""√±"",""ñ""),""√≥"",""ó""),""√â"",""é"&amp;"""),""√Å"",""á""),""√ç"",""í""),""√Ç"",""Í""),""√Â"",""é""),""√≠"",""í""),""√º"",""ú""),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32" s="22" t="str">
        <f>IFERROR(__xludf.DUMMYFUNCTION("SPLIT(
  TRIM(
    SUBSTITUTE(
      SUBSTITUTE(
        SUBSTITUTE(
          SUBSTITUTE(
            C532,
            ""√©"", ""é""
          ),
          ""√±"", ""ñ""
        ),
        ""√°"", ""á""
      ),
      ""√≥"", ""ó""
    )
  ),
  ""-""
)
"),"Tablet")</f>
        <v>Tablet</v>
      </c>
      <c r="O532" s="22" t="str">
        <f>IFERROR(__xludf.DUMMYFUNCTION("""COMPUTED_VALUE"""),"Mini")</f>
        <v>Mini</v>
      </c>
      <c r="P532" s="22" t="str">
        <f>IFERROR(__xludf.DUMMYFUNCTION("""COMPUTED_VALUE"""),"4GB")</f>
        <v>4GB</v>
      </c>
      <c r="Q532" s="23">
        <f t="shared" si="1"/>
        <v>914.84</v>
      </c>
      <c r="R532" s="22">
        <f t="shared" si="2"/>
        <v>4</v>
      </c>
      <c r="S532" s="23">
        <f t="shared" si="3"/>
        <v>3659.36</v>
      </c>
      <c r="T532" s="22" t="str">
        <f>IFERROR(__xludf.DUMMYFUNCTION("PROPER(TRIM(
  LET(
    texto1, REGEXREPLACE(G532,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"),"Emilio Peres")</f>
        <v>Emilio Peres</v>
      </c>
      <c r="U532" s="33" t="str">
        <f t="shared" si="4"/>
        <v>67e78427-8d9f-40c5-b32d-df9777d2029d</v>
      </c>
      <c r="V532" s="24" t="str">
        <f t="shared" si="5"/>
        <v>Tablet Mini 4GB</v>
      </c>
    </row>
    <row r="533" ht="15.75" customHeight="1">
      <c r="A533" s="6">
        <v>45568.0</v>
      </c>
      <c r="B533" s="2" t="s">
        <v>50</v>
      </c>
      <c r="C533" s="2" t="s">
        <v>500</v>
      </c>
      <c r="D533" s="7">
        <v>2419.81</v>
      </c>
      <c r="E533" s="2">
        <v>5.0</v>
      </c>
      <c r="F533" s="7">
        <v>12099.05</v>
      </c>
      <c r="G533" s="2" t="s">
        <v>1899</v>
      </c>
      <c r="H533" s="2" t="s">
        <v>1900</v>
      </c>
      <c r="I533" s="2" t="s">
        <v>1901</v>
      </c>
      <c r="K533" s="25" t="str">
        <f>IFERROR(__xludf.DUMMYFUNCTION("IF(ISBLANK(A533),
  """",
  IF(ISNUMBER(A533),
    TEXT(A533,""dd/mm/yyyy""),
    IF(
      REGEXMATCH(TRIM(A533),""^\d{1,2}/\d{1,2}/\d{4}$""),
      TRIM(A533),
      IFERROR(
        TEXT(DATEVALUE(SUBSTITUTE(SUBSTITUTE(TRIM(A533),""-"",""/""),""."",""/"&amp;""")),""dd/mm/yyyy""),
        TRIM(A533)
      )
    )
  )
)
"),"03/10/2024")</f>
        <v>03/10/2024</v>
      </c>
      <c r="L533" s="26">
        <v>45568.0</v>
      </c>
      <c r="M533" s="27" t="str">
        <f>IFERROR(__xludf.DUMMYFUNCTION("PROPER(TRIM(
  REGEXREPLACE(
    REGEXREPLACE(
      SUBSTITUTE(SUBSTITUTE(SUBSTITUTE(SUBSTITUTE(SUBSTITUTE(SUBSTITUTE(SUBSTITUTE(SUBSTITUTE(SUBSTITUTE(SUBSTITUTE(SUBSTITUTE(
        B533,""√©"",""é""),""√°"",""á""),""√±"",""ñ""),""√≥"",""ó""),""√â"",""é"&amp;"""),""√Å"",""á""),""√ç"",""í""),""√Ç"",""Í""),""√Â"",""é""),""√≠"",""í""),""√º"",""ú""),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33" s="28" t="str">
        <f>IFERROR(__xludf.DUMMYFUNCTION("SPLIT(
  TRIM(
    SUBSTITUTE(
      SUBSTITUTE(
        SUBSTITUTE(
          SUBSTITUTE(
            C533,
            ""√©"", ""é""
          ),
          ""√±"", ""ñ""
        ),
        ""√°"", ""á""
      ),
      ""√≥"", ""ó""
    )
  ),
  ""-""
)
"),"Teléfono")</f>
        <v>Teléfono</v>
      </c>
      <c r="O533" s="28" t="str">
        <f>IFERROR(__xludf.DUMMYFUNCTION("""COMPUTED_VALUE"""),"Gama alta")</f>
        <v>Gama alta</v>
      </c>
      <c r="P533" s="28" t="str">
        <f>IFERROR(__xludf.DUMMYFUNCTION("""COMPUTED_VALUE"""),"32GB")</f>
        <v>32GB</v>
      </c>
      <c r="Q533" s="29">
        <f t="shared" si="1"/>
        <v>2419.81</v>
      </c>
      <c r="R533" s="28">
        <f t="shared" si="2"/>
        <v>5</v>
      </c>
      <c r="S533" s="29">
        <f t="shared" si="3"/>
        <v>12099.05</v>
      </c>
      <c r="T533" s="28" t="str">
        <f>IFERROR(__xludf.DUMMYFUNCTION("PROPER(TRIM(
  LET(
    texto1, REGEXREPLACE(G533,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"),"Esteban Ureña")</f>
        <v>Esteban Ureña</v>
      </c>
      <c r="U533" s="28" t="str">
        <f t="shared" si="4"/>
        <v>a4da2665-dfb9-46f3-b658-cc5d0505dd86</v>
      </c>
      <c r="V533" s="30" t="str">
        <f t="shared" si="5"/>
        <v>Teléfono Gama alta 32GB</v>
      </c>
    </row>
    <row r="534" ht="15.75" customHeight="1">
      <c r="A534" s="6">
        <v>45583.0</v>
      </c>
      <c r="B534" s="2" t="s">
        <v>16</v>
      </c>
      <c r="C534" s="2" t="s">
        <v>250</v>
      </c>
      <c r="D534" s="7">
        <v>1750.63</v>
      </c>
      <c r="E534" s="2">
        <v>5.0</v>
      </c>
      <c r="F534" s="7">
        <v>8753.15</v>
      </c>
      <c r="G534" s="2" t="s">
        <v>1902</v>
      </c>
      <c r="H534" s="2" t="s">
        <v>1903</v>
      </c>
      <c r="I534" s="2" t="s">
        <v>1904</v>
      </c>
      <c r="K534" s="19" t="str">
        <f>IFERROR(__xludf.DUMMYFUNCTION("IF(ISBLANK(A534),
  """",
  IF(ISNUMBER(A534),
    TEXT(A534,""dd/mm/yyyy""),
    IF(
      REGEXMATCH(TRIM(A534),""^\d{1,2}/\d{1,2}/\d{4}$""),
      TRIM(A534),
      IFERROR(
        TEXT(DATEVALUE(SUBSTITUTE(SUBSTITUTE(TRIM(A534),""-"",""/""),""."",""/"&amp;""")),""dd/mm/yyyy""),
        TRIM(A534)
      )
    )
  )
)
"),"18/10/2024")</f>
        <v>18/10/2024</v>
      </c>
      <c r="L534" s="20">
        <v>45583.0</v>
      </c>
      <c r="M534" s="21" t="str">
        <f>IFERROR(__xludf.DUMMYFUNCTION("PROPER(TRIM(
  REGEXREPLACE(
    REGEXREPLACE(
      SUBSTITUTE(SUBSTITUTE(SUBSTITUTE(SUBSTITUTE(SUBSTITUTE(SUBSTITUTE(SUBSTITUTE(SUBSTITUTE(SUBSTITUTE(SUBSTITUTE(SUBSTITUTE(
        B534,""√©"",""é""),""√°"",""á""),""√±"",""ñ""),""√≥"",""ó""),""√â"",""é"&amp;"""),""√Å"",""á""),""√ç"",""í""),""√Ç"",""Í""),""√Â"",""é""),""√≠"",""í""),""√º"",""ú""),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34" s="22" t="str">
        <f>IFERROR(__xludf.DUMMYFUNCTION("SPLIT(
  TRIM(
    SUBSTITUTE(
      SUBSTITUTE(
        SUBSTITUTE(
          SUBSTITUTE(
            C534,
            ""√©"", ""é""
          ),
          ""√±"", ""ñ""
        ),
        ""√°"", ""á""
      ),
      ""√≥"", ""ó""
    )
  ),
  ""-""
)
"),"Laptop")</f>
        <v>Laptop</v>
      </c>
      <c r="O534" s="22" t="str">
        <f>IFERROR(__xludf.DUMMYFUNCTION("""COMPUTED_VALUE"""),"Oficina")</f>
        <v>Oficina</v>
      </c>
      <c r="P534" s="22" t="str">
        <f>IFERROR(__xludf.DUMMYFUNCTION("""COMPUTED_VALUE"""),"32GB")</f>
        <v>32GB</v>
      </c>
      <c r="Q534" s="23">
        <f t="shared" si="1"/>
        <v>1750.63</v>
      </c>
      <c r="R534" s="22">
        <f t="shared" si="2"/>
        <v>5</v>
      </c>
      <c r="S534" s="23">
        <f t="shared" si="3"/>
        <v>8753.15</v>
      </c>
      <c r="T534" s="22" t="str">
        <f>IFERROR(__xludf.DUMMYFUNCTION("PROPER(TRIM(
  LET(
    texto1, REGEXREPLACE(G534,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"),"Rufino Amador Ochoa")</f>
        <v>Rufino Amador Ochoa</v>
      </c>
      <c r="U534" s="22" t="str">
        <f t="shared" si="4"/>
        <v>731cae55-5431-4c89-89e4-ae12557b88e2</v>
      </c>
      <c r="V534" s="24" t="str">
        <f t="shared" si="5"/>
        <v>Laptop Oficina 32GB</v>
      </c>
    </row>
    <row r="535" ht="15.75" customHeight="1">
      <c r="A535" s="6">
        <v>45582.0</v>
      </c>
      <c r="B535" s="2" t="s">
        <v>38</v>
      </c>
      <c r="C535" s="2" t="s">
        <v>348</v>
      </c>
      <c r="D535" s="7">
        <v>1091.59</v>
      </c>
      <c r="E535" s="2">
        <v>5.0</v>
      </c>
      <c r="F535" s="7">
        <v>5457.95</v>
      </c>
      <c r="G535" s="2" t="s">
        <v>1905</v>
      </c>
      <c r="H535" s="2" t="s">
        <v>1906</v>
      </c>
      <c r="I535" s="2" t="s">
        <v>1907</v>
      </c>
      <c r="K535" s="25" t="str">
        <f>IFERROR(__xludf.DUMMYFUNCTION("IF(ISBLANK(A535),
  """",
  IF(ISNUMBER(A535),
    TEXT(A535,""dd/mm/yyyy""),
    IF(
      REGEXMATCH(TRIM(A535),""^\d{1,2}/\d{1,2}/\d{4}$""),
      TRIM(A535),
      IFERROR(
        TEXT(DATEVALUE(SUBSTITUTE(SUBSTITUTE(TRIM(A535),""-"",""/""),""."",""/"&amp;""")),""dd/mm/yyyy""),
        TRIM(A535)
      )
    )
  )
)
"),"17/10/2024")</f>
        <v>17/10/2024</v>
      </c>
      <c r="L535" s="26">
        <v>45582.0</v>
      </c>
      <c r="M535" s="27" t="str">
        <f>IFERROR(__xludf.DUMMYFUNCTION("PROPER(TRIM(
  REGEXREPLACE(
    REGEXREPLACE(
      SUBSTITUTE(SUBSTITUTE(SUBSTITUTE(SUBSTITUTE(SUBSTITUTE(SUBSTITUTE(SUBSTITUTE(SUBSTITUTE(SUBSTITUTE(SUBSTITUTE(SUBSTITUTE(
        B535,""√©"",""é""),""√°"",""á""),""√±"",""ñ""),""√≥"",""ó""),""√â"",""é"&amp;"""),""√Å"",""á""),""√ç"",""í""),""√Ç"",""Í""),""√Â"",""é""),""√≠"",""í""),""√º"",""ú""),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35" s="28" t="str">
        <f>IFERROR(__xludf.DUMMYFUNCTION("SPLIT(
  TRIM(
    SUBSTITUTE(
      SUBSTITUTE(
        SUBSTITUTE(
          SUBSTITUTE(
            C535,
            ""√©"", ""é""
          ),
          ""√±"", ""ñ""
        ),
        ""√°"", ""á""
      ),
      ""√≥"", ""ó""
    )
  ),
  ""-""
)
"),"Teléfono")</f>
        <v>Teléfono</v>
      </c>
      <c r="O535" s="28" t="str">
        <f>IFERROR(__xludf.DUMMYFUNCTION("""COMPUTED_VALUE"""),"Gama media")</f>
        <v>Gama media</v>
      </c>
      <c r="P535" s="28" t="str">
        <f>IFERROR(__xludf.DUMMYFUNCTION("""COMPUTED_VALUE"""),"8GB")</f>
        <v>8GB</v>
      </c>
      <c r="Q535" s="29">
        <f t="shared" si="1"/>
        <v>1091.59</v>
      </c>
      <c r="R535" s="28">
        <f t="shared" si="2"/>
        <v>5</v>
      </c>
      <c r="S535" s="29">
        <f t="shared" si="3"/>
        <v>5457.95</v>
      </c>
      <c r="T535" s="28" t="str">
        <f>IFERROR(__xludf.DUMMYFUNCTION("PROPER(TRIM(
  LET(
    texto1, REGEXREPLACE(G535,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 Leticia Calderón Gallegos")</f>
        <v>Abel Leticia Calderón Gallegos</v>
      </c>
      <c r="U535" s="28" t="str">
        <f t="shared" si="4"/>
        <v>92461461-c9c6-41f5-ba8b-7e68bb7088ec</v>
      </c>
      <c r="V535" s="30" t="str">
        <f t="shared" si="5"/>
        <v>Teléfono Gama media 8GB</v>
      </c>
    </row>
    <row r="536" ht="15.75" customHeight="1">
      <c r="A536" s="6">
        <v>45584.0</v>
      </c>
      <c r="B536" s="2" t="s">
        <v>85</v>
      </c>
      <c r="C536" s="2" t="s">
        <v>250</v>
      </c>
      <c r="D536" s="7">
        <v>2182.83</v>
      </c>
      <c r="E536" s="2">
        <v>4.0</v>
      </c>
      <c r="F536" s="7">
        <v>8731.32</v>
      </c>
      <c r="G536" s="2" t="s">
        <v>1908</v>
      </c>
      <c r="H536" s="2" t="s">
        <v>1909</v>
      </c>
      <c r="I536" s="2" t="s">
        <v>1910</v>
      </c>
      <c r="K536" s="19" t="str">
        <f>IFERROR(__xludf.DUMMYFUNCTION("IF(ISBLANK(A536),
  """",
  IF(ISNUMBER(A536),
    TEXT(A536,""dd/mm/yyyy""),
    IF(
      REGEXMATCH(TRIM(A536),""^\d{1,2}/\d{1,2}/\d{4}$""),
      TRIM(A536),
      IFERROR(
        TEXT(DATEVALUE(SUBSTITUTE(SUBSTITUTE(TRIM(A536),""-"",""/""),""."",""/"&amp;""")),""dd/mm/yyyy""),
        TRIM(A536)
      )
    )
  )
)
"),"19/10/2024")</f>
        <v>19/10/2024</v>
      </c>
      <c r="L536" s="20">
        <v>45584.0</v>
      </c>
      <c r="M536" s="21" t="str">
        <f>IFERROR(__xludf.DUMMYFUNCTION("PROPER(TRIM(
  REGEXREPLACE(
    REGEXREPLACE(
      SUBSTITUTE(SUBSTITUTE(SUBSTITUTE(SUBSTITUTE(SUBSTITUTE(SUBSTITUTE(SUBSTITUTE(SUBSTITUTE(SUBSTITUTE(SUBSTITUTE(SUBSTITUTE(
        B536,""√©"",""é""),""√°"",""á""),""√±"",""ñ""),""√≥"",""ó""),""√â"",""é"&amp;"""),""√Å"",""á""),""√ç"",""í""),""√Ç"",""Í""),""√Â"",""é""),""√≠"",""í""),""√º"",""ú""),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36" s="22" t="str">
        <f>IFERROR(__xludf.DUMMYFUNCTION("SPLIT(
  TRIM(
    SUBSTITUTE(
      SUBSTITUTE(
        SUBSTITUTE(
          SUBSTITUTE(
            C536,
            ""√©"", ""é""
          ),
          ""√±"", ""ñ""
        ),
        ""√°"", ""á""
      ),
      ""√≥"", ""ó""
    )
  ),
  ""-""
)
"),"Laptop")</f>
        <v>Laptop</v>
      </c>
      <c r="O536" s="22" t="str">
        <f>IFERROR(__xludf.DUMMYFUNCTION("""COMPUTED_VALUE"""),"Oficina")</f>
        <v>Oficina</v>
      </c>
      <c r="P536" s="22" t="str">
        <f>IFERROR(__xludf.DUMMYFUNCTION("""COMPUTED_VALUE"""),"32GB")</f>
        <v>32GB</v>
      </c>
      <c r="Q536" s="23">
        <f t="shared" si="1"/>
        <v>2182.83</v>
      </c>
      <c r="R536" s="22">
        <f t="shared" si="2"/>
        <v>4</v>
      </c>
      <c r="S536" s="23">
        <f t="shared" si="3"/>
        <v>8731.32</v>
      </c>
      <c r="T536" s="22" t="str">
        <f>IFERROR(__xludf.DUMMYFUNCTION("PROPER(TRIM(
  LET(
    texto1, REGEXREPLACE(G536,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"),"Olivia Zavala")</f>
        <v>Olivia Zavala</v>
      </c>
      <c r="U536" s="22" t="str">
        <f t="shared" si="4"/>
        <v>1bb7ccf0-5ad1-49e5-831c-01f403e1e8ae</v>
      </c>
      <c r="V536" s="24" t="str">
        <f t="shared" si="5"/>
        <v>Laptop Oficina 32GB</v>
      </c>
    </row>
    <row r="537" ht="15.75" customHeight="1">
      <c r="A537" s="6">
        <v>45619.0</v>
      </c>
      <c r="B537" s="2" t="s">
        <v>38</v>
      </c>
      <c r="C537" s="2" t="s">
        <v>250</v>
      </c>
      <c r="D537" s="7">
        <v>919.27</v>
      </c>
      <c r="E537" s="2">
        <v>2.0</v>
      </c>
      <c r="F537" s="7">
        <v>1838.54</v>
      </c>
      <c r="G537" s="2" t="s">
        <v>1911</v>
      </c>
      <c r="H537" s="2" t="s">
        <v>1912</v>
      </c>
      <c r="I537" s="2" t="s">
        <v>1913</v>
      </c>
      <c r="K537" s="25" t="str">
        <f>IFERROR(__xludf.DUMMYFUNCTION("IF(ISBLANK(A537),
  """",
  IF(ISNUMBER(A537),
    TEXT(A537,""dd/mm/yyyy""),
    IF(
      REGEXMATCH(TRIM(A537),""^\d{1,2}/\d{1,2}/\d{4}$""),
      TRIM(A537),
      IFERROR(
        TEXT(DATEVALUE(SUBSTITUTE(SUBSTITUTE(TRIM(A537),""-"",""/""),""."",""/"&amp;""")),""dd/mm/yyyy""),
        TRIM(A537)
      )
    )
  )
)
"),"23/11/2024")</f>
        <v>23/11/2024</v>
      </c>
      <c r="L537" s="26">
        <v>45619.0</v>
      </c>
      <c r="M537" s="27" t="str">
        <f>IFERROR(__xludf.DUMMYFUNCTION("PROPER(TRIM(
  REGEXREPLACE(
    REGEXREPLACE(
      SUBSTITUTE(SUBSTITUTE(SUBSTITUTE(SUBSTITUTE(SUBSTITUTE(SUBSTITUTE(SUBSTITUTE(SUBSTITUTE(SUBSTITUTE(SUBSTITUTE(SUBSTITUTE(
        B537,""√©"",""é""),""√°"",""á""),""√±"",""ñ""),""√≥"",""ó""),""√â"",""é"&amp;"""),""√Å"",""á""),""√ç"",""í""),""√Ç"",""Í""),""√Â"",""é""),""√≠"",""í""),""√º"",""ú""),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37" s="28" t="str">
        <f>IFERROR(__xludf.DUMMYFUNCTION("SPLIT(
  TRIM(
    SUBSTITUTE(
      SUBSTITUTE(
        SUBSTITUTE(
          SUBSTITUTE(
            C537,
            ""√©"", ""é""
          ),
          ""√±"", ""ñ""
        ),
        ""√°"", ""á""
      ),
      ""√≥"", ""ó""
    )
  ),
  ""-""
)
"),"Laptop")</f>
        <v>Laptop</v>
      </c>
      <c r="O537" s="28" t="str">
        <f>IFERROR(__xludf.DUMMYFUNCTION("""COMPUTED_VALUE"""),"Oficina")</f>
        <v>Oficina</v>
      </c>
      <c r="P537" s="28" t="str">
        <f>IFERROR(__xludf.DUMMYFUNCTION("""COMPUTED_VALUE"""),"32GB")</f>
        <v>32GB</v>
      </c>
      <c r="Q537" s="29">
        <f t="shared" si="1"/>
        <v>919.27</v>
      </c>
      <c r="R537" s="28">
        <f t="shared" si="2"/>
        <v>2</v>
      </c>
      <c r="S537" s="29">
        <f t="shared" si="3"/>
        <v>1838.54</v>
      </c>
      <c r="T537" s="28" t="str">
        <f>IFERROR(__xludf.DUMMYFUNCTION("PROPER(TRIM(
  LET(
    texto1, REGEXREPLACE(G537,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"),"Hilda Vergara Tirado")</f>
        <v>Hilda Vergara Tirado</v>
      </c>
      <c r="U537" s="28" t="str">
        <f t="shared" si="4"/>
        <v>d8b5d3e5-0632-4dbf-9b3c-2094a15de8e8</v>
      </c>
      <c r="V537" s="30" t="str">
        <f t="shared" si="5"/>
        <v>Laptop Oficina 32GB</v>
      </c>
    </row>
    <row r="538" ht="15.75" customHeight="1">
      <c r="A538" s="6">
        <v>45568.0</v>
      </c>
      <c r="B538" s="2" t="s">
        <v>27</v>
      </c>
      <c r="C538" s="2" t="s">
        <v>75</v>
      </c>
      <c r="D538" s="7">
        <v>145.9</v>
      </c>
      <c r="E538" s="2">
        <v>5.0</v>
      </c>
      <c r="F538" s="7">
        <v>729.5</v>
      </c>
      <c r="G538" s="2" t="s">
        <v>1914</v>
      </c>
      <c r="H538" s="2" t="s">
        <v>1915</v>
      </c>
      <c r="I538" s="2" t="s">
        <v>1916</v>
      </c>
      <c r="K538" s="19" t="str">
        <f>IFERROR(__xludf.DUMMYFUNCTION("IF(ISBLANK(A538),
  """",
  IF(ISNUMBER(A538),
    TEXT(A538,""dd/mm/yyyy""),
    IF(
      REGEXMATCH(TRIM(A538),""^\d{1,2}/\d{1,2}/\d{4}$""),
      TRIM(A538),
      IFERROR(
        TEXT(DATEVALUE(SUBSTITUTE(SUBSTITUTE(TRIM(A538),""-"",""/""),""."",""/"&amp;""")),""dd/mm/yyyy""),
        TRIM(A538)
      )
    )
  )
)
"),"03/10/2024")</f>
        <v>03/10/2024</v>
      </c>
      <c r="L538" s="20">
        <v>45568.0</v>
      </c>
      <c r="M538" s="21" t="str">
        <f>IFERROR(__xludf.DUMMYFUNCTION("PROPER(TRIM(
  REGEXREPLACE(
    REGEXREPLACE(
      SUBSTITUTE(SUBSTITUTE(SUBSTITUTE(SUBSTITUTE(SUBSTITUTE(SUBSTITUTE(SUBSTITUTE(SUBSTITUTE(SUBSTITUTE(SUBSTITUTE(SUBSTITUTE(
        B538,""√©"",""é""),""√°"",""á""),""√±"",""ñ""),""√≥"",""ó""),""√â"",""é"&amp;"""),""√Å"",""á""),""√ç"",""í""),""√Ç"",""Í""),""√Â"",""é""),""√≠"",""í""),""√º"",""ú""),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38" s="22" t="str">
        <f>IFERROR(__xludf.DUMMYFUNCTION("SPLIT(
  TRIM(
    SUBSTITUTE(
      SUBSTITUTE(
        SUBSTITUTE(
          SUBSTITUTE(
            C538,
            ""√©"", ""é""
          ),
          ""√±"", ""ñ""
        ),
        ""√°"", ""á""
      ),
      ""√≥"", ""ó""
    )
  ),
  ""-""
)
"),"Tablet")</f>
        <v>Tablet</v>
      </c>
      <c r="O538" s="22" t="str">
        <f>IFERROR(__xludf.DUMMYFUNCTION("""COMPUTED_VALUE"""),"Pro")</f>
        <v>Pro</v>
      </c>
      <c r="P538" s="22" t="str">
        <f>IFERROR(__xludf.DUMMYFUNCTION("""COMPUTED_VALUE"""),"4GB")</f>
        <v>4GB</v>
      </c>
      <c r="Q538" s="23">
        <f t="shared" si="1"/>
        <v>145.9</v>
      </c>
      <c r="R538" s="22">
        <f t="shared" si="2"/>
        <v>5</v>
      </c>
      <c r="S538" s="23">
        <f t="shared" si="3"/>
        <v>729.5</v>
      </c>
      <c r="T538" s="22" t="str">
        <f>IFERROR(__xludf.DUMMYFUNCTION("PROPER(TRIM(
  LET(
    texto1, REGEXREPLACE(G538,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"),"Aida Ojeda Galindo")</f>
        <v>Aida Ojeda Galindo</v>
      </c>
      <c r="U538" s="22" t="str">
        <f t="shared" si="4"/>
        <v>8d23f99e-11a9-4194-979d-e2f334eec6fa</v>
      </c>
      <c r="V538" s="24" t="str">
        <f t="shared" si="5"/>
        <v>Tablet Pro 4GB</v>
      </c>
    </row>
    <row r="539" ht="15.75" customHeight="1">
      <c r="A539" s="6">
        <v>45626.0</v>
      </c>
      <c r="B539" s="2" t="s">
        <v>38</v>
      </c>
      <c r="C539" s="2" t="s">
        <v>698</v>
      </c>
      <c r="D539" s="7">
        <v>1208.42</v>
      </c>
      <c r="E539" s="2">
        <v>3.0</v>
      </c>
      <c r="F539" s="7">
        <v>3625.26</v>
      </c>
      <c r="G539" s="2" t="s">
        <v>1917</v>
      </c>
      <c r="H539" s="2" t="s">
        <v>1918</v>
      </c>
      <c r="I539" s="2" t="s">
        <v>1919</v>
      </c>
      <c r="K539" s="25" t="str">
        <f>IFERROR(__xludf.DUMMYFUNCTION("IF(ISBLANK(A539),
  """",
  IF(ISNUMBER(A539),
    TEXT(A539,""dd/mm/yyyy""),
    IF(
      REGEXMATCH(TRIM(A539),""^\d{1,2}/\d{1,2}/\d{4}$""),
      TRIM(A539),
      IFERROR(
        TEXT(DATEVALUE(SUBSTITUTE(SUBSTITUTE(TRIM(A539),""-"",""/""),""."",""/"&amp;""")),""dd/mm/yyyy""),
        TRIM(A539)
      )
    )
  )
)
"),"30/11/2024")</f>
        <v>30/11/2024</v>
      </c>
      <c r="L539" s="26">
        <v>45626.0</v>
      </c>
      <c r="M539" s="27" t="str">
        <f>IFERROR(__xludf.DUMMYFUNCTION("PROPER(TRIM(
  REGEXREPLACE(
    REGEXREPLACE(
      SUBSTITUTE(SUBSTITUTE(SUBSTITUTE(SUBSTITUTE(SUBSTITUTE(SUBSTITUTE(SUBSTITUTE(SUBSTITUTE(SUBSTITUTE(SUBSTITUTE(SUBSTITUTE(
        B539,""√©"",""é""),""√°"",""á""),""√±"",""ñ""),""√≥"",""ó""),""√â"",""é"&amp;"""),""√Å"",""á""),""√ç"",""í""),""√Ç"",""Í""),""√Â"",""é""),""√≠"",""í""),""√º"",""ú""),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39" s="28" t="str">
        <f>IFERROR(__xludf.DUMMYFUNCTION("SPLIT(
  TRIM(
    SUBSTITUTE(
      SUBSTITUTE(
        SUBSTITUTE(
          SUBSTITUTE(
            C539,
            ""√©"", ""é""
          ),
          ""√±"", ""ñ""
        ),
        ""√°"", ""á""
      ),
      ""√≥"", ""ó""
    )
  ),
  ""-""
)
"),"Laptop")</f>
        <v>Laptop</v>
      </c>
      <c r="O539" s="28" t="str">
        <f>IFERROR(__xludf.DUMMYFUNCTION("""COMPUTED_VALUE"""),"Ultraliviana")</f>
        <v>Ultraliviana</v>
      </c>
      <c r="P539" s="28" t="str">
        <f>IFERROR(__xludf.DUMMYFUNCTION("""COMPUTED_VALUE"""),"8GB")</f>
        <v>8GB</v>
      </c>
      <c r="Q539" s="29">
        <f t="shared" si="1"/>
        <v>1208.42</v>
      </c>
      <c r="R539" s="28">
        <f t="shared" si="2"/>
        <v>3</v>
      </c>
      <c r="S539" s="29">
        <f t="shared" si="3"/>
        <v>3625.26</v>
      </c>
      <c r="T539" s="28" t="str">
        <f>IFERROR(__xludf.DUMMYFUNCTION("PROPER(TRIM(
  LET(
    texto1, REGEXREPLACE(G539,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Mitzy Aguirre Macías")</f>
        <v>Gilberto Mitzy Aguirre Macías</v>
      </c>
      <c r="U539" s="28" t="str">
        <f t="shared" si="4"/>
        <v>853315fd-3f57-4c4d-b1c0-63876571d6be</v>
      </c>
      <c r="V539" s="30" t="str">
        <f t="shared" si="5"/>
        <v>Laptop Ultraliviana 8GB</v>
      </c>
    </row>
    <row r="540" ht="15.75" customHeight="1">
      <c r="A540" s="36">
        <v>45547.0</v>
      </c>
      <c r="B540" s="2" t="s">
        <v>85</v>
      </c>
      <c r="C540" s="2" t="s">
        <v>39</v>
      </c>
      <c r="D540" s="7">
        <v>1990.56</v>
      </c>
      <c r="E540" s="2">
        <v>2.0</v>
      </c>
      <c r="F540" s="7">
        <v>3981.12</v>
      </c>
      <c r="G540" s="2" t="s">
        <v>1920</v>
      </c>
      <c r="H540" s="2" t="s">
        <v>1921</v>
      </c>
      <c r="I540" s="2" t="s">
        <v>1922</v>
      </c>
      <c r="K540" s="19" t="str">
        <f>IFERROR(__xludf.DUMMYFUNCTION("IF(ISBLANK(A540),
  """",
  IF(ISNUMBER(A540),
    TEXT(A540,""dd/mm/yyyy""),
    IF(
      REGEXMATCH(TRIM(A540),""^\d{1,2}/\d{1,2}/\d{4}$""),
      TRIM(A540),
      IFERROR(
        TEXT(DATEVALUE(SUBSTITUTE(SUBSTITUTE(TRIM(A540),""-"",""/""),""."",""/"&amp;""")),""dd/mm/yyyy""),
        TRIM(A540)
      )
    )
  )
)
"),"12/09/2024")</f>
        <v>12/09/2024</v>
      </c>
      <c r="L540" s="20">
        <v>45547.0</v>
      </c>
      <c r="M540" s="21" t="str">
        <f>IFERROR(__xludf.DUMMYFUNCTION("PROPER(TRIM(
  REGEXREPLACE(
    REGEXREPLACE(
      SUBSTITUTE(SUBSTITUTE(SUBSTITUTE(SUBSTITUTE(SUBSTITUTE(SUBSTITUTE(SUBSTITUTE(SUBSTITUTE(SUBSTITUTE(SUBSTITUTE(SUBSTITUTE(
        B540,""√©"",""é""),""√°"",""á""),""√±"",""ñ""),""√≥"",""ó""),""√â"",""é"&amp;"""),""√Å"",""á""),""√ç"",""í""),""√Ç"",""Í""),""√Â"",""é""),""√≠"",""í""),""√º"",""ú""),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40" s="22" t="str">
        <f>IFERROR(__xludf.DUMMYFUNCTION("SPLIT(
  TRIM(
    SUBSTITUTE(
      SUBSTITUTE(
        SUBSTITUTE(
          SUBSTITUTE(
            C540,
            ""√©"", ""é""
          ),
          ""√±"", ""ñ""
        ),
        ""√°"", ""á""
      ),
      ""√≥"", ""ó""
    )
  ),
  ""-""
)
"),"Teléfono")</f>
        <v>Teléfono</v>
      </c>
      <c r="O540" s="22" t="str">
        <f>IFERROR(__xludf.DUMMYFUNCTION("""COMPUTED_VALUE"""),"Gama alta")</f>
        <v>Gama alta</v>
      </c>
      <c r="P540" s="22" t="str">
        <f>IFERROR(__xludf.DUMMYFUNCTION("""COMPUTED_VALUE"""),"8GB")</f>
        <v>8GB</v>
      </c>
      <c r="Q540" s="23">
        <f t="shared" si="1"/>
        <v>1990.56</v>
      </c>
      <c r="R540" s="22">
        <f t="shared" si="2"/>
        <v>2</v>
      </c>
      <c r="S540" s="23">
        <f t="shared" si="3"/>
        <v>3981.12</v>
      </c>
      <c r="T540" s="22" t="str">
        <f>IFERROR(__xludf.DUMMYFUNCTION("PROPER(TRIM(
  LET(
    texto1, REGEXREPLACE(G540,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"),"Yuridia Rivas")</f>
        <v>Yuridia Rivas</v>
      </c>
      <c r="U540" s="22" t="str">
        <f t="shared" si="4"/>
        <v>0063b295-8de8-42db-a280-53ce8abd64d5</v>
      </c>
      <c r="V540" s="24" t="str">
        <f t="shared" si="5"/>
        <v>Teléfono Gama alta 8GB</v>
      </c>
    </row>
    <row r="541" ht="15.75" customHeight="1">
      <c r="A541" s="6">
        <v>45612.0</v>
      </c>
      <c r="B541" s="2" t="s">
        <v>101</v>
      </c>
      <c r="C541" s="2" t="s">
        <v>11</v>
      </c>
      <c r="D541" s="7">
        <v>347.49</v>
      </c>
      <c r="E541" s="2">
        <v>5.0</v>
      </c>
      <c r="F541" s="7">
        <v>1737.45</v>
      </c>
      <c r="G541" s="2" t="s">
        <v>1923</v>
      </c>
      <c r="H541" s="2" t="s">
        <v>1924</v>
      </c>
      <c r="I541" s="2" t="s">
        <v>1925</v>
      </c>
      <c r="K541" s="25" t="str">
        <f>IFERROR(__xludf.DUMMYFUNCTION("IF(ISBLANK(A541),
  """",
  IF(ISNUMBER(A541),
    TEXT(A541,""dd/mm/yyyy""),
    IF(
      REGEXMATCH(TRIM(A541),""^\d{1,2}/\d{1,2}/\d{4}$""),
      TRIM(A541),
      IFERROR(
        TEXT(DATEVALUE(SUBSTITUTE(SUBSTITUTE(TRIM(A541),""-"",""/""),""."",""/"&amp;""")),""dd/mm/yyyy""),
        TRIM(A541)
      )
    )
  )
)
"),"16/11/2024")</f>
        <v>16/11/2024</v>
      </c>
      <c r="L541" s="26">
        <v>45612.0</v>
      </c>
      <c r="M541" s="27" t="str">
        <f>IFERROR(__xludf.DUMMYFUNCTION("PROPER(TRIM(
  REGEXREPLACE(
    REGEXREPLACE(
      SUBSTITUTE(SUBSTITUTE(SUBSTITUTE(SUBSTITUTE(SUBSTITUTE(SUBSTITUTE(SUBSTITUTE(SUBSTITUTE(SUBSTITUTE(SUBSTITUTE(SUBSTITUTE(
        B541,""√©"",""é""),""√°"",""á""),""√±"",""ñ""),""√≥"",""ó""),""√â"",""é"&amp;"""),""√Å"",""á""),""√ç"",""í""),""√Ç"",""Í""),""√Â"",""é""),""√≠"",""í""),""√º"",""ú""),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41" s="28" t="str">
        <f>IFERROR(__xludf.DUMMYFUNCTION("SPLIT(
  TRIM(
    SUBSTITUTE(
      SUBSTITUTE(
        SUBSTITUTE(
          SUBSTITUTE(
            C541,
            ""√©"", ""é""
          ),
          ""√±"", ""ñ""
        ),
        ""√°"", ""á""
      ),
      ""√≥"", ""ó""
    )
  ),
  ""-""
)
"),"Auriculares")</f>
        <v>Auriculares</v>
      </c>
      <c r="O541" s="28" t="str">
        <f>IFERROR(__xludf.DUMMYFUNCTION("""COMPUTED_VALUE"""),"Con cable")</f>
        <v>Con cable</v>
      </c>
      <c r="P541" s="28" t="str">
        <f>IFERROR(__xludf.DUMMYFUNCTION("""COMPUTED_VALUE"""),"32GB")</f>
        <v>32GB</v>
      </c>
      <c r="Q541" s="29">
        <f t="shared" si="1"/>
        <v>347.49</v>
      </c>
      <c r="R541" s="28">
        <f t="shared" si="2"/>
        <v>5</v>
      </c>
      <c r="S541" s="29">
        <f t="shared" si="3"/>
        <v>1737.45</v>
      </c>
      <c r="T541" s="28" t="str">
        <f>IFERROR(__xludf.DUMMYFUNCTION("PROPER(TRIM(
  LET(
    texto1, REGEXREPLACE(G541,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"),"Germán Bustos")</f>
        <v>Germán Bustos</v>
      </c>
      <c r="U541" s="28" t="str">
        <f t="shared" si="4"/>
        <v>ee1c498f-9419-41b5-aad7-950f328bcf29</v>
      </c>
      <c r="V541" s="30" t="str">
        <f t="shared" si="5"/>
        <v>Auriculares Con cable 32GB</v>
      </c>
    </row>
    <row r="542" ht="15.75" customHeight="1">
      <c r="A542" s="6">
        <v>45643.0</v>
      </c>
      <c r="B542" s="2" t="s">
        <v>38</v>
      </c>
      <c r="C542" s="2" t="s">
        <v>201</v>
      </c>
      <c r="D542" s="7">
        <v>771.57</v>
      </c>
      <c r="E542" s="2">
        <v>5.0</v>
      </c>
      <c r="F542" s="7">
        <v>3857.85</v>
      </c>
      <c r="G542" s="2" t="s">
        <v>1926</v>
      </c>
      <c r="H542" s="2" t="s">
        <v>1927</v>
      </c>
      <c r="I542" s="2" t="s">
        <v>1928</v>
      </c>
      <c r="K542" s="19" t="str">
        <f>IFERROR(__xludf.DUMMYFUNCTION("IF(ISBLANK(A542),
  """",
  IF(ISNUMBER(A542),
    TEXT(A542,""dd/mm/yyyy""),
    IF(
      REGEXMATCH(TRIM(A542),""^\d{1,2}/\d{1,2}/\d{4}$""),
      TRIM(A542),
      IFERROR(
        TEXT(DATEVALUE(SUBSTITUTE(SUBSTITUTE(TRIM(A542),""-"",""/""),""."",""/"&amp;""")),""dd/mm/yyyy""),
        TRIM(A542)
      )
    )
  )
)
"),"17/12/2024")</f>
        <v>17/12/2024</v>
      </c>
      <c r="L542" s="20">
        <v>45643.0</v>
      </c>
      <c r="M542" s="21" t="str">
        <f>IFERROR(__xludf.DUMMYFUNCTION("PROPER(TRIM(
  REGEXREPLACE(
    REGEXREPLACE(
      SUBSTITUTE(SUBSTITUTE(SUBSTITUTE(SUBSTITUTE(SUBSTITUTE(SUBSTITUTE(SUBSTITUTE(SUBSTITUTE(SUBSTITUTE(SUBSTITUTE(SUBSTITUTE(
        B542,""√©"",""é""),""√°"",""á""),""√±"",""ñ""),""√≥"",""ó""),""√â"",""é"&amp;"""),""√Å"",""á""),""√ç"",""í""),""√Ç"",""Í""),""√Â"",""é""),""√≠"",""í""),""√º"",""ú""),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42" s="22" t="str">
        <f>IFERROR(__xludf.DUMMYFUNCTION("SPLIT(
  TRIM(
    SUBSTITUTE(
      SUBSTITUTE(
        SUBSTITUTE(
          SUBSTITUTE(
            C542,
            ""√©"", ""é""
          ),
          ""√±"", ""ñ""
        ),
        ""√°"", ""á""
      ),
      ""√≥"", ""ó""
    )
  ),
  ""-""
)
"),"Laptop")</f>
        <v>Laptop</v>
      </c>
      <c r="O542" s="22" t="str">
        <f>IFERROR(__xludf.DUMMYFUNCTION("""COMPUTED_VALUE"""),"Gaming")</f>
        <v>Gaming</v>
      </c>
      <c r="P542" s="22" t="str">
        <f>IFERROR(__xludf.DUMMYFUNCTION("""COMPUTED_VALUE"""),"4GB")</f>
        <v>4GB</v>
      </c>
      <c r="Q542" s="23">
        <f t="shared" si="1"/>
        <v>771.57</v>
      </c>
      <c r="R542" s="22">
        <f t="shared" si="2"/>
        <v>5</v>
      </c>
      <c r="S542" s="23">
        <f t="shared" si="3"/>
        <v>3857.85</v>
      </c>
      <c r="T542" s="22" t="str">
        <f>IFERROR(__xludf.DUMMYFUNCTION("PROPER(TRIM(
  LET(
    texto1, REGEXREPLACE(G542,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"),"Carlota Helena Cepeda")</f>
        <v>Carlota Helena Cepeda</v>
      </c>
      <c r="U542" s="22" t="str">
        <f t="shared" si="4"/>
        <v>6c36c1bb-60d5-43fc-9b1f-840f4136899c</v>
      </c>
      <c r="V542" s="24" t="str">
        <f t="shared" si="5"/>
        <v>Laptop Gaming 4GB</v>
      </c>
    </row>
    <row r="543" ht="15.75" customHeight="1">
      <c r="A543" s="6">
        <v>45612.0</v>
      </c>
      <c r="B543" s="2" t="s">
        <v>85</v>
      </c>
      <c r="C543" s="2" t="s">
        <v>55</v>
      </c>
      <c r="D543" s="7">
        <v>1346.1</v>
      </c>
      <c r="E543" s="2">
        <v>1.0</v>
      </c>
      <c r="F543" s="7">
        <v>1346.1</v>
      </c>
      <c r="G543" s="2" t="s">
        <v>1929</v>
      </c>
      <c r="H543" s="2" t="s">
        <v>1930</v>
      </c>
      <c r="I543" s="2" t="s">
        <v>1931</v>
      </c>
      <c r="K543" s="25" t="str">
        <f>IFERROR(__xludf.DUMMYFUNCTION("IF(ISBLANK(A543),
  """",
  IF(ISNUMBER(A543),
    TEXT(A543,""dd/mm/yyyy""),
    IF(
      REGEXMATCH(TRIM(A543),""^\d{1,2}/\d{1,2}/\d{4}$""),
      TRIM(A543),
      IFERROR(
        TEXT(DATEVALUE(SUBSTITUTE(SUBSTITUTE(TRIM(A543),""-"",""/""),""."",""/"&amp;""")),""dd/mm/yyyy""),
        TRIM(A543)
      )
    )
  )
)
"),"16/11/2024")</f>
        <v>16/11/2024</v>
      </c>
      <c r="L543" s="26">
        <v>45612.0</v>
      </c>
      <c r="M543" s="27" t="str">
        <f>IFERROR(__xludf.DUMMYFUNCTION("PROPER(TRIM(
  REGEXREPLACE(
    REGEXREPLACE(
      SUBSTITUTE(SUBSTITUTE(SUBSTITUTE(SUBSTITUTE(SUBSTITUTE(SUBSTITUTE(SUBSTITUTE(SUBSTITUTE(SUBSTITUTE(SUBSTITUTE(SUBSTITUTE(
        B543,""√©"",""é""),""√°"",""á""),""√±"",""ñ""),""√≥"",""ó""),""√â"",""é"&amp;"""),""√Å"",""á""),""√ç"",""í""),""√Ç"",""Í""),""√Â"",""é""),""√≠"",""í""),""√º"",""ú""),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43" s="28" t="str">
        <f>IFERROR(__xludf.DUMMYFUNCTION("SPLIT(
  TRIM(
    SUBSTITUTE(
      SUBSTITUTE(
        SUBSTITUTE(
          SUBSTITUTE(
            C543,
            ""√©"", ""é""
          ),
          ""√±"", ""ñ""
        ),
        ""√°"", ""á""
      ),
      ""√≥"", ""ó""
    )
  ),
  ""-""
)
"),"Laptop")</f>
        <v>Laptop</v>
      </c>
      <c r="O543" s="28" t="str">
        <f>IFERROR(__xludf.DUMMYFUNCTION("""COMPUTED_VALUE"""),"Ultraliviana")</f>
        <v>Ultraliviana</v>
      </c>
      <c r="P543" s="28" t="str">
        <f>IFERROR(__xludf.DUMMYFUNCTION("""COMPUTED_VALUE"""),"16GB")</f>
        <v>16GB</v>
      </c>
      <c r="Q543" s="29">
        <f t="shared" si="1"/>
        <v>1346.1</v>
      </c>
      <c r="R543" s="28">
        <f t="shared" si="2"/>
        <v>1</v>
      </c>
      <c r="S543" s="29">
        <f t="shared" si="3"/>
        <v>1346.1</v>
      </c>
      <c r="T543" s="28" t="str">
        <f>IFERROR(__xludf.DUMMYFUNCTION("PROPER(TRIM(
  LET(
    texto1, REGEXREPLACE(G543,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"),"Darío Antonia Medrano")</f>
        <v>Darío Antonia Medrano</v>
      </c>
      <c r="U543" s="28" t="str">
        <f t="shared" si="4"/>
        <v>1721608b-9124-49ea-8ec0-ea350388ca09</v>
      </c>
      <c r="V543" s="30" t="str">
        <f t="shared" si="5"/>
        <v>Laptop Ultraliviana 16GB</v>
      </c>
    </row>
    <row r="544" ht="15.75" customHeight="1">
      <c r="A544" s="36">
        <v>45485.0</v>
      </c>
      <c r="B544" s="2" t="s">
        <v>16</v>
      </c>
      <c r="C544" s="2" t="s">
        <v>698</v>
      </c>
      <c r="D544" s="7">
        <v>1806.45</v>
      </c>
      <c r="E544" s="2">
        <v>4.0</v>
      </c>
      <c r="F544" s="7">
        <v>7225.8</v>
      </c>
      <c r="G544" s="2" t="s">
        <v>1932</v>
      </c>
      <c r="H544" s="2" t="s">
        <v>1933</v>
      </c>
      <c r="I544" s="2" t="s">
        <v>1934</v>
      </c>
      <c r="K544" s="19" t="str">
        <f>IFERROR(__xludf.DUMMYFUNCTION("IF(ISBLANK(A544),
  """",
  IF(ISNUMBER(A544),
    TEXT(A544,""dd/mm/yyyy""),
    IF(
      REGEXMATCH(TRIM(A544),""^\d{1,2}/\d{1,2}/\d{4}$""),
      TRIM(A544),
      IFERROR(
        TEXT(DATEVALUE(SUBSTITUTE(SUBSTITUTE(TRIM(A544),""-"",""/""),""."",""/"&amp;""")),""dd/mm/yyyy""),
        TRIM(A544)
      )
    )
  )
)
"),"12/07/2024")</f>
        <v>12/07/2024</v>
      </c>
      <c r="L544" s="20">
        <v>45485.0</v>
      </c>
      <c r="M544" s="21" t="str">
        <f>IFERROR(__xludf.DUMMYFUNCTION("PROPER(TRIM(
  REGEXREPLACE(
    REGEXREPLACE(
      SUBSTITUTE(SUBSTITUTE(SUBSTITUTE(SUBSTITUTE(SUBSTITUTE(SUBSTITUTE(SUBSTITUTE(SUBSTITUTE(SUBSTITUTE(SUBSTITUTE(SUBSTITUTE(
        B544,""√©"",""é""),""√°"",""á""),""√±"",""ñ""),""√≥"",""ó""),""√â"",""é"&amp;"""),""√Å"",""á""),""√ç"",""í""),""√Ç"",""Í""),""√Â"",""é""),""√≠"",""í""),""√º"",""ú""),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44" s="22" t="str">
        <f>IFERROR(__xludf.DUMMYFUNCTION("SPLIT(
  TRIM(
    SUBSTITUTE(
      SUBSTITUTE(
        SUBSTITUTE(
          SUBSTITUTE(
            C544,
            ""√©"", ""é""
          ),
          ""√±"", ""ñ""
        ),
        ""√°"", ""á""
      ),
      ""√≥"", ""ó""
    )
  ),
  ""-""
)
"),"Laptop")</f>
        <v>Laptop</v>
      </c>
      <c r="O544" s="22" t="str">
        <f>IFERROR(__xludf.DUMMYFUNCTION("""COMPUTED_VALUE"""),"Ultraliviana")</f>
        <v>Ultraliviana</v>
      </c>
      <c r="P544" s="22" t="str">
        <f>IFERROR(__xludf.DUMMYFUNCTION("""COMPUTED_VALUE"""),"8GB")</f>
        <v>8GB</v>
      </c>
      <c r="Q544" s="23">
        <f t="shared" si="1"/>
        <v>1806.45</v>
      </c>
      <c r="R544" s="22">
        <f t="shared" si="2"/>
        <v>4</v>
      </c>
      <c r="S544" s="23">
        <f t="shared" si="3"/>
        <v>7225.8</v>
      </c>
      <c r="T544" s="22" t="str">
        <f>IFERROR(__xludf.DUMMYFUNCTION("PROPER(TRIM(
  LET(
    texto1, REGEXREPLACE(G544,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"),"Ignacio Genaro Varela")</f>
        <v>Ignacio Genaro Varela</v>
      </c>
      <c r="U544" s="22" t="str">
        <f t="shared" si="4"/>
        <v>ffe80953-b756-448f-ad50-9fbbf034b1a3</v>
      </c>
      <c r="V544" s="24" t="str">
        <f t="shared" si="5"/>
        <v>Laptop Ultraliviana 8GB</v>
      </c>
    </row>
    <row r="545" ht="15.75" customHeight="1">
      <c r="A545" s="6">
        <v>45594.0</v>
      </c>
      <c r="B545" s="2" t="s">
        <v>85</v>
      </c>
      <c r="C545" s="2" t="s">
        <v>172</v>
      </c>
      <c r="D545" s="7">
        <v>2248.35</v>
      </c>
      <c r="E545" s="2">
        <v>5.0</v>
      </c>
      <c r="F545" s="7">
        <v>11241.75</v>
      </c>
      <c r="G545" s="2" t="s">
        <v>1935</v>
      </c>
      <c r="H545" s="2" t="s">
        <v>1936</v>
      </c>
      <c r="I545" s="2" t="s">
        <v>1937</v>
      </c>
      <c r="K545" s="25" t="str">
        <f>IFERROR(__xludf.DUMMYFUNCTION("IF(ISBLANK(A545),
  """",
  IF(ISNUMBER(A545),
    TEXT(A545,""dd/mm/yyyy""),
    IF(
      REGEXMATCH(TRIM(A545),""^\d{1,2}/\d{1,2}/\d{4}$""),
      TRIM(A545),
      IFERROR(
        TEXT(DATEVALUE(SUBSTITUTE(SUBSTITUTE(TRIM(A545),""-"",""/""),""."",""/"&amp;""")),""dd/mm/yyyy""),
        TRIM(A545)
      )
    )
  )
)
"),"29/10/2024")</f>
        <v>29/10/2024</v>
      </c>
      <c r="L545" s="26">
        <v>45594.0</v>
      </c>
      <c r="M545" s="27" t="str">
        <f>IFERROR(__xludf.DUMMYFUNCTION("PROPER(TRIM(
  REGEXREPLACE(
    REGEXREPLACE(
      SUBSTITUTE(SUBSTITUTE(SUBSTITUTE(SUBSTITUTE(SUBSTITUTE(SUBSTITUTE(SUBSTITUTE(SUBSTITUTE(SUBSTITUTE(SUBSTITUTE(SUBSTITUTE(
        B545,""√©"",""é""),""√°"",""á""),""√±"",""ñ""),""√≥"",""ó""),""√â"",""é"&amp;"""),""√Å"",""á""),""√ç"",""í""),""√Ç"",""Í""),""√Â"",""é""),""√≠"",""í""),""√º"",""ú""),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45" s="28" t="str">
        <f>IFERROR(__xludf.DUMMYFUNCTION("SPLIT(
  TRIM(
    SUBSTITUTE(
      SUBSTITUTE(
        SUBSTITUTE(
          SUBSTITUTE(
            C545,
            ""√©"", ""é""
          ),
          ""√±"", ""ñ""
        ),
        ""√°"", ""á""
      ),
      ""√≥"", ""ó""
    )
  ),
  ""-""
)
"),"Laptop")</f>
        <v>Laptop</v>
      </c>
      <c r="O545" s="28" t="str">
        <f>IFERROR(__xludf.DUMMYFUNCTION("""COMPUTED_VALUE"""),"Oficina")</f>
        <v>Oficina</v>
      </c>
      <c r="P545" s="28" t="str">
        <f>IFERROR(__xludf.DUMMYFUNCTION("""COMPUTED_VALUE"""),"8GB")</f>
        <v>8GB</v>
      </c>
      <c r="Q545" s="29">
        <f t="shared" si="1"/>
        <v>2248.35</v>
      </c>
      <c r="R545" s="28">
        <f t="shared" si="2"/>
        <v>5</v>
      </c>
      <c r="S545" s="29">
        <f t="shared" si="3"/>
        <v>11241.75</v>
      </c>
      <c r="T545" s="28" t="str">
        <f>IFERROR(__xludf.DUMMYFUNCTION("PROPER(TRIM(
  LET(
    texto1, REGEXREPLACE(G545,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"),"Juan Ortega")</f>
        <v>Juan Ortega</v>
      </c>
      <c r="U545" s="28" t="str">
        <f t="shared" si="4"/>
        <v>03d30ca8-82a1-4711-a969-6585129ef1c6</v>
      </c>
      <c r="V545" s="30" t="str">
        <f t="shared" si="5"/>
        <v>Laptop Oficina 8GB</v>
      </c>
    </row>
    <row r="546" ht="15.75" customHeight="1">
      <c r="A546" s="6">
        <v>45641.0</v>
      </c>
      <c r="B546" s="2" t="s">
        <v>85</v>
      </c>
      <c r="C546" s="2" t="s">
        <v>698</v>
      </c>
      <c r="D546" s="7">
        <v>817.31</v>
      </c>
      <c r="E546" s="2">
        <v>2.0</v>
      </c>
      <c r="F546" s="7">
        <v>1634.62</v>
      </c>
      <c r="G546" s="2" t="s">
        <v>1938</v>
      </c>
      <c r="H546" s="2" t="s">
        <v>1939</v>
      </c>
      <c r="I546" s="2" t="s">
        <v>1940</v>
      </c>
      <c r="K546" s="19" t="str">
        <f>IFERROR(__xludf.DUMMYFUNCTION("IF(ISBLANK(A546),
  """",
  IF(ISNUMBER(A546),
    TEXT(A546,""dd/mm/yyyy""),
    IF(
      REGEXMATCH(TRIM(A546),""^\d{1,2}/\d{1,2}/\d{4}$""),
      TRIM(A546),
      IFERROR(
        TEXT(DATEVALUE(SUBSTITUTE(SUBSTITUTE(TRIM(A546),""-"",""/""),""."",""/"&amp;""")),""dd/mm/yyyy""),
        TRIM(A546)
      )
    )
  )
)
"),"15/12/2024")</f>
        <v>15/12/2024</v>
      </c>
      <c r="L546" s="20">
        <v>45641.0</v>
      </c>
      <c r="M546" s="21" t="str">
        <f>IFERROR(__xludf.DUMMYFUNCTION("PROPER(TRIM(
  REGEXREPLACE(
    REGEXREPLACE(
      SUBSTITUTE(SUBSTITUTE(SUBSTITUTE(SUBSTITUTE(SUBSTITUTE(SUBSTITUTE(SUBSTITUTE(SUBSTITUTE(SUBSTITUTE(SUBSTITUTE(SUBSTITUTE(
        B546,""√©"",""é""),""√°"",""á""),""√±"",""ñ""),""√≥"",""ó""),""√â"",""é"&amp;"""),""√Å"",""á""),""√ç"",""í""),""√Ç"",""Í""),""√Â"",""é""),""√≠"",""í""),""√º"",""ú""),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46" s="22" t="str">
        <f>IFERROR(__xludf.DUMMYFUNCTION("SPLIT(
  TRIM(
    SUBSTITUTE(
      SUBSTITUTE(
        SUBSTITUTE(
          SUBSTITUTE(
            C546,
            ""√©"", ""é""
          ),
          ""√±"", ""ñ""
        ),
        ""√°"", ""á""
      ),
      ""√≥"", ""ó""
    )
  ),
  ""-""
)
"),"Laptop")</f>
        <v>Laptop</v>
      </c>
      <c r="O546" s="22" t="str">
        <f>IFERROR(__xludf.DUMMYFUNCTION("""COMPUTED_VALUE"""),"Ultraliviana")</f>
        <v>Ultraliviana</v>
      </c>
      <c r="P546" s="22" t="str">
        <f>IFERROR(__xludf.DUMMYFUNCTION("""COMPUTED_VALUE"""),"8GB")</f>
        <v>8GB</v>
      </c>
      <c r="Q546" s="23">
        <f t="shared" si="1"/>
        <v>817.31</v>
      </c>
      <c r="R546" s="22">
        <f t="shared" si="2"/>
        <v>2</v>
      </c>
      <c r="S546" s="23">
        <f t="shared" si="3"/>
        <v>1634.62</v>
      </c>
      <c r="T546" s="22" t="str">
        <f>IFERROR(__xludf.DUMMYFUNCTION("PROPER(TRIM(
  LET(
    texto1, REGEXREPLACE(G546,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"),"Claudia Suárez Galván")</f>
        <v>Claudia Suárez Galván</v>
      </c>
      <c r="U546" s="22" t="str">
        <f t="shared" si="4"/>
        <v>008ee7b3-7786-4b09-b979-9ae857581c91</v>
      </c>
      <c r="V546" s="24" t="str">
        <f t="shared" si="5"/>
        <v>Laptop Ultraliviana 8GB</v>
      </c>
    </row>
    <row r="547" ht="15.75" customHeight="1">
      <c r="A547" s="6">
        <v>45593.0</v>
      </c>
      <c r="B547" s="2" t="s">
        <v>50</v>
      </c>
      <c r="C547" s="2" t="s">
        <v>250</v>
      </c>
      <c r="D547" s="7">
        <v>2484.65</v>
      </c>
      <c r="E547" s="2">
        <v>2.0</v>
      </c>
      <c r="F547" s="7">
        <v>4969.3</v>
      </c>
      <c r="G547" s="2" t="s">
        <v>1941</v>
      </c>
      <c r="H547" s="2" t="s">
        <v>1942</v>
      </c>
      <c r="I547" s="2" t="s">
        <v>1943</v>
      </c>
      <c r="K547" s="25" t="str">
        <f>IFERROR(__xludf.DUMMYFUNCTION("IF(ISBLANK(A547),
  """",
  IF(ISNUMBER(A547),
    TEXT(A547,""dd/mm/yyyy""),
    IF(
      REGEXMATCH(TRIM(A547),""^\d{1,2}/\d{1,2}/\d{4}$""),
      TRIM(A547),
      IFERROR(
        TEXT(DATEVALUE(SUBSTITUTE(SUBSTITUTE(TRIM(A547),""-"",""/""),""."",""/"&amp;""")),""dd/mm/yyyy""),
        TRIM(A547)
      )
    )
  )
)
"),"28/10/2024")</f>
        <v>28/10/2024</v>
      </c>
      <c r="L547" s="26">
        <v>45593.0</v>
      </c>
      <c r="M547" s="27" t="str">
        <f>IFERROR(__xludf.DUMMYFUNCTION("PROPER(TRIM(
  REGEXREPLACE(
    REGEXREPLACE(
      SUBSTITUTE(SUBSTITUTE(SUBSTITUTE(SUBSTITUTE(SUBSTITUTE(SUBSTITUTE(SUBSTITUTE(SUBSTITUTE(SUBSTITUTE(SUBSTITUTE(SUBSTITUTE(
        B547,""√©"",""é""),""√°"",""á""),""√±"",""ñ""),""√≥"",""ó""),""√â"",""é"&amp;"""),""√Å"",""á""),""√ç"",""í""),""√Ç"",""Í""),""√Â"",""é""),""√≠"",""í""),""√º"",""ú""),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47" s="28" t="str">
        <f>IFERROR(__xludf.DUMMYFUNCTION("SPLIT(
  TRIM(
    SUBSTITUTE(
      SUBSTITUTE(
        SUBSTITUTE(
          SUBSTITUTE(
            C547,
            ""√©"", ""é""
          ),
          ""√±"", ""ñ""
        ),
        ""√°"", ""á""
      ),
      ""√≥"", ""ó""
    )
  ),
  ""-""
)
"),"Laptop")</f>
        <v>Laptop</v>
      </c>
      <c r="O547" s="28" t="str">
        <f>IFERROR(__xludf.DUMMYFUNCTION("""COMPUTED_VALUE"""),"Oficina")</f>
        <v>Oficina</v>
      </c>
      <c r="P547" s="28" t="str">
        <f>IFERROR(__xludf.DUMMYFUNCTION("""COMPUTED_VALUE"""),"32GB")</f>
        <v>32GB</v>
      </c>
      <c r="Q547" s="29">
        <f t="shared" si="1"/>
        <v>2484.65</v>
      </c>
      <c r="R547" s="28">
        <f t="shared" si="2"/>
        <v>2</v>
      </c>
      <c r="S547" s="29">
        <f t="shared" si="3"/>
        <v>4969.3</v>
      </c>
      <c r="T547" s="28" t="str">
        <f>IFERROR(__xludf.DUMMYFUNCTION("PROPER(TRIM(
  LET(
    texto1, REGEXREPLACE(G547,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"),"Manuel Iván Alarcón Noriega")</f>
        <v>Manuel Iván Alarcón Noriega</v>
      </c>
      <c r="U547" s="28" t="str">
        <f t="shared" si="4"/>
        <v>d513a436-d4fe-4ff3-8ec9-e92a32ed8cc7</v>
      </c>
      <c r="V547" s="30" t="str">
        <f t="shared" si="5"/>
        <v>Laptop Oficina 32GB</v>
      </c>
    </row>
    <row r="548" ht="15.75" customHeight="1">
      <c r="A548" s="6">
        <v>45641.0</v>
      </c>
      <c r="B548" s="2" t="s">
        <v>16</v>
      </c>
      <c r="C548" s="2" t="s">
        <v>1015</v>
      </c>
      <c r="D548" s="7">
        <v>101.1</v>
      </c>
      <c r="E548" s="2">
        <v>3.0</v>
      </c>
      <c r="F548" s="7">
        <v>303.3</v>
      </c>
      <c r="G548" s="2" t="s">
        <v>1944</v>
      </c>
      <c r="H548" s="2" t="s">
        <v>1945</v>
      </c>
      <c r="I548" s="2" t="s">
        <v>1946</v>
      </c>
      <c r="K548" s="19" t="str">
        <f>IFERROR(__xludf.DUMMYFUNCTION("IF(ISBLANK(A548),
  """",
  IF(ISNUMBER(A548),
    TEXT(A548,""dd/mm/yyyy""),
    IF(
      REGEXMATCH(TRIM(A548),""^\d{1,2}/\d{1,2}/\d{4}$""),
      TRIM(A548),
      IFERROR(
        TEXT(DATEVALUE(SUBSTITUTE(SUBSTITUTE(TRIM(A548),""-"",""/""),""."",""/"&amp;""")),""dd/mm/yyyy""),
        TRIM(A548)
      )
    )
  )
)
"),"15/12/2024")</f>
        <v>15/12/2024</v>
      </c>
      <c r="L548" s="20">
        <v>45641.0</v>
      </c>
      <c r="M548" s="21" t="str">
        <f>IFERROR(__xludf.DUMMYFUNCTION("PROPER(TRIM(
  REGEXREPLACE(
    REGEXREPLACE(
      SUBSTITUTE(SUBSTITUTE(SUBSTITUTE(SUBSTITUTE(SUBSTITUTE(SUBSTITUTE(SUBSTITUTE(SUBSTITUTE(SUBSTITUTE(SUBSTITUTE(SUBSTITUTE(
        B548,""√©"",""é""),""√°"",""á""),""√±"",""ñ""),""√≥"",""ó""),""√â"",""é"&amp;"""),""√Å"",""á""),""√ç"",""í""),""√Ç"",""Í""),""√Â"",""é""),""√≠"",""í""),""√º"",""ú""),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48" s="22" t="str">
        <f>IFERROR(__xludf.DUMMYFUNCTION("SPLIT(
  TRIM(
    SUBSTITUTE(
      SUBSTITUTE(
        SUBSTITUTE(
          SUBSTITUTE(
            C548,
            ""√©"", ""é""
          ),
          ""√±"", ""ñ""
        ),
        ""√°"", ""á""
      ),
      ""√≥"", ""ó""
    )
  ),
  ""-""
)
"),"Auriculares")</f>
        <v>Auriculares</v>
      </c>
      <c r="O548" s="22" t="str">
        <f>IFERROR(__xludf.DUMMYFUNCTION("""COMPUTED_VALUE"""),"Bluetooth")</f>
        <v>Bluetooth</v>
      </c>
      <c r="P548" s="22" t="str">
        <f>IFERROR(__xludf.DUMMYFUNCTION("""COMPUTED_VALUE"""),"32GB")</f>
        <v>32GB</v>
      </c>
      <c r="Q548" s="23">
        <f t="shared" si="1"/>
        <v>101.1</v>
      </c>
      <c r="R548" s="22">
        <f t="shared" si="2"/>
        <v>3</v>
      </c>
      <c r="S548" s="23">
        <f t="shared" si="3"/>
        <v>303.3</v>
      </c>
      <c r="T548" s="22" t="str">
        <f>IFERROR(__xludf.DUMMYFUNCTION("PROPER(TRIM(
  LET(
    texto1, REGEXREPLACE(G548,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"),"Pascual Treviño")</f>
        <v>Pascual Treviño</v>
      </c>
      <c r="U548" s="22" t="str">
        <f t="shared" si="4"/>
        <v>1de0d9e2-fea5-4f41-858a-b4d39e7e4657</v>
      </c>
      <c r="V548" s="24" t="str">
        <f t="shared" si="5"/>
        <v>Auriculares Bluetooth 32GB</v>
      </c>
    </row>
    <row r="549" ht="15.75" customHeight="1">
      <c r="A549" s="36">
        <v>45303.0</v>
      </c>
      <c r="B549" s="2" t="s">
        <v>16</v>
      </c>
      <c r="C549" s="2" t="s">
        <v>397</v>
      </c>
      <c r="D549" s="7">
        <v>1311.78</v>
      </c>
      <c r="E549" s="2">
        <v>5.0</v>
      </c>
      <c r="F549" s="7">
        <v>6558.9</v>
      </c>
      <c r="G549" s="2" t="s">
        <v>1947</v>
      </c>
      <c r="H549" s="2" t="s">
        <v>1948</v>
      </c>
      <c r="I549" s="2" t="s">
        <v>1949</v>
      </c>
      <c r="K549" s="25" t="str">
        <f>IFERROR(__xludf.DUMMYFUNCTION("IF(ISBLANK(A549),
  """",
  IF(ISNUMBER(A549),
    TEXT(A549,""dd/mm/yyyy""),
    IF(
      REGEXMATCH(TRIM(A549),""^\d{1,2}/\d{1,2}/\d{4}$""),
      TRIM(A549),
      IFERROR(
        TEXT(DATEVALUE(SUBSTITUTE(SUBSTITUTE(TRIM(A549),""-"",""/""),""."",""/"&amp;""")),""dd/mm/yyyy""),
        TRIM(A549)
      )
    )
  )
)
"),"12/01/2024")</f>
        <v>12/01/2024</v>
      </c>
      <c r="L549" s="26">
        <v>45303.0</v>
      </c>
      <c r="M549" s="27" t="str">
        <f>IFERROR(__xludf.DUMMYFUNCTION("PROPER(TRIM(
  REGEXREPLACE(
    REGEXREPLACE(
      SUBSTITUTE(SUBSTITUTE(SUBSTITUTE(SUBSTITUTE(SUBSTITUTE(SUBSTITUTE(SUBSTITUTE(SUBSTITUTE(SUBSTITUTE(SUBSTITUTE(SUBSTITUTE(
        B549,""√©"",""é""),""√°"",""á""),""√±"",""ñ""),""√≥"",""ó""),""√â"",""é"&amp;"""),""√Å"",""á""),""√ç"",""í""),""√Ç"",""Í""),""√Â"",""é""),""√≠"",""í""),""√º"",""ú""),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49" s="28" t="str">
        <f>IFERROR(__xludf.DUMMYFUNCTION("SPLIT(
  TRIM(
    SUBSTITUTE(
      SUBSTITUTE(
        SUBSTITUTE(
          SUBSTITUTE(
            C549,
            ""√©"", ""é""
          ),
          ""√±"", ""ñ""
        ),
        ""√°"", ""á""
      ),
      ""√≥"", ""ó""
    )
  ),
  ""-""
)
"),"Teléfono")</f>
        <v>Teléfono</v>
      </c>
      <c r="O549" s="28" t="str">
        <f>IFERROR(__xludf.DUMMYFUNCTION("""COMPUTED_VALUE"""),"Gama media")</f>
        <v>Gama media</v>
      </c>
      <c r="P549" s="28" t="str">
        <f>IFERROR(__xludf.DUMMYFUNCTION("""COMPUTED_VALUE"""),"32GB")</f>
        <v>32GB</v>
      </c>
      <c r="Q549" s="29">
        <f t="shared" si="1"/>
        <v>1311.78</v>
      </c>
      <c r="R549" s="28">
        <f t="shared" si="2"/>
        <v>5</v>
      </c>
      <c r="S549" s="29">
        <f t="shared" si="3"/>
        <v>6558.9</v>
      </c>
      <c r="T549" s="28" t="str">
        <f>IFERROR(__xludf.DUMMYFUNCTION("PROPER(TRIM(
  LET(
    texto1, REGEXREPLACE(G549,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"),"Jaqueline Juan Osorio")</f>
        <v>Jaqueline Juan Osorio</v>
      </c>
      <c r="U549" s="28" t="str">
        <f t="shared" si="4"/>
        <v>07ad1313-5817-452d-ae83-9deb77f566ff</v>
      </c>
      <c r="V549" s="30" t="str">
        <f t="shared" si="5"/>
        <v>Teléfono Gama media 32GB</v>
      </c>
    </row>
    <row r="550" ht="15.75" customHeight="1">
      <c r="A550" s="6">
        <v>45582.0</v>
      </c>
      <c r="B550" s="2" t="s">
        <v>16</v>
      </c>
      <c r="C550" s="2" t="s">
        <v>807</v>
      </c>
      <c r="D550" s="7">
        <v>271.81</v>
      </c>
      <c r="E550" s="2">
        <v>2.0</v>
      </c>
      <c r="F550" s="32"/>
      <c r="G550" s="2" t="s">
        <v>1950</v>
      </c>
      <c r="H550" s="2" t="s">
        <v>1951</v>
      </c>
      <c r="I550" s="2" t="s">
        <v>1952</v>
      </c>
      <c r="K550" s="19" t="str">
        <f>IFERROR(__xludf.DUMMYFUNCTION("IF(ISBLANK(A550),
  """",
  IF(ISNUMBER(A550),
    TEXT(A550,""dd/mm/yyyy""),
    IF(
      REGEXMATCH(TRIM(A550),""^\d{1,2}/\d{1,2}/\d{4}$""),
      TRIM(A550),
      IFERROR(
        TEXT(DATEVALUE(SUBSTITUTE(SUBSTITUTE(TRIM(A550),""-"",""/""),""."",""/"&amp;""")),""dd/mm/yyyy""),
        TRIM(A550)
      )
    )
  )
)
"),"17/10/2024")</f>
        <v>17/10/2024</v>
      </c>
      <c r="L550" s="20">
        <v>45582.0</v>
      </c>
      <c r="M550" s="21" t="str">
        <f>IFERROR(__xludf.DUMMYFUNCTION("PROPER(TRIM(
  REGEXREPLACE(
    REGEXREPLACE(
      SUBSTITUTE(SUBSTITUTE(SUBSTITUTE(SUBSTITUTE(SUBSTITUTE(SUBSTITUTE(SUBSTITUTE(SUBSTITUTE(SUBSTITUTE(SUBSTITUTE(SUBSTITUTE(
        B550,""√©"",""é""),""√°"",""á""),""√±"",""ñ""),""√≥"",""ó""),""√â"",""é"&amp;"""),""√Å"",""á""),""√ç"",""í""),""√Ç"",""Í""),""√Â"",""é""),""√≠"",""í""),""√º"",""ú""),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50" s="22" t="str">
        <f>IFERROR(__xludf.DUMMYFUNCTION("SPLIT(
  TRIM(
    SUBSTITUTE(
      SUBSTITUTE(
        SUBSTITUTE(
          SUBSTITUTE(
            C550,
            ""√©"", ""é""
          ),
          ""√±"", ""ñ""
        ),
        ""√°"", ""á""
      ),
      ""√≥"", ""ó""
    )
  ),
  ""-""
)
"),"Auriculares")</f>
        <v>Auriculares</v>
      </c>
      <c r="O550" s="22" t="str">
        <f>IFERROR(__xludf.DUMMYFUNCTION("""COMPUTED_VALUE"""),"Con cable")</f>
        <v>Con cable</v>
      </c>
      <c r="P550" s="22" t="str">
        <f>IFERROR(__xludf.DUMMYFUNCTION("""COMPUTED_VALUE"""),"4GB")</f>
        <v>4GB</v>
      </c>
      <c r="Q550" s="23">
        <f t="shared" si="1"/>
        <v>271.81</v>
      </c>
      <c r="R550" s="22">
        <f t="shared" si="2"/>
        <v>2</v>
      </c>
      <c r="S550" s="23" t="str">
        <f t="shared" si="3"/>
        <v>0</v>
      </c>
      <c r="T550" s="22" t="str">
        <f>IFERROR(__xludf.DUMMYFUNCTION("PROPER(TRIM(
  LET(
    texto1, REGEXREPLACE(G550,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"),"Mauricio Pamela Villegas")</f>
        <v>Mauricio Pamela Villegas</v>
      </c>
      <c r="U550" s="22" t="str">
        <f t="shared" si="4"/>
        <v>041c1c21-48c4-49bf-8301-a26b4b366c97</v>
      </c>
      <c r="V550" s="24" t="str">
        <f t="shared" si="5"/>
        <v>Auriculares Con cable 4GB</v>
      </c>
    </row>
    <row r="551" ht="15.75" customHeight="1">
      <c r="A551" s="6">
        <v>45593.0</v>
      </c>
      <c r="B551" s="2" t="s">
        <v>27</v>
      </c>
      <c r="C551" s="2" t="s">
        <v>593</v>
      </c>
      <c r="D551" s="7">
        <v>371.09</v>
      </c>
      <c r="E551" s="2">
        <v>4.0</v>
      </c>
      <c r="F551" s="7">
        <v>1484.36</v>
      </c>
      <c r="G551" s="2" t="s">
        <v>1953</v>
      </c>
      <c r="H551" s="2" t="s">
        <v>1954</v>
      </c>
      <c r="I551" s="2" t="s">
        <v>1955</v>
      </c>
      <c r="K551" s="25" t="str">
        <f>IFERROR(__xludf.DUMMYFUNCTION("IF(ISBLANK(A551),
  """",
  IF(ISNUMBER(A551),
    TEXT(A551,""dd/mm/yyyy""),
    IF(
      REGEXMATCH(TRIM(A551),""^\d{1,2}/\d{1,2}/\d{4}$""),
      TRIM(A551),
      IFERROR(
        TEXT(DATEVALUE(SUBSTITUTE(SUBSTITUTE(TRIM(A551),""-"",""/""),""."",""/"&amp;""")),""dd/mm/yyyy""),
        TRIM(A551)
      )
    )
  )
)
"),"28/10/2024")</f>
        <v>28/10/2024</v>
      </c>
      <c r="L551" s="26">
        <v>45593.0</v>
      </c>
      <c r="M551" s="27" t="str">
        <f>IFERROR(__xludf.DUMMYFUNCTION("PROPER(TRIM(
  REGEXREPLACE(
    REGEXREPLACE(
      SUBSTITUTE(SUBSTITUTE(SUBSTITUTE(SUBSTITUTE(SUBSTITUTE(SUBSTITUTE(SUBSTITUTE(SUBSTITUTE(SUBSTITUTE(SUBSTITUTE(SUBSTITUTE(
        B551,""√©"",""é""),""√°"",""á""),""√±"",""ñ""),""√≥"",""ó""),""√â"",""é"&amp;"""),""√Å"",""á""),""√ç"",""í""),""√Ç"",""Í""),""√Â"",""é""),""√≠"",""í""),""√º"",""ú""),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51" s="28" t="str">
        <f>IFERROR(__xludf.DUMMYFUNCTION("SPLIT(
  TRIM(
    SUBSTITUTE(
      SUBSTITUTE(
        SUBSTITUTE(
          SUBSTITUTE(
            C551,
            ""√©"", ""é""
          ),
          ""√±"", ""ñ""
        ),
        ""√°"", ""á""
      ),
      ""√≥"", ""ó""
    )
  ),
  ""-""
)
"),"Laptop")</f>
        <v>Laptop</v>
      </c>
      <c r="O551" s="28" t="str">
        <f>IFERROR(__xludf.DUMMYFUNCTION("""COMPUTED_VALUE"""),"Gaming")</f>
        <v>Gaming</v>
      </c>
      <c r="P551" s="28" t="str">
        <f>IFERROR(__xludf.DUMMYFUNCTION("""COMPUTED_VALUE"""),"16GB")</f>
        <v>16GB</v>
      </c>
      <c r="Q551" s="29">
        <f t="shared" si="1"/>
        <v>371.09</v>
      </c>
      <c r="R551" s="28">
        <f t="shared" si="2"/>
        <v>4</v>
      </c>
      <c r="S551" s="29">
        <f t="shared" si="3"/>
        <v>1484.36</v>
      </c>
      <c r="T551" s="28" t="str">
        <f>IFERROR(__xludf.DUMMYFUNCTION("PROPER(TRIM(
  LET(
    texto1, REGEXREPLACE(G551,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"),"Agustín Rocha")</f>
        <v>Agustín Rocha</v>
      </c>
      <c r="U551" s="28" t="str">
        <f t="shared" si="4"/>
        <v>bd82514d-6aed-4ca8-885d-60312b6b736b</v>
      </c>
      <c r="V551" s="30" t="str">
        <f t="shared" si="5"/>
        <v>Laptop Gaming 16GB</v>
      </c>
    </row>
    <row r="552" ht="15.75" customHeight="1">
      <c r="A552" s="6">
        <v>45580.0</v>
      </c>
      <c r="B552" s="2" t="s">
        <v>101</v>
      </c>
      <c r="C552" s="2" t="s">
        <v>369</v>
      </c>
      <c r="D552" s="7">
        <v>1414.97</v>
      </c>
      <c r="E552" s="2">
        <v>1.0</v>
      </c>
      <c r="F552" s="7">
        <v>1414.97</v>
      </c>
      <c r="G552" s="2" t="s">
        <v>1956</v>
      </c>
      <c r="H552" s="2" t="s">
        <v>1957</v>
      </c>
      <c r="I552" s="2" t="s">
        <v>1958</v>
      </c>
      <c r="K552" s="19" t="str">
        <f>IFERROR(__xludf.DUMMYFUNCTION("IF(ISBLANK(A552),
  """",
  IF(ISNUMBER(A552),
    TEXT(A552,""dd/mm/yyyy""),
    IF(
      REGEXMATCH(TRIM(A552),""^\d{1,2}/\d{1,2}/\d{4}$""),
      TRIM(A552),
      IFERROR(
        TEXT(DATEVALUE(SUBSTITUTE(SUBSTITUTE(TRIM(A552),""-"",""/""),""."",""/"&amp;""")),""dd/mm/yyyy""),
        TRIM(A552)
      )
    )
  )
)
"),"15/10/2024")</f>
        <v>15/10/2024</v>
      </c>
      <c r="L552" s="20">
        <v>45580.0</v>
      </c>
      <c r="M552" s="21" t="str">
        <f>IFERROR(__xludf.DUMMYFUNCTION("PROPER(TRIM(
  REGEXREPLACE(
    REGEXREPLACE(
      SUBSTITUTE(SUBSTITUTE(SUBSTITUTE(SUBSTITUTE(SUBSTITUTE(SUBSTITUTE(SUBSTITUTE(SUBSTITUTE(SUBSTITUTE(SUBSTITUTE(SUBSTITUTE(
        B552,""√©"",""é""),""√°"",""á""),""√±"",""ñ""),""√≥"",""ó""),""√â"",""é"&amp;"""),""√Å"",""á""),""√ç"",""í""),""√Ç"",""Í""),""√Â"",""é""),""√≠"",""í""),""√º"",""ú""),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52" s="22" t="str">
        <f>IFERROR(__xludf.DUMMYFUNCTION("SPLIT(
  TRIM(
    SUBSTITUTE(
      SUBSTITUTE(
        SUBSTITUTE(
          SUBSTITUTE(
            C552,
            ""√©"", ""é""
          ),
          ""√±"", ""ñ""
        ),
        ""√°"", ""á""
      ),
      ""√≥"", ""ó""
    )
  ),
  ""-""
)
"),"Tablet")</f>
        <v>Tablet</v>
      </c>
      <c r="O552" s="22" t="str">
        <f>IFERROR(__xludf.DUMMYFUNCTION("""COMPUTED_VALUE"""),"Pro")</f>
        <v>Pro</v>
      </c>
      <c r="P552" s="22" t="str">
        <f>IFERROR(__xludf.DUMMYFUNCTION("""COMPUTED_VALUE"""),"16GB")</f>
        <v>16GB</v>
      </c>
      <c r="Q552" s="23">
        <f t="shared" si="1"/>
        <v>1414.97</v>
      </c>
      <c r="R552" s="22">
        <f t="shared" si="2"/>
        <v>1</v>
      </c>
      <c r="S552" s="23">
        <f t="shared" si="3"/>
        <v>1414.97</v>
      </c>
      <c r="T552" s="22" t="str">
        <f>IFERROR(__xludf.DUMMYFUNCTION("PROPER(TRIM(
  LET(
    texto1, REGEXREPLACE(G552,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"),"Fernando Almanza Durán")</f>
        <v>Fernando Almanza Durán</v>
      </c>
      <c r="U552" s="22" t="str">
        <f t="shared" si="4"/>
        <v>b033c422-b86e-4729-a448-c047ea02bb69</v>
      </c>
      <c r="V552" s="24" t="str">
        <f t="shared" si="5"/>
        <v>Tablet Pro 16GB</v>
      </c>
    </row>
    <row r="553" ht="15.75" customHeight="1">
      <c r="A553" s="6">
        <v>45590.0</v>
      </c>
      <c r="B553" s="2" t="s">
        <v>27</v>
      </c>
      <c r="C553" s="2" t="s">
        <v>369</v>
      </c>
      <c r="D553" s="7">
        <v>1823.15</v>
      </c>
      <c r="E553" s="2">
        <v>5.0</v>
      </c>
      <c r="F553" s="7">
        <v>9115.75</v>
      </c>
      <c r="G553" s="2" t="s">
        <v>1959</v>
      </c>
      <c r="H553" s="2" t="s">
        <v>1960</v>
      </c>
      <c r="I553" s="2" t="s">
        <v>1961</v>
      </c>
      <c r="K553" s="25" t="str">
        <f>IFERROR(__xludf.DUMMYFUNCTION("IF(ISBLANK(A553),
  """",
  IF(ISNUMBER(A553),
    TEXT(A553,""dd/mm/yyyy""),
    IF(
      REGEXMATCH(TRIM(A553),""^\d{1,2}/\d{1,2}/\d{4}$""),
      TRIM(A553),
      IFERROR(
        TEXT(DATEVALUE(SUBSTITUTE(SUBSTITUTE(TRIM(A553),""-"",""/""),""."",""/"&amp;""")),""dd/mm/yyyy""),
        TRIM(A553)
      )
    )
  )
)
"),"25/10/2024")</f>
        <v>25/10/2024</v>
      </c>
      <c r="L553" s="26">
        <v>45590.0</v>
      </c>
      <c r="M553" s="27" t="str">
        <f>IFERROR(__xludf.DUMMYFUNCTION("PROPER(TRIM(
  REGEXREPLACE(
    REGEXREPLACE(
      SUBSTITUTE(SUBSTITUTE(SUBSTITUTE(SUBSTITUTE(SUBSTITUTE(SUBSTITUTE(SUBSTITUTE(SUBSTITUTE(SUBSTITUTE(SUBSTITUTE(SUBSTITUTE(
        B553,""√©"",""é""),""√°"",""á""),""√±"",""ñ""),""√≥"",""ó""),""√â"",""é"&amp;"""),""√Å"",""á""),""√ç"",""í""),""√Ç"",""Í""),""√Â"",""é""),""√≠"",""í""),""√º"",""ú""),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53" s="28" t="str">
        <f>IFERROR(__xludf.DUMMYFUNCTION("SPLIT(
  TRIM(
    SUBSTITUTE(
      SUBSTITUTE(
        SUBSTITUTE(
          SUBSTITUTE(
            C553,
            ""√©"", ""é""
          ),
          ""√±"", ""ñ""
        ),
        ""√°"", ""á""
      ),
      ""√≥"", ""ó""
    )
  ),
  ""-""
)
"),"Tablet")</f>
        <v>Tablet</v>
      </c>
      <c r="O553" s="28" t="str">
        <f>IFERROR(__xludf.DUMMYFUNCTION("""COMPUTED_VALUE"""),"Pro")</f>
        <v>Pro</v>
      </c>
      <c r="P553" s="28" t="str">
        <f>IFERROR(__xludf.DUMMYFUNCTION("""COMPUTED_VALUE"""),"16GB")</f>
        <v>16GB</v>
      </c>
      <c r="Q553" s="29">
        <f t="shared" si="1"/>
        <v>1823.15</v>
      </c>
      <c r="R553" s="28">
        <f t="shared" si="2"/>
        <v>5</v>
      </c>
      <c r="S553" s="29">
        <f t="shared" si="3"/>
        <v>9115.75</v>
      </c>
      <c r="T553" s="28" t="str">
        <f>IFERROR(__xludf.DUMMYFUNCTION("PROPER(TRIM(
  LET(
    texto1, REGEXREPLACE(G553,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"),"Anel Cervántez")</f>
        <v>Anel Cervántez</v>
      </c>
      <c r="U553" s="28" t="str">
        <f t="shared" si="4"/>
        <v>758acf48-c5d8-4ad9-8a21-e3e1440e091e</v>
      </c>
      <c r="V553" s="30" t="str">
        <f t="shared" si="5"/>
        <v>Tablet Pro 16GB</v>
      </c>
    </row>
    <row r="554" ht="15.75" customHeight="1">
      <c r="A554" s="36">
        <v>45422.0</v>
      </c>
      <c r="B554" s="2" t="s">
        <v>85</v>
      </c>
      <c r="C554" s="2" t="s">
        <v>201</v>
      </c>
      <c r="D554" s="7">
        <v>1118.74</v>
      </c>
      <c r="E554" s="2">
        <v>4.0</v>
      </c>
      <c r="F554" s="7">
        <v>4474.96</v>
      </c>
      <c r="G554" s="2" t="s">
        <v>1962</v>
      </c>
      <c r="H554" s="2" t="s">
        <v>1963</v>
      </c>
      <c r="I554" s="2" t="s">
        <v>1964</v>
      </c>
      <c r="K554" s="19" t="str">
        <f>IFERROR(__xludf.DUMMYFUNCTION("IF(ISBLANK(A554),
  """",
  IF(ISNUMBER(A554),
    TEXT(A554,""dd/mm/yyyy""),
    IF(
      REGEXMATCH(TRIM(A554),""^\d{1,2}/\d{1,2}/\d{4}$""),
      TRIM(A554),
      IFERROR(
        TEXT(DATEVALUE(SUBSTITUTE(SUBSTITUTE(TRIM(A554),""-"",""/""),""."",""/"&amp;""")),""dd/mm/yyyy""),
        TRIM(A554)
      )
    )
  )
)
"),"10/05/2024")</f>
        <v>10/05/2024</v>
      </c>
      <c r="L554" s="20">
        <v>45422.0</v>
      </c>
      <c r="M554" s="21" t="str">
        <f>IFERROR(__xludf.DUMMYFUNCTION("PROPER(TRIM(
  REGEXREPLACE(
    REGEXREPLACE(
      SUBSTITUTE(SUBSTITUTE(SUBSTITUTE(SUBSTITUTE(SUBSTITUTE(SUBSTITUTE(SUBSTITUTE(SUBSTITUTE(SUBSTITUTE(SUBSTITUTE(SUBSTITUTE(
        B554,""√©"",""é""),""√°"",""á""),""√±"",""ñ""),""√≥"",""ó""),""√â"",""é"&amp;"""),""√Å"",""á""),""√ç"",""í""),""√Ç"",""Í""),""√Â"",""é""),""√≠"",""í""),""√º"",""ú""),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54" s="22" t="str">
        <f>IFERROR(__xludf.DUMMYFUNCTION("SPLIT(
  TRIM(
    SUBSTITUTE(
      SUBSTITUTE(
        SUBSTITUTE(
          SUBSTITUTE(
            C554,
            ""√©"", ""é""
          ),
          ""√±"", ""ñ""
        ),
        ""√°"", ""á""
      ),
      ""√≥"", ""ó""
    )
  ),
  ""-""
)
"),"Laptop")</f>
        <v>Laptop</v>
      </c>
      <c r="O554" s="22" t="str">
        <f>IFERROR(__xludf.DUMMYFUNCTION("""COMPUTED_VALUE"""),"Gaming")</f>
        <v>Gaming</v>
      </c>
      <c r="P554" s="22" t="str">
        <f>IFERROR(__xludf.DUMMYFUNCTION("""COMPUTED_VALUE"""),"4GB")</f>
        <v>4GB</v>
      </c>
      <c r="Q554" s="23">
        <f t="shared" si="1"/>
        <v>1118.74</v>
      </c>
      <c r="R554" s="22">
        <f t="shared" si="2"/>
        <v>4</v>
      </c>
      <c r="S554" s="23">
        <f t="shared" si="3"/>
        <v>4474.96</v>
      </c>
      <c r="T554" s="22" t="str">
        <f>IFERROR(__xludf.DUMMYFUNCTION("PROPER(TRIM(
  LET(
    texto1, REGEXREPLACE(G554,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"),"Débora Uriel Montez")</f>
        <v>Débora Uriel Montez</v>
      </c>
      <c r="U554" s="22" t="str">
        <f t="shared" si="4"/>
        <v>be204235-85bb-4fe8-9216-a9791c716831</v>
      </c>
      <c r="V554" s="24" t="str">
        <f t="shared" si="5"/>
        <v>Laptop Gaming 4GB</v>
      </c>
    </row>
    <row r="555" ht="15.75" customHeight="1">
      <c r="A555" s="6">
        <v>45587.0</v>
      </c>
      <c r="B555" s="2" t="s">
        <v>27</v>
      </c>
      <c r="C555" s="2" t="s">
        <v>196</v>
      </c>
      <c r="D555" s="7">
        <v>1511.08</v>
      </c>
      <c r="E555" s="2">
        <v>2.0</v>
      </c>
      <c r="F555" s="7">
        <v>3022.16</v>
      </c>
      <c r="G555" s="2" t="s">
        <v>1965</v>
      </c>
      <c r="H555" s="2" t="s">
        <v>1966</v>
      </c>
      <c r="I555" s="2" t="s">
        <v>1967</v>
      </c>
      <c r="K555" s="25" t="str">
        <f>IFERROR(__xludf.DUMMYFUNCTION("IF(ISBLANK(A555),
  """",
  IF(ISNUMBER(A555),
    TEXT(A555,""dd/mm/yyyy""),
    IF(
      REGEXMATCH(TRIM(A555),""^\d{1,2}/\d{1,2}/\d{4}$""),
      TRIM(A555),
      IFERROR(
        TEXT(DATEVALUE(SUBSTITUTE(SUBSTITUTE(TRIM(A555),""-"",""/""),""."",""/"&amp;""")),""dd/mm/yyyy""),
        TRIM(A555)
      )
    )
  )
)
"),"22/10/2024")</f>
        <v>22/10/2024</v>
      </c>
      <c r="L555" s="26">
        <v>45587.0</v>
      </c>
      <c r="M555" s="27" t="str">
        <f>IFERROR(__xludf.DUMMYFUNCTION("PROPER(TRIM(
  REGEXREPLACE(
    REGEXREPLACE(
      SUBSTITUTE(SUBSTITUTE(SUBSTITUTE(SUBSTITUTE(SUBSTITUTE(SUBSTITUTE(SUBSTITUTE(SUBSTITUTE(SUBSTITUTE(SUBSTITUTE(SUBSTITUTE(
        B555,""√©"",""é""),""√°"",""á""),""√±"",""ñ""),""√≥"",""ó""),""√â"",""é"&amp;"""),""√Å"",""á""),""√ç"",""í""),""√Ç"",""Í""),""√Â"",""é""),""√≠"",""í""),""√º"",""ú""),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55" s="28" t="str">
        <f>IFERROR(__xludf.DUMMYFUNCTION("SPLIT(
  TRIM(
    SUBSTITUTE(
      SUBSTITUTE(
        SUBSTITUTE(
          SUBSTITUTE(
            C555,
            ""√©"", ""é""
          ),
          ""√±"", ""ñ""
        ),
        ""√°"", ""á""
      ),
      ""√≥"", ""ó""
    )
  ),
  ""-""
)
"),"Auriculares")</f>
        <v>Auriculares</v>
      </c>
      <c r="O555" s="28" t="str">
        <f>IFERROR(__xludf.DUMMYFUNCTION("""COMPUTED_VALUE"""),"Cancelación de ruido")</f>
        <v>Cancelación de ruido</v>
      </c>
      <c r="P555" s="28" t="str">
        <f>IFERROR(__xludf.DUMMYFUNCTION("""COMPUTED_VALUE"""),"8GB")</f>
        <v>8GB</v>
      </c>
      <c r="Q555" s="29">
        <f t="shared" si="1"/>
        <v>1511.08</v>
      </c>
      <c r="R555" s="28">
        <f t="shared" si="2"/>
        <v>2</v>
      </c>
      <c r="S555" s="29">
        <f t="shared" si="3"/>
        <v>3022.16</v>
      </c>
      <c r="T555" s="28" t="str">
        <f>IFERROR(__xludf.DUMMYFUNCTION("PROPER(TRIM(
  LET(
    texto1, REGEXREPLACE(G555,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"),"Pedro Tamayo")</f>
        <v>Pedro Tamayo</v>
      </c>
      <c r="U555" s="28" t="str">
        <f t="shared" si="4"/>
        <v>53b6bfd4-05a9-41c3-adeb-dfaa20821700</v>
      </c>
      <c r="V555" s="30" t="str">
        <f t="shared" si="5"/>
        <v>Auriculares Cancelación de ruido 8GB</v>
      </c>
    </row>
    <row r="556" ht="15.75" customHeight="1">
      <c r="A556" s="6">
        <v>45611.0</v>
      </c>
      <c r="B556" s="2" t="s">
        <v>85</v>
      </c>
      <c r="C556" s="2" t="s">
        <v>91</v>
      </c>
      <c r="D556" s="7">
        <v>210.37</v>
      </c>
      <c r="E556" s="2">
        <v>1.0</v>
      </c>
      <c r="F556" s="7">
        <v>210.37</v>
      </c>
      <c r="G556" s="2" t="s">
        <v>1968</v>
      </c>
      <c r="H556" s="2" t="s">
        <v>1969</v>
      </c>
      <c r="I556" s="2" t="s">
        <v>1970</v>
      </c>
      <c r="K556" s="19" t="str">
        <f>IFERROR(__xludf.DUMMYFUNCTION("IF(ISBLANK(A556),
  """",
  IF(ISNUMBER(A556),
    TEXT(A556,""dd/mm/yyyy""),
    IF(
      REGEXMATCH(TRIM(A556),""^\d{1,2}/\d{1,2}/\d{4}$""),
      TRIM(A556),
      IFERROR(
        TEXT(DATEVALUE(SUBSTITUTE(SUBSTITUTE(TRIM(A556),""-"",""/""),""."",""/"&amp;""")),""dd/mm/yyyy""),
        TRIM(A556)
      )
    )
  )
)
"),"15/11/2024")</f>
        <v>15/11/2024</v>
      </c>
      <c r="L556" s="20">
        <v>45611.0</v>
      </c>
      <c r="M556" s="21" t="str">
        <f>IFERROR(__xludf.DUMMYFUNCTION("PROPER(TRIM(
  REGEXREPLACE(
    REGEXREPLACE(
      SUBSTITUTE(SUBSTITUTE(SUBSTITUTE(SUBSTITUTE(SUBSTITUTE(SUBSTITUTE(SUBSTITUTE(SUBSTITUTE(SUBSTITUTE(SUBSTITUTE(SUBSTITUTE(
        B556,""√©"",""é""),""√°"",""á""),""√±"",""ñ""),""√≥"",""ó""),""√â"",""é"&amp;"""),""√Å"",""á""),""√ç"",""í""),""√Ç"",""Í""),""√Â"",""é""),""√≠"",""í""),""√º"",""ú""),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56" s="22" t="str">
        <f>IFERROR(__xludf.DUMMYFUNCTION("SPLIT(
  TRIM(
    SUBSTITUTE(
      SUBSTITUTE(
        SUBSTITUTE(
          SUBSTITUTE(
            C556,
            ""√©"", ""é""
          ),
          ""√±"", ""ñ""
        ),
        ""√°"", ""á""
      ),
      ""√≥"", ""ó""
    )
  ),
  ""-""
)
"),"Tablet")</f>
        <v>Tablet</v>
      </c>
      <c r="O556" s="22" t="str">
        <f>IFERROR(__xludf.DUMMYFUNCTION("""COMPUTED_VALUE"""),"Mini")</f>
        <v>Mini</v>
      </c>
      <c r="P556" s="22" t="str">
        <f>IFERROR(__xludf.DUMMYFUNCTION("""COMPUTED_VALUE"""),"32GB")</f>
        <v>32GB</v>
      </c>
      <c r="Q556" s="23">
        <f t="shared" si="1"/>
        <v>210.37</v>
      </c>
      <c r="R556" s="22">
        <f t="shared" si="2"/>
        <v>1</v>
      </c>
      <c r="S556" s="23">
        <f t="shared" si="3"/>
        <v>210.37</v>
      </c>
      <c r="T556" s="22" t="str">
        <f>IFERROR(__xludf.DUMMYFUNCTION("PROPER(TRIM(
  LET(
    texto1, REGEXREPLACE(G556,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"),"Irma Bañuelos")</f>
        <v>Irma Bañuelos</v>
      </c>
      <c r="U556" s="22" t="str">
        <f t="shared" si="4"/>
        <v>2b9e4412-7cfc-4c93-b65b-fdd1b959ea0f</v>
      </c>
      <c r="V556" s="24" t="str">
        <f t="shared" si="5"/>
        <v>Tablet Mini 32GB</v>
      </c>
    </row>
    <row r="557" ht="15.75" customHeight="1">
      <c r="A557" s="6">
        <v>45617.0</v>
      </c>
      <c r="B557" s="2" t="s">
        <v>85</v>
      </c>
      <c r="C557" s="2" t="s">
        <v>593</v>
      </c>
      <c r="D557" s="7">
        <v>495.51</v>
      </c>
      <c r="E557" s="2">
        <v>2.0</v>
      </c>
      <c r="F557" s="7">
        <v>991.02</v>
      </c>
      <c r="G557" s="2" t="s">
        <v>1971</v>
      </c>
      <c r="H557" s="2" t="s">
        <v>1972</v>
      </c>
      <c r="I557" s="2" t="s">
        <v>1973</v>
      </c>
      <c r="K557" s="25" t="str">
        <f>IFERROR(__xludf.DUMMYFUNCTION("IF(ISBLANK(A557),
  """",
  IF(ISNUMBER(A557),
    TEXT(A557,""dd/mm/yyyy""),
    IF(
      REGEXMATCH(TRIM(A557),""^\d{1,2}/\d{1,2}/\d{4}$""),
      TRIM(A557),
      IFERROR(
        TEXT(DATEVALUE(SUBSTITUTE(SUBSTITUTE(TRIM(A557),""-"",""/""),""."",""/"&amp;""")),""dd/mm/yyyy""),
        TRIM(A557)
      )
    )
  )
)
"),"21/11/2024")</f>
        <v>21/11/2024</v>
      </c>
      <c r="L557" s="26">
        <v>45617.0</v>
      </c>
      <c r="M557" s="27" t="str">
        <f>IFERROR(__xludf.DUMMYFUNCTION("PROPER(TRIM(
  REGEXREPLACE(
    REGEXREPLACE(
      SUBSTITUTE(SUBSTITUTE(SUBSTITUTE(SUBSTITUTE(SUBSTITUTE(SUBSTITUTE(SUBSTITUTE(SUBSTITUTE(SUBSTITUTE(SUBSTITUTE(SUBSTITUTE(
        B557,""√©"",""é""),""√°"",""á""),""√±"",""ñ""),""√≥"",""ó""),""√â"",""é"&amp;"""),""√Å"",""á""),""√ç"",""í""),""√Ç"",""Í""),""√Â"",""é""),""√≠"",""í""),""√º"",""ú""),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57" s="28" t="str">
        <f>IFERROR(__xludf.DUMMYFUNCTION("SPLIT(
  TRIM(
    SUBSTITUTE(
      SUBSTITUTE(
        SUBSTITUTE(
          SUBSTITUTE(
            C557,
            ""√©"", ""é""
          ),
          ""√±"", ""ñ""
        ),
        ""√°"", ""á""
      ),
      ""√≥"", ""ó""
    )
  ),
  ""-""
)
"),"Laptop")</f>
        <v>Laptop</v>
      </c>
      <c r="O557" s="28" t="str">
        <f>IFERROR(__xludf.DUMMYFUNCTION("""COMPUTED_VALUE"""),"Gaming")</f>
        <v>Gaming</v>
      </c>
      <c r="P557" s="28" t="str">
        <f>IFERROR(__xludf.DUMMYFUNCTION("""COMPUTED_VALUE"""),"16GB")</f>
        <v>16GB</v>
      </c>
      <c r="Q557" s="29">
        <f t="shared" si="1"/>
        <v>495.51</v>
      </c>
      <c r="R557" s="28">
        <f t="shared" si="2"/>
        <v>2</v>
      </c>
      <c r="S557" s="29">
        <f t="shared" si="3"/>
        <v>991.02</v>
      </c>
      <c r="T557" s="28" t="str">
        <f>IFERROR(__xludf.DUMMYFUNCTION("PROPER(TRIM(
  LET(
    texto1, REGEXREPLACE(G557,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"),"Cynthia Rolón")</f>
        <v>Cynthia Rolón</v>
      </c>
      <c r="U557" s="28" t="str">
        <f t="shared" si="4"/>
        <v>dd4ae052-c48d-46dc-a438-fad5a215831b</v>
      </c>
      <c r="V557" s="30" t="str">
        <f t="shared" si="5"/>
        <v>Laptop Gaming 16GB</v>
      </c>
    </row>
    <row r="558" ht="15.75" customHeight="1">
      <c r="A558" s="6">
        <v>45588.0</v>
      </c>
      <c r="B558" s="2" t="s">
        <v>101</v>
      </c>
      <c r="C558" s="2" t="s">
        <v>55</v>
      </c>
      <c r="D558" s="7">
        <v>1327.27</v>
      </c>
      <c r="E558" s="2">
        <v>2.0</v>
      </c>
      <c r="F558" s="7">
        <v>2654.54</v>
      </c>
      <c r="G558" s="2" t="s">
        <v>1974</v>
      </c>
      <c r="H558" s="2" t="s">
        <v>1975</v>
      </c>
      <c r="I558" s="3" t="s">
        <v>1976</v>
      </c>
      <c r="K558" s="19" t="str">
        <f>IFERROR(__xludf.DUMMYFUNCTION("IF(ISBLANK(A558),
  """",
  IF(ISNUMBER(A558),
    TEXT(A558,""dd/mm/yyyy""),
    IF(
      REGEXMATCH(TRIM(A558),""^\d{1,2}/\d{1,2}/\d{4}$""),
      TRIM(A558),
      IFERROR(
        TEXT(DATEVALUE(SUBSTITUTE(SUBSTITUTE(TRIM(A558),""-"",""/""),""."",""/"&amp;""")),""dd/mm/yyyy""),
        TRIM(A558)
      )
    )
  )
)
"),"23/10/2024")</f>
        <v>23/10/2024</v>
      </c>
      <c r="L558" s="20">
        <v>45588.0</v>
      </c>
      <c r="M558" s="21" t="str">
        <f>IFERROR(__xludf.DUMMYFUNCTION("PROPER(TRIM(
  REGEXREPLACE(
    REGEXREPLACE(
      SUBSTITUTE(SUBSTITUTE(SUBSTITUTE(SUBSTITUTE(SUBSTITUTE(SUBSTITUTE(SUBSTITUTE(SUBSTITUTE(SUBSTITUTE(SUBSTITUTE(SUBSTITUTE(
        B558,""√©"",""é""),""√°"",""á""),""√±"",""ñ""),""√≥"",""ó""),""√â"",""é"&amp;"""),""√Å"",""á""),""√ç"",""í""),""√Ç"",""Í""),""√Â"",""é""),""√≠"",""í""),""√º"",""ú""),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58" s="22" t="str">
        <f>IFERROR(__xludf.DUMMYFUNCTION("SPLIT(
  TRIM(
    SUBSTITUTE(
      SUBSTITUTE(
        SUBSTITUTE(
          SUBSTITUTE(
            C558,
            ""√©"", ""é""
          ),
          ""√±"", ""ñ""
        ),
        ""√°"", ""á""
      ),
      ""√≥"", ""ó""
    )
  ),
  ""-""
)
"),"Laptop")</f>
        <v>Laptop</v>
      </c>
      <c r="O558" s="22" t="str">
        <f>IFERROR(__xludf.DUMMYFUNCTION("""COMPUTED_VALUE"""),"Ultraliviana")</f>
        <v>Ultraliviana</v>
      </c>
      <c r="P558" s="22" t="str">
        <f>IFERROR(__xludf.DUMMYFUNCTION("""COMPUTED_VALUE"""),"16GB")</f>
        <v>16GB</v>
      </c>
      <c r="Q558" s="23">
        <f t="shared" si="1"/>
        <v>1327.27</v>
      </c>
      <c r="R558" s="22">
        <f t="shared" si="2"/>
        <v>2</v>
      </c>
      <c r="S558" s="23">
        <f t="shared" si="3"/>
        <v>2654.54</v>
      </c>
      <c r="T558" s="22" t="str">
        <f>IFERROR(__xludf.DUMMYFUNCTION("PROPER(TRIM(
  LET(
    texto1, REGEXREPLACE(G558,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"),"Bianca Abel Valentín Alarcón")</f>
        <v>Bianca Abel Valentín Alarcón</v>
      </c>
      <c r="U558" s="33" t="str">
        <f t="shared" si="4"/>
        <v>6e634080-3cde-4f41-b8b8-f7a29d0086fa</v>
      </c>
      <c r="V558" s="24" t="str">
        <f t="shared" si="5"/>
        <v>Laptop Ultraliviana 16GB</v>
      </c>
    </row>
    <row r="559" ht="15.75" customHeight="1">
      <c r="A559" s="6">
        <v>45612.0</v>
      </c>
      <c r="B559" s="2" t="s">
        <v>85</v>
      </c>
      <c r="C559" s="2" t="s">
        <v>135</v>
      </c>
      <c r="D559" s="7">
        <v>1101.82</v>
      </c>
      <c r="E559" s="2">
        <v>5.0</v>
      </c>
      <c r="F559" s="7">
        <v>5509.1</v>
      </c>
      <c r="G559" s="2" t="s">
        <v>1977</v>
      </c>
      <c r="H559" s="2" t="s">
        <v>1978</v>
      </c>
      <c r="I559" s="2" t="s">
        <v>1979</v>
      </c>
      <c r="K559" s="25" t="str">
        <f>IFERROR(__xludf.DUMMYFUNCTION("IF(ISBLANK(A559),
  """",
  IF(ISNUMBER(A559),
    TEXT(A559,""dd/mm/yyyy""),
    IF(
      REGEXMATCH(TRIM(A559),""^\d{1,2}/\d{1,2}/\d{4}$""),
      TRIM(A559),
      IFERROR(
        TEXT(DATEVALUE(SUBSTITUTE(SUBSTITUTE(TRIM(A559),""-"",""/""),""."",""/"&amp;""")),""dd/mm/yyyy""),
        TRIM(A559)
      )
    )
  )
)
"),"16/11/2024")</f>
        <v>16/11/2024</v>
      </c>
      <c r="L559" s="26">
        <v>45612.0</v>
      </c>
      <c r="M559" s="27" t="str">
        <f>IFERROR(__xludf.DUMMYFUNCTION("PROPER(TRIM(
  REGEXREPLACE(
    REGEXREPLACE(
      SUBSTITUTE(SUBSTITUTE(SUBSTITUTE(SUBSTITUTE(SUBSTITUTE(SUBSTITUTE(SUBSTITUTE(SUBSTITUTE(SUBSTITUTE(SUBSTITUTE(SUBSTITUTE(
        B559,""√©"",""é""),""√°"",""á""),""√±"",""ñ""),""√≥"",""ó""),""√â"",""é"&amp;"""),""√Å"",""á""),""√ç"",""í""),""√Ç"",""Í""),""√Â"",""é""),""√≠"",""í""),""√º"",""ú""),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59" s="28" t="str">
        <f>IFERROR(__xludf.DUMMYFUNCTION("SPLIT(
  TRIM(
    SUBSTITUTE(
      SUBSTITUTE(
        SUBSTITUTE(
          SUBSTITUTE(
            C559,
            ""√©"", ""é""
          ),
          ""√±"", ""ñ""
        ),
        ""√°"", ""á""
      ),
      ""√≥"", ""ó""
    )
  ),
  ""-""
)
"),"Laptop")</f>
        <v>Laptop</v>
      </c>
      <c r="O559" s="28" t="str">
        <f>IFERROR(__xludf.DUMMYFUNCTION("""COMPUTED_VALUE"""),"Ultraliviana")</f>
        <v>Ultraliviana</v>
      </c>
      <c r="P559" s="28" t="str">
        <f>IFERROR(__xludf.DUMMYFUNCTION("""COMPUTED_VALUE"""),"32GB")</f>
        <v>32GB</v>
      </c>
      <c r="Q559" s="29">
        <f t="shared" si="1"/>
        <v>1101.82</v>
      </c>
      <c r="R559" s="28">
        <f t="shared" si="2"/>
        <v>5</v>
      </c>
      <c r="S559" s="29">
        <f t="shared" si="3"/>
        <v>5509.1</v>
      </c>
      <c r="T559" s="28" t="str">
        <f>IFERROR(__xludf.DUMMYFUNCTION("PROPER(TRIM(
  LET(
    texto1, REGEXREPLACE(G559,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"),"Marisol Toledo")</f>
        <v>Marisol Toledo</v>
      </c>
      <c r="U559" s="28" t="str">
        <f t="shared" si="4"/>
        <v>715a22e4-0dbf-4ab3-9d6d-bc8cfaed54f3</v>
      </c>
      <c r="V559" s="30" t="str">
        <f t="shared" si="5"/>
        <v>Laptop Ultraliviana 32GB</v>
      </c>
    </row>
    <row r="560" ht="15.75" customHeight="1">
      <c r="A560" s="6">
        <v>45611.0</v>
      </c>
      <c r="B560" s="2" t="s">
        <v>27</v>
      </c>
      <c r="C560" s="2" t="s">
        <v>181</v>
      </c>
      <c r="D560" s="7">
        <v>1767.16</v>
      </c>
      <c r="E560" s="2">
        <v>1.0</v>
      </c>
      <c r="F560" s="7">
        <v>1767.16</v>
      </c>
      <c r="G560" s="2" t="s">
        <v>1980</v>
      </c>
      <c r="H560" s="2" t="s">
        <v>1981</v>
      </c>
      <c r="I560" s="2" t="s">
        <v>1982</v>
      </c>
      <c r="K560" s="19" t="str">
        <f>IFERROR(__xludf.DUMMYFUNCTION("IF(ISBLANK(A560),
  """",
  IF(ISNUMBER(A560),
    TEXT(A560,""dd/mm/yyyy""),
    IF(
      REGEXMATCH(TRIM(A560),""^\d{1,2}/\d{1,2}/\d{4}$""),
      TRIM(A560),
      IFERROR(
        TEXT(DATEVALUE(SUBSTITUTE(SUBSTITUTE(TRIM(A560),""-"",""/""),""."",""/"&amp;""")),""dd/mm/yyyy""),
        TRIM(A560)
      )
    )
  )
)
"),"15/11/2024")</f>
        <v>15/11/2024</v>
      </c>
      <c r="L560" s="20">
        <v>45611.0</v>
      </c>
      <c r="M560" s="21" t="str">
        <f>IFERROR(__xludf.DUMMYFUNCTION("PROPER(TRIM(
  REGEXREPLACE(
    REGEXREPLACE(
      SUBSTITUTE(SUBSTITUTE(SUBSTITUTE(SUBSTITUTE(SUBSTITUTE(SUBSTITUTE(SUBSTITUTE(SUBSTITUTE(SUBSTITUTE(SUBSTITUTE(SUBSTITUTE(
        B560,""√©"",""é""),""√°"",""á""),""√±"",""ñ""),""√≥"",""ó""),""√â"",""é"&amp;"""),""√Å"",""á""),""√ç"",""í""),""√Ç"",""Í""),""√Â"",""é""),""√≠"",""í""),""√º"",""ú""),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60" s="22" t="str">
        <f>IFERROR(__xludf.DUMMYFUNCTION("SPLIT(
  TRIM(
    SUBSTITUTE(
      SUBSTITUTE(
        SUBSTITUTE(
          SUBSTITUTE(
            C560,
            ""√©"", ""é""
          ),
          ""√±"", ""ñ""
        ),
        ""√°"", ""á""
      ),
      ""√≥"", ""ó""
    )
  ),
  ""-""
)
"),"Laptop")</f>
        <v>Laptop</v>
      </c>
      <c r="O560" s="22" t="str">
        <f>IFERROR(__xludf.DUMMYFUNCTION("""COMPUTED_VALUE"""),"Ultraliviana")</f>
        <v>Ultraliviana</v>
      </c>
      <c r="P560" s="22" t="str">
        <f>IFERROR(__xludf.DUMMYFUNCTION("""COMPUTED_VALUE"""),"4GB")</f>
        <v>4GB</v>
      </c>
      <c r="Q560" s="23">
        <f t="shared" si="1"/>
        <v>1767.16</v>
      </c>
      <c r="R560" s="22">
        <f t="shared" si="2"/>
        <v>1</v>
      </c>
      <c r="S560" s="23">
        <f t="shared" si="3"/>
        <v>1767.16</v>
      </c>
      <c r="T560" s="22" t="str">
        <f>IFERROR(__xludf.DUMMYFUNCTION("PROPER(TRIM(
  LET(
    texto1, REGEXREPLACE(G560,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"),"Federico Matías")</f>
        <v>Federico Matías</v>
      </c>
      <c r="U560" s="22" t="str">
        <f t="shared" si="4"/>
        <v>f3f6eded-9605-463d-befb-0ec09cb7398f</v>
      </c>
      <c r="V560" s="24" t="str">
        <f t="shared" si="5"/>
        <v>Laptop Ultraliviana 4GB</v>
      </c>
    </row>
    <row r="561" ht="15.75" customHeight="1">
      <c r="A561" s="6">
        <v>45623.0</v>
      </c>
      <c r="B561" s="2" t="s">
        <v>16</v>
      </c>
      <c r="C561" s="2" t="s">
        <v>167</v>
      </c>
      <c r="D561" s="7">
        <v>764.41</v>
      </c>
      <c r="E561" s="2">
        <v>3.0</v>
      </c>
      <c r="F561" s="7">
        <v>2293.23</v>
      </c>
      <c r="G561" s="2" t="s">
        <v>1983</v>
      </c>
      <c r="H561" s="2" t="s">
        <v>1984</v>
      </c>
      <c r="I561" s="2" t="s">
        <v>1985</v>
      </c>
      <c r="K561" s="25" t="str">
        <f>IFERROR(__xludf.DUMMYFUNCTION("IF(ISBLANK(A561),
  """",
  IF(ISNUMBER(A561),
    TEXT(A561,""dd/mm/yyyy""),
    IF(
      REGEXMATCH(TRIM(A561),""^\d{1,2}/\d{1,2}/\d{4}$""),
      TRIM(A561),
      IFERROR(
        TEXT(DATEVALUE(SUBSTITUTE(SUBSTITUTE(TRIM(A561),""-"",""/""),""."",""/"&amp;""")),""dd/mm/yyyy""),
        TRIM(A561)
      )
    )
  )
)
"),"27/11/2024")</f>
        <v>27/11/2024</v>
      </c>
      <c r="L561" s="26">
        <v>45623.0</v>
      </c>
      <c r="M561" s="27" t="str">
        <f>IFERROR(__xludf.DUMMYFUNCTION("PROPER(TRIM(
  REGEXREPLACE(
    REGEXREPLACE(
      SUBSTITUTE(SUBSTITUTE(SUBSTITUTE(SUBSTITUTE(SUBSTITUTE(SUBSTITUTE(SUBSTITUTE(SUBSTITUTE(SUBSTITUTE(SUBSTITUTE(SUBSTITUTE(
        B561,""√©"",""é""),""√°"",""á""),""√±"",""ñ""),""√≥"",""ó""),""√â"",""é"&amp;"""),""√Å"",""á""),""√ç"",""í""),""√Ç"",""Í""),""√Â"",""é""),""√≠"",""í""),""√º"",""ú""),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61" s="28" t="str">
        <f>IFERROR(__xludf.DUMMYFUNCTION("SPLIT(
  TRIM(
    SUBSTITUTE(
      SUBSTITUTE(
        SUBSTITUTE(
          SUBSTITUTE(
            C561,
            ""√©"", ""é""
          ),
          ""√±"", ""ñ""
        ),
        ""√°"", ""á""
      ),
      ""√≥"", ""ó""
    )
  ),
  ""-""
)
"),"Laptop")</f>
        <v>Laptop</v>
      </c>
      <c r="O561" s="28" t="str">
        <f>IFERROR(__xludf.DUMMYFUNCTION("""COMPUTED_VALUE"""),"Gaming")</f>
        <v>Gaming</v>
      </c>
      <c r="P561" s="28" t="str">
        <f>IFERROR(__xludf.DUMMYFUNCTION("""COMPUTED_VALUE"""),"8GB")</f>
        <v>8GB</v>
      </c>
      <c r="Q561" s="29">
        <f t="shared" si="1"/>
        <v>764.41</v>
      </c>
      <c r="R561" s="28">
        <f t="shared" si="2"/>
        <v>3</v>
      </c>
      <c r="S561" s="29">
        <f t="shared" si="3"/>
        <v>2293.23</v>
      </c>
      <c r="T561" s="28" t="str">
        <f>IFERROR(__xludf.DUMMYFUNCTION("PROPER(TRIM(
  LET(
    texto1, REGEXREPLACE(G561,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"),"Eloy Jaime Mercado Roldán")</f>
        <v>Eloy Jaime Mercado Roldán</v>
      </c>
      <c r="U561" s="28" t="str">
        <f t="shared" si="4"/>
        <v>54483220-8340-4be3-b6c6-51347b1f367c</v>
      </c>
      <c r="V561" s="30" t="str">
        <f t="shared" si="5"/>
        <v>Laptop Gaming 8GB</v>
      </c>
    </row>
    <row r="562" ht="15.75" customHeight="1">
      <c r="A562" s="6">
        <v>45626.0</v>
      </c>
      <c r="B562" s="2" t="s">
        <v>101</v>
      </c>
      <c r="C562" s="2" t="s">
        <v>1986</v>
      </c>
      <c r="D562" s="7">
        <v>2148.99</v>
      </c>
      <c r="E562" s="2">
        <v>5.0</v>
      </c>
      <c r="F562" s="7">
        <v>10744.95</v>
      </c>
      <c r="G562" s="2" t="s">
        <v>1987</v>
      </c>
      <c r="H562" s="2" t="s">
        <v>1988</v>
      </c>
      <c r="I562" s="2" t="s">
        <v>1989</v>
      </c>
      <c r="K562" s="19" t="str">
        <f>IFERROR(__xludf.DUMMYFUNCTION("IF(ISBLANK(A562),
  """",
  IF(ISNUMBER(A562),
    TEXT(A562,""dd/mm/yyyy""),
    IF(
      REGEXMATCH(TRIM(A562),""^\d{1,2}/\d{1,2}/\d{4}$""),
      TRIM(A562),
      IFERROR(
        TEXT(DATEVALUE(SUBSTITUTE(SUBSTITUTE(TRIM(A562),""-"",""/""),""."",""/"&amp;""")),""dd/mm/yyyy""),
        TRIM(A562)
      )
    )
  )
)
"),"30/11/2024")</f>
        <v>30/11/2024</v>
      </c>
      <c r="L562" s="20">
        <v>45626.0</v>
      </c>
      <c r="M562" s="21" t="str">
        <f>IFERROR(__xludf.DUMMYFUNCTION("PROPER(TRIM(
  REGEXREPLACE(
    REGEXREPLACE(
      SUBSTITUTE(SUBSTITUTE(SUBSTITUTE(SUBSTITUTE(SUBSTITUTE(SUBSTITUTE(SUBSTITUTE(SUBSTITUTE(SUBSTITUTE(SUBSTITUTE(SUBSTITUTE(
        B562,""√©"",""é""),""√°"",""á""),""√±"",""ñ""),""√≥"",""ó""),""√â"",""é"&amp;"""),""√Å"",""á""),""√ç"",""í""),""√Ç"",""Í""),""√Â"",""é""),""√≠"",""í""),""√º"",""ú""),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62" s="22" t="str">
        <f>IFERROR(__xludf.DUMMYFUNCTION("SPLIT(
  TRIM(
    SUBSTITUTE(
      SUBSTITUTE(
        SUBSTITUTE(
          SUBSTITUTE(
            C562,
            ""√©"", ""é""
          ),
          ""√±"", ""ñ""
        ),
        ""√°"", ""á""
      ),
      ""√≥"", ""ó""
    )
  ),
  ""-""
)
"),"Tablet")</f>
        <v>Tablet</v>
      </c>
      <c r="O562" s="22" t="str">
        <f>IFERROR(__xludf.DUMMYFUNCTION("""COMPUTED_VALUE"""),"Pro")</f>
        <v>Pro</v>
      </c>
      <c r="P562" s="22" t="str">
        <f>IFERROR(__xludf.DUMMYFUNCTION("""COMPUTED_VALUE"""),"4GB")</f>
        <v>4GB</v>
      </c>
      <c r="Q562" s="23">
        <f t="shared" si="1"/>
        <v>2148.99</v>
      </c>
      <c r="R562" s="22">
        <f t="shared" si="2"/>
        <v>5</v>
      </c>
      <c r="S562" s="23">
        <f t="shared" si="3"/>
        <v>10744.95</v>
      </c>
      <c r="T562" s="22" t="str">
        <f>IFERROR(__xludf.DUMMYFUNCTION("PROPER(TRIM(
  LET(
    texto1, REGEXREPLACE(G562,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"),"Catalina Montenegro")</f>
        <v>Catalina Montenegro</v>
      </c>
      <c r="U562" s="22" t="str">
        <f t="shared" si="4"/>
        <v>0b7c1304-c2c5-4050-9b73-fd7e7c4c1936</v>
      </c>
      <c r="V562" s="24" t="str">
        <f t="shared" si="5"/>
        <v>Tablet Pro 4GB</v>
      </c>
    </row>
    <row r="563" ht="15.75" customHeight="1">
      <c r="A563" s="6">
        <v>45649.0</v>
      </c>
      <c r="B563" s="2" t="s">
        <v>50</v>
      </c>
      <c r="C563" s="2" t="s">
        <v>22</v>
      </c>
      <c r="D563" s="7">
        <v>1663.22</v>
      </c>
      <c r="E563" s="2">
        <v>5.0</v>
      </c>
      <c r="F563" s="7">
        <v>8316.1</v>
      </c>
      <c r="G563" s="2" t="s">
        <v>1990</v>
      </c>
      <c r="H563" s="2" t="s">
        <v>1991</v>
      </c>
      <c r="I563" s="2" t="s">
        <v>1992</v>
      </c>
      <c r="K563" s="25" t="str">
        <f>IFERROR(__xludf.DUMMYFUNCTION("IF(ISBLANK(A563),
  """",
  IF(ISNUMBER(A563),
    TEXT(A563,""dd/mm/yyyy""),
    IF(
      REGEXMATCH(TRIM(A563),""^\d{1,2}/\d{1,2}/\d{4}$""),
      TRIM(A563),
      IFERROR(
        TEXT(DATEVALUE(SUBSTITUTE(SUBSTITUTE(TRIM(A563),""-"",""/""),""."",""/"&amp;""")),""dd/mm/yyyy""),
        TRIM(A563)
      )
    )
  )
)
"),"23/12/2024")</f>
        <v>23/12/2024</v>
      </c>
      <c r="L563" s="26">
        <v>45649.0</v>
      </c>
      <c r="M563" s="27" t="str">
        <f>IFERROR(__xludf.DUMMYFUNCTION("PROPER(TRIM(
  REGEXREPLACE(
    REGEXREPLACE(
      SUBSTITUTE(SUBSTITUTE(SUBSTITUTE(SUBSTITUTE(SUBSTITUTE(SUBSTITUTE(SUBSTITUTE(SUBSTITUTE(SUBSTITUTE(SUBSTITUTE(SUBSTITUTE(
        B563,""√©"",""é""),""√°"",""á""),""√±"",""ñ""),""√≥"",""ó""),""√â"",""é"&amp;"""),""√Å"",""á""),""√ç"",""í""),""√Ç"",""Í""),""√Â"",""é""),""√≠"",""í""),""√º"",""ú""),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63" s="28" t="str">
        <f>IFERROR(__xludf.DUMMYFUNCTION("SPLIT(
  TRIM(
    SUBSTITUTE(
      SUBSTITUTE(
        SUBSTITUTE(
          SUBSTITUTE(
            C563,
            ""√©"", ""é""
          ),
          ""√±"", ""ñ""
        ),
        ""√°"", ""á""
      ),
      ""√≥"", ""ó""
    )
  ),
  ""-""
)
"),"Laptop")</f>
        <v>Laptop</v>
      </c>
      <c r="O563" s="28" t="str">
        <f>IFERROR(__xludf.DUMMYFUNCTION("""COMPUTED_VALUE"""),"Gaming")</f>
        <v>Gaming</v>
      </c>
      <c r="P563" s="28" t="str">
        <f>IFERROR(__xludf.DUMMYFUNCTION("""COMPUTED_VALUE"""),"32GB")</f>
        <v>32GB</v>
      </c>
      <c r="Q563" s="29">
        <f t="shared" si="1"/>
        <v>1663.22</v>
      </c>
      <c r="R563" s="28">
        <f t="shared" si="2"/>
        <v>5</v>
      </c>
      <c r="S563" s="29">
        <f t="shared" si="3"/>
        <v>8316.1</v>
      </c>
      <c r="T563" s="28" t="str">
        <f>IFERROR(__xludf.DUMMYFUNCTION("PROPER(TRIM(
  LET(
    texto1, REGEXREPLACE(G563,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"),"Armando Ángela Juárez")</f>
        <v>Armando Ángela Juárez</v>
      </c>
      <c r="U563" s="28" t="str">
        <f t="shared" si="4"/>
        <v>31d353ab-28f4-4ab9-8b40-a16ebfc9742a</v>
      </c>
      <c r="V563" s="30" t="str">
        <f t="shared" si="5"/>
        <v>Laptop Gaming 32GB</v>
      </c>
    </row>
    <row r="564" ht="15.75" customHeight="1">
      <c r="A564" s="6">
        <v>45591.0</v>
      </c>
      <c r="B564" s="2" t="s">
        <v>16</v>
      </c>
      <c r="C564" s="2" t="s">
        <v>360</v>
      </c>
      <c r="D564" s="7">
        <v>1898.24</v>
      </c>
      <c r="E564" s="2">
        <v>1.0</v>
      </c>
      <c r="F564" s="7">
        <v>1898.24</v>
      </c>
      <c r="G564" s="2" t="s">
        <v>1993</v>
      </c>
      <c r="H564" s="2" t="s">
        <v>1994</v>
      </c>
      <c r="I564" s="2" t="s">
        <v>1995</v>
      </c>
      <c r="K564" s="19" t="str">
        <f>IFERROR(__xludf.DUMMYFUNCTION("IF(ISBLANK(A564),
  """",
  IF(ISNUMBER(A564),
    TEXT(A564,""dd/mm/yyyy""),
    IF(
      REGEXMATCH(TRIM(A564),""^\d{1,2}/\d{1,2}/\d{4}$""),
      TRIM(A564),
      IFERROR(
        TEXT(DATEVALUE(SUBSTITUTE(SUBSTITUTE(TRIM(A564),""-"",""/""),""."",""/"&amp;""")),""dd/mm/yyyy""),
        TRIM(A564)
      )
    )
  )
)
"),"26/10/2024")</f>
        <v>26/10/2024</v>
      </c>
      <c r="L564" s="20">
        <v>45591.0</v>
      </c>
      <c r="M564" s="21" t="str">
        <f>IFERROR(__xludf.DUMMYFUNCTION("PROPER(TRIM(
  REGEXREPLACE(
    REGEXREPLACE(
      SUBSTITUTE(SUBSTITUTE(SUBSTITUTE(SUBSTITUTE(SUBSTITUTE(SUBSTITUTE(SUBSTITUTE(SUBSTITUTE(SUBSTITUTE(SUBSTITUTE(SUBSTITUTE(
        B564,""√©"",""é""),""√°"",""á""),""√±"",""ñ""),""√≥"",""ó""),""√â"",""é"&amp;"""),""√Å"",""á""),""√ç"",""í""),""√Ç"",""Í""),""√Â"",""é""),""√≠"",""í""),""√º"",""ú""),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64" s="22" t="str">
        <f>IFERROR(__xludf.DUMMYFUNCTION("SPLIT(
  TRIM(
    SUBSTITUTE(
      SUBSTITUTE(
        SUBSTITUTE(
          SUBSTITUTE(
            C564,
            ""√©"", ""é""
          ),
          ""√±"", ""ñ""
        ),
        ""√°"", ""á""
      ),
      ""√≥"", ""ó""
    )
  ),
  ""-""
)
"),"Tablet")</f>
        <v>Tablet</v>
      </c>
      <c r="O564" s="22" t="str">
        <f>IFERROR(__xludf.DUMMYFUNCTION("""COMPUTED_VALUE"""),"Estándar")</f>
        <v>Estándar</v>
      </c>
      <c r="P564" s="22" t="str">
        <f>IFERROR(__xludf.DUMMYFUNCTION("""COMPUTED_VALUE"""),"8GB")</f>
        <v>8GB</v>
      </c>
      <c r="Q564" s="23">
        <f t="shared" si="1"/>
        <v>1898.24</v>
      </c>
      <c r="R564" s="22">
        <f t="shared" si="2"/>
        <v>1</v>
      </c>
      <c r="S564" s="23">
        <f t="shared" si="3"/>
        <v>1898.24</v>
      </c>
      <c r="T564" s="22" t="str">
        <f>IFERROR(__xludf.DUMMYFUNCTION("PROPER(TRIM(
  LET(
    texto1, REGEXREPLACE(G564,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"),"Eugenio Mónica Reséndez")</f>
        <v>Eugenio Mónica Reséndez</v>
      </c>
      <c r="U564" s="22" t="str">
        <f t="shared" si="4"/>
        <v>2acb1d18-6de4-4e08-ab0f-a43239b072ab</v>
      </c>
      <c r="V564" s="24" t="str">
        <f t="shared" si="5"/>
        <v>Tablet Estándar 8GB</v>
      </c>
    </row>
    <row r="565" ht="15.75" customHeight="1">
      <c r="A565" s="36">
        <v>45607.0</v>
      </c>
      <c r="B565" s="2" t="s">
        <v>50</v>
      </c>
      <c r="C565" s="2" t="s">
        <v>55</v>
      </c>
      <c r="D565" s="7">
        <v>569.35</v>
      </c>
      <c r="E565" s="2">
        <v>4.0</v>
      </c>
      <c r="F565" s="7">
        <v>2277.4</v>
      </c>
      <c r="G565" s="2" t="s">
        <v>1996</v>
      </c>
      <c r="H565" s="2" t="s">
        <v>1997</v>
      </c>
      <c r="I565" s="2" t="s">
        <v>1998</v>
      </c>
      <c r="K565" s="25" t="str">
        <f>IFERROR(__xludf.DUMMYFUNCTION("IF(ISBLANK(A565),
  """",
  IF(ISNUMBER(A565),
    TEXT(A565,""dd/mm/yyyy""),
    IF(
      REGEXMATCH(TRIM(A565),""^\d{1,2}/\d{1,2}/\d{4}$""),
      TRIM(A565),
      IFERROR(
        TEXT(DATEVALUE(SUBSTITUTE(SUBSTITUTE(TRIM(A565),""-"",""/""),""."",""/"&amp;""")),""dd/mm/yyyy""),
        TRIM(A565)
      )
    )
  )
)
"),"11/11/2024")</f>
        <v>11/11/2024</v>
      </c>
      <c r="L565" s="26">
        <v>45607.0</v>
      </c>
      <c r="M565" s="27" t="str">
        <f>IFERROR(__xludf.DUMMYFUNCTION("PROPER(TRIM(
  REGEXREPLACE(
    REGEXREPLACE(
      SUBSTITUTE(SUBSTITUTE(SUBSTITUTE(SUBSTITUTE(SUBSTITUTE(SUBSTITUTE(SUBSTITUTE(SUBSTITUTE(SUBSTITUTE(SUBSTITUTE(SUBSTITUTE(
        B565,""√©"",""é""),""√°"",""á""),""√±"",""ñ""),""√≥"",""ó""),""√â"",""é"&amp;"""),""√Å"",""á""),""√ç"",""í""),""√Ç"",""Í""),""√Â"",""é""),""√≠"",""í""),""√º"",""ú""),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65" s="28" t="str">
        <f>IFERROR(__xludf.DUMMYFUNCTION("SPLIT(
  TRIM(
    SUBSTITUTE(
      SUBSTITUTE(
        SUBSTITUTE(
          SUBSTITUTE(
            C565,
            ""√©"", ""é""
          ),
          ""√±"", ""ñ""
        ),
        ""√°"", ""á""
      ),
      ""√≥"", ""ó""
    )
  ),
  ""-""
)
"),"Laptop")</f>
        <v>Laptop</v>
      </c>
      <c r="O565" s="28" t="str">
        <f>IFERROR(__xludf.DUMMYFUNCTION("""COMPUTED_VALUE"""),"Ultraliviana")</f>
        <v>Ultraliviana</v>
      </c>
      <c r="P565" s="28" t="str">
        <f>IFERROR(__xludf.DUMMYFUNCTION("""COMPUTED_VALUE"""),"16GB")</f>
        <v>16GB</v>
      </c>
      <c r="Q565" s="29">
        <f t="shared" si="1"/>
        <v>569.35</v>
      </c>
      <c r="R565" s="28">
        <f t="shared" si="2"/>
        <v>4</v>
      </c>
      <c r="S565" s="29">
        <f t="shared" si="3"/>
        <v>2277.4</v>
      </c>
      <c r="T565" s="28" t="str">
        <f>IFERROR(__xludf.DUMMYFUNCTION("PROPER(TRIM(
  LET(
    texto1, REGEXREPLACE(G565,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Tamez Sanches")</f>
        <v>Gilberto Tamez Sanches</v>
      </c>
      <c r="U565" s="28" t="str">
        <f t="shared" si="4"/>
        <v>239ba516-3ba4-4ab3-afd0-e7520e4284da</v>
      </c>
      <c r="V565" s="30" t="str">
        <f t="shared" si="5"/>
        <v>Laptop Ultraliviana 16GB</v>
      </c>
    </row>
    <row r="566" ht="15.75" customHeight="1">
      <c r="A566" s="36">
        <v>45302.0</v>
      </c>
      <c r="B566" s="2" t="s">
        <v>16</v>
      </c>
      <c r="C566" s="2" t="s">
        <v>96</v>
      </c>
      <c r="D566" s="7">
        <v>2312.7</v>
      </c>
      <c r="E566" s="2">
        <v>3.0</v>
      </c>
      <c r="F566" s="7">
        <v>6938.1</v>
      </c>
      <c r="G566" s="2" t="s">
        <v>1999</v>
      </c>
      <c r="H566" s="2" t="s">
        <v>2000</v>
      </c>
      <c r="I566" s="2" t="s">
        <v>2001</v>
      </c>
      <c r="K566" s="19" t="str">
        <f>IFERROR(__xludf.DUMMYFUNCTION("IF(ISBLANK(A566),
  """",
  IF(ISNUMBER(A566),
    TEXT(A566,""dd/mm/yyyy""),
    IF(
      REGEXMATCH(TRIM(A566),""^\d{1,2}/\d{1,2}/\d{4}$""),
      TRIM(A566),
      IFERROR(
        TEXT(DATEVALUE(SUBSTITUTE(SUBSTITUTE(TRIM(A566),""-"",""/""),""."",""/"&amp;""")),""dd/mm/yyyy""),
        TRIM(A566)
      )
    )
  )
)
"),"11/01/2024")</f>
        <v>11/01/2024</v>
      </c>
      <c r="L566" s="20">
        <v>45302.0</v>
      </c>
      <c r="M566" s="21" t="str">
        <f>IFERROR(__xludf.DUMMYFUNCTION("PROPER(TRIM(
  REGEXREPLACE(
    REGEXREPLACE(
      SUBSTITUTE(SUBSTITUTE(SUBSTITUTE(SUBSTITUTE(SUBSTITUTE(SUBSTITUTE(SUBSTITUTE(SUBSTITUTE(SUBSTITUTE(SUBSTITUTE(SUBSTITUTE(
        B566,""√©"",""é""),""√°"",""á""),""√±"",""ñ""),""√≥"",""ó""),""√â"",""é"&amp;"""),""√Å"",""á""),""√ç"",""í""),""√Ç"",""Í""),""√Â"",""é""),""√≠"",""í""),""√º"",""ú""),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66" s="22" t="str">
        <f>IFERROR(__xludf.DUMMYFUNCTION("SPLIT(
  TRIM(
    SUBSTITUTE(
      SUBSTITUTE(
        SUBSTITUTE(
          SUBSTITUTE(
            C566,
            ""√©"", ""é""
          ),
          ""√±"", ""ñ""
        ),
        ""√°"", ""á""
      ),
      ""√≥"", ""ó""
    )
  ),
  ""-""
)
"),"Auriculares")</f>
        <v>Auriculares</v>
      </c>
      <c r="O566" s="22" t="str">
        <f>IFERROR(__xludf.DUMMYFUNCTION("""COMPUTED_VALUE"""),"Cancelación de ruido")</f>
        <v>Cancelación de ruido</v>
      </c>
      <c r="P566" s="22" t="str">
        <f>IFERROR(__xludf.DUMMYFUNCTION("""COMPUTED_VALUE"""),"4GB")</f>
        <v>4GB</v>
      </c>
      <c r="Q566" s="23">
        <f t="shared" si="1"/>
        <v>2312.7</v>
      </c>
      <c r="R566" s="22">
        <f t="shared" si="2"/>
        <v>3</v>
      </c>
      <c r="S566" s="23">
        <f t="shared" si="3"/>
        <v>6938.1</v>
      </c>
      <c r="T566" s="22" t="str">
        <f>IFERROR(__xludf.DUMMYFUNCTION("PROPER(TRIM(
  LET(
    texto1, REGEXREPLACE(G566,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"),"Mariana Navarrete")</f>
        <v>Mariana Navarrete</v>
      </c>
      <c r="U566" s="22" t="str">
        <f t="shared" si="4"/>
        <v>1d192c49-58cc-4355-8ae6-4fc5be821369</v>
      </c>
      <c r="V566" s="24" t="str">
        <f t="shared" si="5"/>
        <v>Auriculares Cancelación de ruido 4GB</v>
      </c>
    </row>
    <row r="567" ht="15.75" customHeight="1">
      <c r="A567" s="36">
        <v>45606.0</v>
      </c>
      <c r="B567" s="2" t="s">
        <v>38</v>
      </c>
      <c r="C567" s="2" t="s">
        <v>65</v>
      </c>
      <c r="D567" s="7">
        <v>360.98</v>
      </c>
      <c r="E567" s="2">
        <v>3.0</v>
      </c>
      <c r="F567" s="7">
        <v>1082.94</v>
      </c>
      <c r="G567" s="2" t="s">
        <v>2002</v>
      </c>
      <c r="H567" s="2" t="s">
        <v>2003</v>
      </c>
      <c r="I567" s="2" t="s">
        <v>2004</v>
      </c>
      <c r="K567" s="25" t="str">
        <f>IFERROR(__xludf.DUMMYFUNCTION("IF(ISBLANK(A567),
  """",
  IF(ISNUMBER(A567),
    TEXT(A567,""dd/mm/yyyy""),
    IF(
      REGEXMATCH(TRIM(A567),""^\d{1,2}/\d{1,2}/\d{4}$""),
      TRIM(A567),
      IFERROR(
        TEXT(DATEVALUE(SUBSTITUTE(SUBSTITUTE(TRIM(A567),""-"",""/""),""."",""/"&amp;""")),""dd/mm/yyyy""),
        TRIM(A567)
      )
    )
  )
)
"),"10/11/2024")</f>
        <v>10/11/2024</v>
      </c>
      <c r="L567" s="26">
        <v>45606.0</v>
      </c>
      <c r="M567" s="27" t="str">
        <f>IFERROR(__xludf.DUMMYFUNCTION("PROPER(TRIM(
  REGEXREPLACE(
    REGEXREPLACE(
      SUBSTITUTE(SUBSTITUTE(SUBSTITUTE(SUBSTITUTE(SUBSTITUTE(SUBSTITUTE(SUBSTITUTE(SUBSTITUTE(SUBSTITUTE(SUBSTITUTE(SUBSTITUTE(
        B567,""√©"",""é""),""√°"",""á""),""√±"",""ñ""),""√≥"",""ó""),""√â"",""é"&amp;"""),""√Å"",""á""),""√ç"",""í""),""√Ç"",""Í""),""√Â"",""é""),""√≠"",""í""),""√º"",""ú""),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67" s="28" t="str">
        <f>IFERROR(__xludf.DUMMYFUNCTION("SPLIT(
  TRIM(
    SUBSTITUTE(
      SUBSTITUTE(
        SUBSTITUTE(
          SUBSTITUTE(
            C567,
            ""√©"", ""é""
          ),
          ""√±"", ""ñ""
        ),
        ""√°"", ""á""
      ),
      ""√≥"", ""ó""
    )
  ),
  ""-""
)
"),"Auriculares")</f>
        <v>Auriculares</v>
      </c>
      <c r="O567" s="28" t="str">
        <f>IFERROR(__xludf.DUMMYFUNCTION("""COMPUTED_VALUE"""),"Bluetooth")</f>
        <v>Bluetooth</v>
      </c>
      <c r="P567" s="28" t="str">
        <f>IFERROR(__xludf.DUMMYFUNCTION("""COMPUTED_VALUE"""),"16GB")</f>
        <v>16GB</v>
      </c>
      <c r="Q567" s="29">
        <f t="shared" si="1"/>
        <v>360.98</v>
      </c>
      <c r="R567" s="28">
        <f t="shared" si="2"/>
        <v>3</v>
      </c>
      <c r="S567" s="29">
        <f t="shared" si="3"/>
        <v>1082.94</v>
      </c>
      <c r="T567" s="28" t="str">
        <f>IFERROR(__xludf.DUMMYFUNCTION("PROPER(TRIM(
  LET(
    texto1, REGEXREPLACE(G567,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"),"Victoria Wendolin Terrazas Carvajal")</f>
        <v>Victoria Wendolin Terrazas Carvajal</v>
      </c>
      <c r="U567" s="28" t="str">
        <f t="shared" si="4"/>
        <v>e469cff8-fcc0-4664-b06d-c801efd84779</v>
      </c>
      <c r="V567" s="30" t="str">
        <f t="shared" si="5"/>
        <v>Auriculares Bluetooth 16GB</v>
      </c>
    </row>
    <row r="568" ht="15.75" customHeight="1">
      <c r="A568" s="6">
        <v>45585.0</v>
      </c>
      <c r="B568" s="2" t="s">
        <v>85</v>
      </c>
      <c r="C568" s="2" t="s">
        <v>70</v>
      </c>
      <c r="D568" s="7">
        <v>320.64</v>
      </c>
      <c r="E568" s="2">
        <v>5.0</v>
      </c>
      <c r="F568" s="7">
        <v>1603.2</v>
      </c>
      <c r="G568" s="2" t="s">
        <v>2005</v>
      </c>
      <c r="H568" s="2" t="s">
        <v>2006</v>
      </c>
      <c r="I568" s="2" t="s">
        <v>2007</v>
      </c>
      <c r="K568" s="19" t="str">
        <f>IFERROR(__xludf.DUMMYFUNCTION("IF(ISBLANK(A568),
  """",
  IF(ISNUMBER(A568),
    TEXT(A568,""dd/mm/yyyy""),
    IF(
      REGEXMATCH(TRIM(A568),""^\d{1,2}/\d{1,2}/\d{4}$""),
      TRIM(A568),
      IFERROR(
        TEXT(DATEVALUE(SUBSTITUTE(SUBSTITUTE(TRIM(A568),""-"",""/""),""."",""/"&amp;""")),""dd/mm/yyyy""),
        TRIM(A568)
      )
    )
  )
)
"),"20/10/2024")</f>
        <v>20/10/2024</v>
      </c>
      <c r="L568" s="20">
        <v>45585.0</v>
      </c>
      <c r="M568" s="21" t="str">
        <f>IFERROR(__xludf.DUMMYFUNCTION("PROPER(TRIM(
  REGEXREPLACE(
    REGEXREPLACE(
      SUBSTITUTE(SUBSTITUTE(SUBSTITUTE(SUBSTITUTE(SUBSTITUTE(SUBSTITUTE(SUBSTITUTE(SUBSTITUTE(SUBSTITUTE(SUBSTITUTE(SUBSTITUTE(
        B568,""√©"",""é""),""√°"",""á""),""√±"",""ñ""),""√≥"",""ó""),""√â"",""é"&amp;"""),""√Å"",""á""),""√ç"",""í""),""√Ç"",""Í""),""√Â"",""é""),""√≠"",""í""),""√º"",""ú""),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68" s="22" t="str">
        <f>IFERROR(__xludf.DUMMYFUNCTION("SPLIT(
  TRIM(
    SUBSTITUTE(
      SUBSTITUTE(
        SUBSTITUTE(
          SUBSTITUTE(
            C568,
            ""√©"", ""é""
          ),
          ""√±"", ""ñ""
        ),
        ""√°"", ""á""
      ),
      ""√≥"", ""ó""
    )
  ),
  ""-""
)
"),"Auriculares")</f>
        <v>Auriculares</v>
      </c>
      <c r="O568" s="22" t="str">
        <f>IFERROR(__xludf.DUMMYFUNCTION("""COMPUTED_VALUE"""),"Con cable")</f>
        <v>Con cable</v>
      </c>
      <c r="P568" s="22" t="str">
        <f>IFERROR(__xludf.DUMMYFUNCTION("""COMPUTED_VALUE"""),"16GB")</f>
        <v>16GB</v>
      </c>
      <c r="Q568" s="23">
        <f t="shared" si="1"/>
        <v>320.64</v>
      </c>
      <c r="R568" s="22">
        <f t="shared" si="2"/>
        <v>5</v>
      </c>
      <c r="S568" s="23">
        <f t="shared" si="3"/>
        <v>1603.2</v>
      </c>
      <c r="T568" s="22" t="str">
        <f>IFERROR(__xludf.DUMMYFUNCTION("PROPER(TRIM(
  LET(
    texto1, REGEXREPLACE(G568,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"),"Agustín Esparza")</f>
        <v>Agustín Esparza</v>
      </c>
      <c r="U568" s="22" t="str">
        <f t="shared" si="4"/>
        <v>a8f00c77-f3a2-4ae2-a236-7df93148023d</v>
      </c>
      <c r="V568" s="24" t="str">
        <f t="shared" si="5"/>
        <v>Auriculares Con cable 16GB</v>
      </c>
    </row>
    <row r="569" ht="15.75" customHeight="1">
      <c r="A569" s="6">
        <v>45612.0</v>
      </c>
      <c r="B569" s="2" t="s">
        <v>85</v>
      </c>
      <c r="C569" s="2" t="s">
        <v>45</v>
      </c>
      <c r="D569" s="7">
        <v>1843.37</v>
      </c>
      <c r="E569" s="2">
        <v>3.0</v>
      </c>
      <c r="F569" s="7">
        <v>5530.11</v>
      </c>
      <c r="G569" s="2" t="s">
        <v>2008</v>
      </c>
      <c r="H569" s="2" t="s">
        <v>2009</v>
      </c>
      <c r="I569" s="2" t="s">
        <v>2010</v>
      </c>
      <c r="K569" s="25" t="str">
        <f>IFERROR(__xludf.DUMMYFUNCTION("IF(ISBLANK(A569),
  """",
  IF(ISNUMBER(A569),
    TEXT(A569,""dd/mm/yyyy""),
    IF(
      REGEXMATCH(TRIM(A569),""^\d{1,2}/\d{1,2}/\d{4}$""),
      TRIM(A569),
      IFERROR(
        TEXT(DATEVALUE(SUBSTITUTE(SUBSTITUTE(TRIM(A569),""-"",""/""),""."",""/"&amp;""")),""dd/mm/yyyy""),
        TRIM(A569)
      )
    )
  )
)
"),"16/11/2024")</f>
        <v>16/11/2024</v>
      </c>
      <c r="L569" s="26">
        <v>45612.0</v>
      </c>
      <c r="M569" s="27" t="str">
        <f>IFERROR(__xludf.DUMMYFUNCTION("PROPER(TRIM(
  REGEXREPLACE(
    REGEXREPLACE(
      SUBSTITUTE(SUBSTITUTE(SUBSTITUTE(SUBSTITUTE(SUBSTITUTE(SUBSTITUTE(SUBSTITUTE(SUBSTITUTE(SUBSTITUTE(SUBSTITUTE(SUBSTITUTE(
        B569,""√©"",""é""),""√°"",""á""),""√±"",""ñ""),""√≥"",""ó""),""√â"",""é"&amp;"""),""√Å"",""á""),""√ç"",""í""),""√Ç"",""Í""),""√Â"",""é""),""√≠"",""í""),""√º"",""ú""),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69" s="28" t="str">
        <f>IFERROR(__xludf.DUMMYFUNCTION("SPLIT(
  TRIM(
    SUBSTITUTE(
      SUBSTITUTE(
        SUBSTITUTE(
          SUBSTITUTE(
            C569,
            ""√©"", ""é""
          ),
          ""√±"", ""ñ""
        ),
        ""√°"", ""á""
      ),
      ""√≥"", ""ó""
    )
  ),
  ""-""
)
"),"Tablet")</f>
        <v>Tablet</v>
      </c>
      <c r="O569" s="28" t="str">
        <f>IFERROR(__xludf.DUMMYFUNCTION("""COMPUTED_VALUE"""),"Mini")</f>
        <v>Mini</v>
      </c>
      <c r="P569" s="28" t="str">
        <f>IFERROR(__xludf.DUMMYFUNCTION("""COMPUTED_VALUE"""),"4GB")</f>
        <v>4GB</v>
      </c>
      <c r="Q569" s="29">
        <f t="shared" si="1"/>
        <v>1843.37</v>
      </c>
      <c r="R569" s="28">
        <f t="shared" si="2"/>
        <v>3</v>
      </c>
      <c r="S569" s="29">
        <f t="shared" si="3"/>
        <v>5530.11</v>
      </c>
      <c r="T569" s="28" t="str">
        <f>IFERROR(__xludf.DUMMYFUNCTION("PROPER(TRIM(
  LET(
    texto1, REGEXREPLACE(G569,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Aparicio")</f>
        <v>José Aparicio</v>
      </c>
      <c r="U569" s="28" t="str">
        <f t="shared" si="4"/>
        <v>4185aaab-33a2-4e6e-bebe-5b6cf12100d2</v>
      </c>
      <c r="V569" s="30" t="str">
        <f t="shared" si="5"/>
        <v>Tablet Mini 4GB</v>
      </c>
    </row>
    <row r="570" ht="15.75" customHeight="1">
      <c r="A570" s="37">
        <v>45581.0</v>
      </c>
      <c r="B570" s="2" t="s">
        <v>38</v>
      </c>
      <c r="C570" s="2" t="s">
        <v>80</v>
      </c>
      <c r="D570" s="7">
        <v>833.39</v>
      </c>
      <c r="E570" s="2">
        <v>1.0</v>
      </c>
      <c r="F570" s="7">
        <v>833.39</v>
      </c>
      <c r="G570" s="2" t="s">
        <v>2011</v>
      </c>
      <c r="H570" s="2" t="s">
        <v>2012</v>
      </c>
      <c r="I570" s="2" t="s">
        <v>2013</v>
      </c>
      <c r="K570" s="19" t="str">
        <f>IFERROR(__xludf.DUMMYFUNCTION("IF(ISBLANK(A570),
  """",
  IF(ISNUMBER(A570),
    TEXT(A570,""dd/mm/yyyy""),
    IF(
      REGEXMATCH(TRIM(A570),""^\d{1,2}/\d{1,2}/\d{4}$""),
      TRIM(A570),
      IFERROR(
        TEXT(DATEVALUE(SUBSTITUTE(SUBSTITUTE(TRIM(A570),""-"",""/""),""."",""/"&amp;""")),""dd/mm/yyyy""),
        TRIM(A570)
      )
    )
  )
)
"),"16/10/2024")</f>
        <v>16/10/2024</v>
      </c>
      <c r="L570" s="20">
        <v>45581.0</v>
      </c>
      <c r="M570" s="21" t="str">
        <f>IFERROR(__xludf.DUMMYFUNCTION("PROPER(TRIM(
  REGEXREPLACE(
    REGEXREPLACE(
      SUBSTITUTE(SUBSTITUTE(SUBSTITUTE(SUBSTITUTE(SUBSTITUTE(SUBSTITUTE(SUBSTITUTE(SUBSTITUTE(SUBSTITUTE(SUBSTITUTE(SUBSTITUTE(
        B570,""√©"",""é""),""√°"",""á""),""√±"",""ñ""),""√≥"",""ó""),""√â"",""é"&amp;"""),""√Å"",""á""),""√ç"",""í""),""√Ç"",""Í""),""√Â"",""é""),""√≠"",""í""),""√º"",""ú""),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70" s="22" t="str">
        <f>IFERROR(__xludf.DUMMYFUNCTION("SPLIT(
  TRIM(
    SUBSTITUTE(
      SUBSTITUTE(
        SUBSTITUTE(
          SUBSTITUTE(
            C570,
            ""√©"", ""é""
          ),
          ""√±"", ""ñ""
        ),
        ""√°"", ""á""
      ),
      ""√≥"", ""ó""
    )
  ),
  ""-""
)
"),"Teléfono")</f>
        <v>Teléfono</v>
      </c>
      <c r="O570" s="22" t="str">
        <f>IFERROR(__xludf.DUMMYFUNCTION("""COMPUTED_VALUE"""),"Gama baja")</f>
        <v>Gama baja</v>
      </c>
      <c r="P570" s="22" t="str">
        <f>IFERROR(__xludf.DUMMYFUNCTION("""COMPUTED_VALUE"""),"16GB")</f>
        <v>16GB</v>
      </c>
      <c r="Q570" s="23">
        <f t="shared" si="1"/>
        <v>833.39</v>
      </c>
      <c r="R570" s="22">
        <f t="shared" si="2"/>
        <v>1</v>
      </c>
      <c r="S570" s="23">
        <f t="shared" si="3"/>
        <v>833.39</v>
      </c>
      <c r="T570" s="22" t="str">
        <f>IFERROR(__xludf.DUMMYFUNCTION("PROPER(TRIM(
  LET(
    texto1, REGEXREPLACE(G570,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Villanueva")</f>
        <v>Estela Villanueva</v>
      </c>
      <c r="U570" s="22" t="str">
        <f t="shared" si="4"/>
        <v>8cbf9f9b-f7d4-44ca-9484-0940e88fe51a</v>
      </c>
      <c r="V570" s="24" t="str">
        <f t="shared" si="5"/>
        <v>Teléfono Gama baja 16GB</v>
      </c>
    </row>
    <row r="571" ht="15.75" customHeight="1">
      <c r="A571" s="36">
        <v>45363.0</v>
      </c>
      <c r="B571" s="2" t="s">
        <v>38</v>
      </c>
      <c r="C571" s="2" t="s">
        <v>80</v>
      </c>
      <c r="D571" s="7">
        <v>1321.79</v>
      </c>
      <c r="E571" s="2">
        <v>5.0</v>
      </c>
      <c r="F571" s="7">
        <v>6608.95</v>
      </c>
      <c r="G571" s="2" t="s">
        <v>2014</v>
      </c>
      <c r="H571" s="2" t="s">
        <v>2015</v>
      </c>
      <c r="I571" s="2" t="s">
        <v>2016</v>
      </c>
      <c r="K571" s="25" t="str">
        <f>IFERROR(__xludf.DUMMYFUNCTION("IF(ISBLANK(A571),
  """",
  IF(ISNUMBER(A571),
    TEXT(A571,""dd/mm/yyyy""),
    IF(
      REGEXMATCH(TRIM(A571),""^\d{1,2}/\d{1,2}/\d{4}$""),
      TRIM(A571),
      IFERROR(
        TEXT(DATEVALUE(SUBSTITUTE(SUBSTITUTE(TRIM(A571),""-"",""/""),""."",""/"&amp;""")),""dd/mm/yyyy""),
        TRIM(A571)
      )
    )
  )
)
"),"12/03/2024")</f>
        <v>12/03/2024</v>
      </c>
      <c r="L571" s="26">
        <v>45363.0</v>
      </c>
      <c r="M571" s="27" t="str">
        <f>IFERROR(__xludf.DUMMYFUNCTION("PROPER(TRIM(
  REGEXREPLACE(
    REGEXREPLACE(
      SUBSTITUTE(SUBSTITUTE(SUBSTITUTE(SUBSTITUTE(SUBSTITUTE(SUBSTITUTE(SUBSTITUTE(SUBSTITUTE(SUBSTITUTE(SUBSTITUTE(SUBSTITUTE(
        B571,""√©"",""é""),""√°"",""á""),""√±"",""ñ""),""√≥"",""ó""),""√â"",""é"&amp;"""),""√Å"",""á""),""√ç"",""í""),""√Ç"",""Í""),""√Â"",""é""),""√≠"",""í""),""√º"",""ú""),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71" s="28" t="str">
        <f>IFERROR(__xludf.DUMMYFUNCTION("SPLIT(
  TRIM(
    SUBSTITUTE(
      SUBSTITUTE(
        SUBSTITUTE(
          SUBSTITUTE(
            C571,
            ""√©"", ""é""
          ),
          ""√±"", ""ñ""
        ),
        ""√°"", ""á""
      ),
      ""√≥"", ""ó""
    )
  ),
  ""-""
)
"),"Teléfono")</f>
        <v>Teléfono</v>
      </c>
      <c r="O571" s="28" t="str">
        <f>IFERROR(__xludf.DUMMYFUNCTION("""COMPUTED_VALUE"""),"Gama baja")</f>
        <v>Gama baja</v>
      </c>
      <c r="P571" s="28" t="str">
        <f>IFERROR(__xludf.DUMMYFUNCTION("""COMPUTED_VALUE"""),"16GB")</f>
        <v>16GB</v>
      </c>
      <c r="Q571" s="29">
        <f t="shared" si="1"/>
        <v>1321.79</v>
      </c>
      <c r="R571" s="28">
        <f t="shared" si="2"/>
        <v>5</v>
      </c>
      <c r="S571" s="29">
        <f t="shared" si="3"/>
        <v>6608.95</v>
      </c>
      <c r="T571" s="28" t="str">
        <f>IFERROR(__xludf.DUMMYFUNCTION("PROPER(TRIM(
  LET(
    texto1, REGEXREPLACE(G571,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"),"Guillermina Pedroza")</f>
        <v>Guillermina Pedroza</v>
      </c>
      <c r="U571" s="28" t="str">
        <f t="shared" si="4"/>
        <v>b1c04b5c-3ca0-4299-a95b-4cc9fd47e5c3</v>
      </c>
      <c r="V571" s="30" t="str">
        <f t="shared" si="5"/>
        <v>Teléfono Gama baja 16GB</v>
      </c>
    </row>
    <row r="572" ht="15.75" customHeight="1">
      <c r="A572" s="36">
        <v>45302.0</v>
      </c>
      <c r="B572" s="2" t="s">
        <v>38</v>
      </c>
      <c r="C572" s="2" t="s">
        <v>147</v>
      </c>
      <c r="D572" s="7">
        <v>1286.13</v>
      </c>
      <c r="E572" s="2">
        <v>4.0</v>
      </c>
      <c r="F572" s="7">
        <v>5144.52</v>
      </c>
      <c r="G572" s="2" t="s">
        <v>2017</v>
      </c>
      <c r="H572" s="2" t="s">
        <v>2018</v>
      </c>
      <c r="I572" s="2" t="s">
        <v>2019</v>
      </c>
      <c r="K572" s="19" t="str">
        <f>IFERROR(__xludf.DUMMYFUNCTION("IF(ISBLANK(A572),
  """",
  IF(ISNUMBER(A572),
    TEXT(A572,""dd/mm/yyyy""),
    IF(
      REGEXMATCH(TRIM(A572),""^\d{1,2}/\d{1,2}/\d{4}$""),
      TRIM(A572),
      IFERROR(
        TEXT(DATEVALUE(SUBSTITUTE(SUBSTITUTE(TRIM(A572),""-"",""/""),""."",""/"&amp;""")),""dd/mm/yyyy""),
        TRIM(A572)
      )
    )
  )
)
"),"11/01/2024")</f>
        <v>11/01/2024</v>
      </c>
      <c r="L572" s="20">
        <v>45302.0</v>
      </c>
      <c r="M572" s="21" t="str">
        <f>IFERROR(__xludf.DUMMYFUNCTION("PROPER(TRIM(
  REGEXREPLACE(
    REGEXREPLACE(
      SUBSTITUTE(SUBSTITUTE(SUBSTITUTE(SUBSTITUTE(SUBSTITUTE(SUBSTITUTE(SUBSTITUTE(SUBSTITUTE(SUBSTITUTE(SUBSTITUTE(SUBSTITUTE(
        B572,""√©"",""é""),""√°"",""á""),""√±"",""ñ""),""√≥"",""ó""),""√â"",""é"&amp;"""),""√Å"",""á""),""√ç"",""í""),""√Ç"",""Í""),""√Â"",""é""),""√≠"",""í""),""√º"",""ú""),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72" s="22" t="str">
        <f>IFERROR(__xludf.DUMMYFUNCTION("SPLIT(
  TRIM(
    SUBSTITUTE(
      SUBSTITUTE(
        SUBSTITUTE(
          SUBSTITUTE(
            C572,
            ""√©"", ""é""
          ),
          ""√±"", ""ñ""
        ),
        ""√°"", ""á""
      ),
      ""√≥"", ""ó""
    )
  ),
  ""-""
)
"),"Laptop")</f>
        <v>Laptop</v>
      </c>
      <c r="O572" s="22" t="str">
        <f>IFERROR(__xludf.DUMMYFUNCTION("""COMPUTED_VALUE"""),"Oficina")</f>
        <v>Oficina</v>
      </c>
      <c r="P572" s="22" t="str">
        <f>IFERROR(__xludf.DUMMYFUNCTION("""COMPUTED_VALUE"""),"16GB")</f>
        <v>16GB</v>
      </c>
      <c r="Q572" s="23">
        <f t="shared" si="1"/>
        <v>1286.13</v>
      </c>
      <c r="R572" s="22">
        <f t="shared" si="2"/>
        <v>4</v>
      </c>
      <c r="S572" s="23">
        <f t="shared" si="3"/>
        <v>5144.52</v>
      </c>
      <c r="T572" s="22" t="str">
        <f>IFERROR(__xludf.DUMMYFUNCTION("PROPER(TRIM(
  LET(
    texto1, REGEXREPLACE(G572,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"),"Israel Anabel Merino")</f>
        <v>Israel Anabel Merino</v>
      </c>
      <c r="U572" s="22" t="str">
        <f t="shared" si="4"/>
        <v>55a12788-e321-4656-adc6-1c4b1c4fb82d</v>
      </c>
      <c r="V572" s="24" t="str">
        <f t="shared" si="5"/>
        <v>Laptop Oficina 16GB</v>
      </c>
    </row>
    <row r="573" ht="15.75" customHeight="1">
      <c r="A573" s="36">
        <v>45606.0</v>
      </c>
      <c r="B573" s="2" t="s">
        <v>101</v>
      </c>
      <c r="C573" s="2" t="s">
        <v>360</v>
      </c>
      <c r="D573" s="7">
        <v>1447.41</v>
      </c>
      <c r="E573" s="2">
        <v>4.0</v>
      </c>
      <c r="F573" s="7">
        <v>5789.64</v>
      </c>
      <c r="G573" s="2" t="s">
        <v>2020</v>
      </c>
      <c r="H573" s="2" t="s">
        <v>2021</v>
      </c>
      <c r="I573" s="2" t="s">
        <v>2022</v>
      </c>
      <c r="K573" s="25" t="str">
        <f>IFERROR(__xludf.DUMMYFUNCTION("IF(ISBLANK(A573),
  """",
  IF(ISNUMBER(A573),
    TEXT(A573,""dd/mm/yyyy""),
    IF(
      REGEXMATCH(TRIM(A573),""^\d{1,2}/\d{1,2}/\d{4}$""),
      TRIM(A573),
      IFERROR(
        TEXT(DATEVALUE(SUBSTITUTE(SUBSTITUTE(TRIM(A573),""-"",""/""),""."",""/"&amp;""")),""dd/mm/yyyy""),
        TRIM(A573)
      )
    )
  )
)
"),"10/11/2024")</f>
        <v>10/11/2024</v>
      </c>
      <c r="L573" s="26">
        <v>45606.0</v>
      </c>
      <c r="M573" s="27" t="str">
        <f>IFERROR(__xludf.DUMMYFUNCTION("PROPER(TRIM(
  REGEXREPLACE(
    REGEXREPLACE(
      SUBSTITUTE(SUBSTITUTE(SUBSTITUTE(SUBSTITUTE(SUBSTITUTE(SUBSTITUTE(SUBSTITUTE(SUBSTITUTE(SUBSTITUTE(SUBSTITUTE(SUBSTITUTE(
        B573,""√©"",""é""),""√°"",""á""),""√±"",""ñ""),""√≥"",""ó""),""√â"",""é"&amp;"""),""√Å"",""á""),""√ç"",""í""),""√Ç"",""Í""),""√Â"",""é""),""√≠"",""í""),""√º"",""ú""),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73" s="28" t="str">
        <f>IFERROR(__xludf.DUMMYFUNCTION("SPLIT(
  TRIM(
    SUBSTITUTE(
      SUBSTITUTE(
        SUBSTITUTE(
          SUBSTITUTE(
            C573,
            ""√©"", ""é""
          ),
          ""√±"", ""ñ""
        ),
        ""√°"", ""á""
      ),
      ""√≥"", ""ó""
    )
  ),
  ""-""
)
"),"Tablet")</f>
        <v>Tablet</v>
      </c>
      <c r="O573" s="28" t="str">
        <f>IFERROR(__xludf.DUMMYFUNCTION("""COMPUTED_VALUE"""),"Estándar")</f>
        <v>Estándar</v>
      </c>
      <c r="P573" s="28" t="str">
        <f>IFERROR(__xludf.DUMMYFUNCTION("""COMPUTED_VALUE"""),"8GB")</f>
        <v>8GB</v>
      </c>
      <c r="Q573" s="29">
        <f t="shared" si="1"/>
        <v>1447.41</v>
      </c>
      <c r="R573" s="28">
        <f t="shared" si="2"/>
        <v>4</v>
      </c>
      <c r="S573" s="29">
        <f t="shared" si="3"/>
        <v>5789.64</v>
      </c>
      <c r="T573" s="28" t="str">
        <f>IFERROR(__xludf.DUMMYFUNCTION("PROPER(TRIM(
  LET(
    texto1, REGEXREPLACE(G573,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"),"Emiliano Estévez")</f>
        <v>Emiliano Estévez</v>
      </c>
      <c r="U573" s="28" t="str">
        <f t="shared" si="4"/>
        <v>d06b5f3f-acab-4f8e-bf1a-8c1dfe18228e</v>
      </c>
      <c r="V573" s="30" t="str">
        <f t="shared" si="5"/>
        <v>Tablet Estándar 8GB</v>
      </c>
    </row>
    <row r="574" ht="15.75" customHeight="1">
      <c r="A574" s="36">
        <v>45423.0</v>
      </c>
      <c r="B574" s="2" t="s">
        <v>85</v>
      </c>
      <c r="C574" s="2" t="s">
        <v>807</v>
      </c>
      <c r="D574" s="7">
        <v>1456.11</v>
      </c>
      <c r="E574" s="2">
        <v>5.0</v>
      </c>
      <c r="F574" s="7">
        <v>7280.55</v>
      </c>
      <c r="G574" s="2" t="s">
        <v>2023</v>
      </c>
      <c r="H574" s="2" t="s">
        <v>2024</v>
      </c>
      <c r="I574" s="2" t="s">
        <v>2025</v>
      </c>
      <c r="K574" s="19" t="str">
        <f>IFERROR(__xludf.DUMMYFUNCTION("IF(ISBLANK(A574),
  """",
  IF(ISNUMBER(A574),
    TEXT(A574,""dd/mm/yyyy""),
    IF(
      REGEXMATCH(TRIM(A574),""^\d{1,2}/\d{1,2}/\d{4}$""),
      TRIM(A574),
      IFERROR(
        TEXT(DATEVALUE(SUBSTITUTE(SUBSTITUTE(TRIM(A574),""-"",""/""),""."",""/"&amp;""")),""dd/mm/yyyy""),
        TRIM(A574)
      )
    )
  )
)
"),"11/05/2024")</f>
        <v>11/05/2024</v>
      </c>
      <c r="L574" s="20">
        <v>45423.0</v>
      </c>
      <c r="M574" s="21" t="str">
        <f>IFERROR(__xludf.DUMMYFUNCTION("PROPER(TRIM(
  REGEXREPLACE(
    REGEXREPLACE(
      SUBSTITUTE(SUBSTITUTE(SUBSTITUTE(SUBSTITUTE(SUBSTITUTE(SUBSTITUTE(SUBSTITUTE(SUBSTITUTE(SUBSTITUTE(SUBSTITUTE(SUBSTITUTE(
        B574,""√©"",""é""),""√°"",""á""),""√±"",""ñ""),""√≥"",""ó""),""√â"",""é"&amp;"""),""√Å"",""á""),""√ç"",""í""),""√Ç"",""Í""),""√Â"",""é""),""√≠"",""í""),""√º"",""ú""),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74" s="22" t="str">
        <f>IFERROR(__xludf.DUMMYFUNCTION("SPLIT(
  TRIM(
    SUBSTITUTE(
      SUBSTITUTE(
        SUBSTITUTE(
          SUBSTITUTE(
            C574,
            ""√©"", ""é""
          ),
          ""√±"", ""ñ""
        ),
        ""√°"", ""á""
      ),
      ""√≥"", ""ó""
    )
  ),
  ""-""
)
"),"Auriculares")</f>
        <v>Auriculares</v>
      </c>
      <c r="O574" s="22" t="str">
        <f>IFERROR(__xludf.DUMMYFUNCTION("""COMPUTED_VALUE"""),"Con cable")</f>
        <v>Con cable</v>
      </c>
      <c r="P574" s="22" t="str">
        <f>IFERROR(__xludf.DUMMYFUNCTION("""COMPUTED_VALUE"""),"4GB")</f>
        <v>4GB</v>
      </c>
      <c r="Q574" s="23">
        <f t="shared" si="1"/>
        <v>1456.11</v>
      </c>
      <c r="R574" s="22">
        <f t="shared" si="2"/>
        <v>5</v>
      </c>
      <c r="S574" s="23">
        <f t="shared" si="3"/>
        <v>7280.55</v>
      </c>
      <c r="T574" s="22" t="str">
        <f>IFERROR(__xludf.DUMMYFUNCTION("PROPER(TRIM(
  LET(
    texto1, REGEXREPLACE(G574,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María Vergara")</f>
        <v>José María Vergara</v>
      </c>
      <c r="U574" s="22" t="str">
        <f t="shared" si="4"/>
        <v>c069967b-0651-485e-806a-1c2453c8e423</v>
      </c>
      <c r="V574" s="24" t="str">
        <f t="shared" si="5"/>
        <v>Auriculares Con cable 4GB</v>
      </c>
    </row>
    <row r="575" ht="15.75" customHeight="1">
      <c r="A575" s="36">
        <v>45545.0</v>
      </c>
      <c r="B575" s="2" t="s">
        <v>50</v>
      </c>
      <c r="C575" s="2" t="s">
        <v>96</v>
      </c>
      <c r="D575" s="7">
        <v>1286.15</v>
      </c>
      <c r="E575" s="2">
        <v>2.0</v>
      </c>
      <c r="F575" s="7">
        <v>2572.3</v>
      </c>
      <c r="G575" s="2" t="s">
        <v>2026</v>
      </c>
      <c r="H575" s="2" t="s">
        <v>2027</v>
      </c>
      <c r="I575" s="2" t="s">
        <v>2028</v>
      </c>
      <c r="K575" s="25" t="str">
        <f>IFERROR(__xludf.DUMMYFUNCTION("IF(ISBLANK(A575),
  """",
  IF(ISNUMBER(A575),
    TEXT(A575,""dd/mm/yyyy""),
    IF(
      REGEXMATCH(TRIM(A575),""^\d{1,2}/\d{1,2}/\d{4}$""),
      TRIM(A575),
      IFERROR(
        TEXT(DATEVALUE(SUBSTITUTE(SUBSTITUTE(TRIM(A575),""-"",""/""),""."",""/"&amp;""")),""dd/mm/yyyy""),
        TRIM(A575)
      )
    )
  )
)
"),"10/09/2024")</f>
        <v>10/09/2024</v>
      </c>
      <c r="L575" s="26">
        <v>45545.0</v>
      </c>
      <c r="M575" s="27" t="str">
        <f>IFERROR(__xludf.DUMMYFUNCTION("PROPER(TRIM(
  REGEXREPLACE(
    REGEXREPLACE(
      SUBSTITUTE(SUBSTITUTE(SUBSTITUTE(SUBSTITUTE(SUBSTITUTE(SUBSTITUTE(SUBSTITUTE(SUBSTITUTE(SUBSTITUTE(SUBSTITUTE(SUBSTITUTE(
        B575,""√©"",""é""),""√°"",""á""),""√±"",""ñ""),""√≥"",""ó""),""√â"",""é"&amp;"""),""√Å"",""á""),""√ç"",""í""),""√Ç"",""Í""),""√Â"",""é""),""√≠"",""í""),""√º"",""ú""),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75" s="28" t="str">
        <f>IFERROR(__xludf.DUMMYFUNCTION("SPLIT(
  TRIM(
    SUBSTITUTE(
      SUBSTITUTE(
        SUBSTITUTE(
          SUBSTITUTE(
            C575,
            ""√©"", ""é""
          ),
          ""√±"", ""ñ""
        ),
        ""√°"", ""á""
      ),
      ""√≥"", ""ó""
    )
  ),
  ""-""
)
"),"Auriculares")</f>
        <v>Auriculares</v>
      </c>
      <c r="O575" s="28" t="str">
        <f>IFERROR(__xludf.DUMMYFUNCTION("""COMPUTED_VALUE"""),"Cancelación de ruido")</f>
        <v>Cancelación de ruido</v>
      </c>
      <c r="P575" s="28" t="str">
        <f>IFERROR(__xludf.DUMMYFUNCTION("""COMPUTED_VALUE"""),"4GB")</f>
        <v>4GB</v>
      </c>
      <c r="Q575" s="29">
        <f t="shared" si="1"/>
        <v>1286.15</v>
      </c>
      <c r="R575" s="28">
        <f t="shared" si="2"/>
        <v>2</v>
      </c>
      <c r="S575" s="29">
        <f t="shared" si="3"/>
        <v>2572.3</v>
      </c>
      <c r="T575" s="28" t="str">
        <f>IFERROR(__xludf.DUMMYFUNCTION("PROPER(TRIM(
  LET(
    texto1, REGEXREPLACE(G575,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"),"Itzel Saiz Santiago")</f>
        <v>Itzel Saiz Santiago</v>
      </c>
      <c r="U575" s="28" t="str">
        <f t="shared" si="4"/>
        <v>d1786d96-57f5-4220-90b3-218a529c8cc6</v>
      </c>
      <c r="V575" s="30" t="str">
        <f t="shared" si="5"/>
        <v>Auriculares Cancelación de ruido 4GB</v>
      </c>
    </row>
    <row r="576" ht="15.75" customHeight="1">
      <c r="A576" s="36">
        <v>45423.0</v>
      </c>
      <c r="B576" s="2" t="s">
        <v>38</v>
      </c>
      <c r="C576" s="2" t="s">
        <v>121</v>
      </c>
      <c r="D576" s="7">
        <v>2483.87</v>
      </c>
      <c r="E576" s="2">
        <v>5.0</v>
      </c>
      <c r="F576" s="7">
        <v>12419.35</v>
      </c>
      <c r="G576" s="2" t="s">
        <v>2029</v>
      </c>
      <c r="H576" s="2" t="s">
        <v>2030</v>
      </c>
      <c r="I576" s="2" t="s">
        <v>2031</v>
      </c>
      <c r="K576" s="19" t="str">
        <f>IFERROR(__xludf.DUMMYFUNCTION("IF(ISBLANK(A576),
  """",
  IF(ISNUMBER(A576),
    TEXT(A576,""dd/mm/yyyy""),
    IF(
      REGEXMATCH(TRIM(A576),""^\d{1,2}/\d{1,2}/\d{4}$""),
      TRIM(A576),
      IFERROR(
        TEXT(DATEVALUE(SUBSTITUTE(SUBSTITUTE(TRIM(A576),""-"",""/""),""."",""/"&amp;""")),""dd/mm/yyyy""),
        TRIM(A576)
      )
    )
  )
)
"),"11/05/2024")</f>
        <v>11/05/2024</v>
      </c>
      <c r="L576" s="20">
        <v>45423.0</v>
      </c>
      <c r="M576" s="21" t="str">
        <f>IFERROR(__xludf.DUMMYFUNCTION("PROPER(TRIM(
  REGEXREPLACE(
    REGEXREPLACE(
      SUBSTITUTE(SUBSTITUTE(SUBSTITUTE(SUBSTITUTE(SUBSTITUTE(SUBSTITUTE(SUBSTITUTE(SUBSTITUTE(SUBSTITUTE(SUBSTITUTE(SUBSTITUTE(
        B576,""√©"",""é""),""√°"",""á""),""√±"",""ñ""),""√≥"",""ó""),""√â"",""é"&amp;"""),""√Å"",""á""),""√ç"",""í""),""√Ç"",""Í""),""√Â"",""é""),""√≠"",""í""),""√º"",""ú""),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76" s="22" t="str">
        <f>IFERROR(__xludf.DUMMYFUNCTION("SPLIT(
  TRIM(
    SUBSTITUTE(
      SUBSTITUTE(
        SUBSTITUTE(
          SUBSTITUTE(
            C576,
            ""√©"", ""é""
          ),
          ""√±"", ""ñ""
        ),
        ""√°"", ""á""
      ),
      ""√≥"", ""ó""
    )
  ),
  ""-""
)
"),"Teléfono")</f>
        <v>Teléfono</v>
      </c>
      <c r="O576" s="22" t="str">
        <f>IFERROR(__xludf.DUMMYFUNCTION("""COMPUTED_VALUE"""),"Gama baja")</f>
        <v>Gama baja</v>
      </c>
      <c r="P576" s="22" t="str">
        <f>IFERROR(__xludf.DUMMYFUNCTION("""COMPUTED_VALUE"""),"8GB")</f>
        <v>8GB</v>
      </c>
      <c r="Q576" s="23">
        <f t="shared" si="1"/>
        <v>2483.87</v>
      </c>
      <c r="R576" s="22">
        <f t="shared" si="2"/>
        <v>5</v>
      </c>
      <c r="S576" s="23">
        <f t="shared" si="3"/>
        <v>12419.35</v>
      </c>
      <c r="T576" s="22" t="str">
        <f>IFERROR(__xludf.DUMMYFUNCTION("PROPER(TRIM(
  LET(
    texto1, REGEXREPLACE(G576,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"),"Guadalupe Juan Armas Montes")</f>
        <v>Guadalupe Juan Armas Montes</v>
      </c>
      <c r="U576" s="22" t="str">
        <f t="shared" si="4"/>
        <v>3db9364c-36cf-4bf0-94b1-afc28a4e7da5</v>
      </c>
      <c r="V576" s="24" t="str">
        <f t="shared" si="5"/>
        <v>Teléfono Gama baja 8GB</v>
      </c>
    </row>
    <row r="577" ht="15.75" customHeight="1">
      <c r="A577" s="6">
        <v>45581.0</v>
      </c>
      <c r="B577" s="2" t="s">
        <v>16</v>
      </c>
      <c r="C577" s="2" t="s">
        <v>116</v>
      </c>
      <c r="D577" s="32"/>
      <c r="E577" s="2">
        <v>5.0</v>
      </c>
      <c r="F577" s="7">
        <v>11708.85</v>
      </c>
      <c r="G577" s="2" t="s">
        <v>2032</v>
      </c>
      <c r="H577" s="2" t="s">
        <v>2033</v>
      </c>
      <c r="I577" s="2" t="s">
        <v>2034</v>
      </c>
      <c r="K577" s="25" t="str">
        <f>IFERROR(__xludf.DUMMYFUNCTION("IF(ISBLANK(A577),
  """",
  IF(ISNUMBER(A577),
    TEXT(A577,""dd/mm/yyyy""),
    IF(
      REGEXMATCH(TRIM(A577),""^\d{1,2}/\d{1,2}/\d{4}$""),
      TRIM(A577),
      IFERROR(
        TEXT(DATEVALUE(SUBSTITUTE(SUBSTITUTE(TRIM(A577),""-"",""/""),""."",""/"&amp;""")),""dd/mm/yyyy""),
        TRIM(A577)
      )
    )
  )
)
"),"16/10/2024")</f>
        <v>16/10/2024</v>
      </c>
      <c r="L577" s="26">
        <v>45581.0</v>
      </c>
      <c r="M577" s="27" t="str">
        <f>IFERROR(__xludf.DUMMYFUNCTION("PROPER(TRIM(
  REGEXREPLACE(
    REGEXREPLACE(
      SUBSTITUTE(SUBSTITUTE(SUBSTITUTE(SUBSTITUTE(SUBSTITUTE(SUBSTITUTE(SUBSTITUTE(SUBSTITUTE(SUBSTITUTE(SUBSTITUTE(SUBSTITUTE(
        B577,""√©"",""é""),""√°"",""á""),""√±"",""ñ""),""√≥"",""ó""),""√â"",""é"&amp;"""),""√Å"",""á""),""√ç"",""í""),""√Ç"",""Í""),""√Â"",""é""),""√≠"",""í""),""√º"",""ú""),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77" s="28" t="str">
        <f>IFERROR(__xludf.DUMMYFUNCTION("SPLIT(
  TRIM(
    SUBSTITUTE(
      SUBSTITUTE(
        SUBSTITUTE(
          SUBSTITUTE(
            C577,
            ""√©"", ""é""
          ),
          ""√±"", ""ñ""
        ),
        ""√°"", ""á""
      ),
      ""√≥"", ""ó""
    )
  ),
  ""-""
)
"),"Teléfono")</f>
        <v>Teléfono</v>
      </c>
      <c r="O577" s="28" t="str">
        <f>IFERROR(__xludf.DUMMYFUNCTION("""COMPUTED_VALUE"""),"Gama media")</f>
        <v>Gama media</v>
      </c>
      <c r="P577" s="28" t="str">
        <f>IFERROR(__xludf.DUMMYFUNCTION("""COMPUTED_VALUE"""),"4GB")</f>
        <v>4GB</v>
      </c>
      <c r="Q577" s="34" t="str">
        <f t="shared" si="1"/>
        <v>0</v>
      </c>
      <c r="R577" s="28">
        <f t="shared" si="2"/>
        <v>5</v>
      </c>
      <c r="S577" s="29">
        <f t="shared" si="3"/>
        <v>11708.85</v>
      </c>
      <c r="T577" s="28" t="str">
        <f>IFERROR(__xludf.DUMMYFUNCTION("PROPER(TRIM(
  LET(
    texto1, REGEXREPLACE(G577,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"),"Enrique Crespo Alvarez")</f>
        <v>Enrique Crespo Alvarez</v>
      </c>
      <c r="U577" s="28" t="str">
        <f t="shared" si="4"/>
        <v>6321df0f-9103-4ad4-8571-120df4dd675b</v>
      </c>
      <c r="V577" s="30" t="str">
        <f t="shared" si="5"/>
        <v>Teléfono Gama media 4GB</v>
      </c>
    </row>
    <row r="578" ht="15.75" customHeight="1">
      <c r="A578" s="6">
        <v>45589.0</v>
      </c>
      <c r="B578" s="2" t="s">
        <v>50</v>
      </c>
      <c r="C578" s="2" t="s">
        <v>235</v>
      </c>
      <c r="D578" s="7">
        <v>2499.77</v>
      </c>
      <c r="E578" s="2">
        <v>3.0</v>
      </c>
      <c r="F578" s="7">
        <v>7499.31</v>
      </c>
      <c r="G578" s="2" t="s">
        <v>2035</v>
      </c>
      <c r="H578" s="2" t="s">
        <v>2036</v>
      </c>
      <c r="I578" s="2" t="s">
        <v>2037</v>
      </c>
      <c r="K578" s="19" t="str">
        <f>IFERROR(__xludf.DUMMYFUNCTION("IF(ISBLANK(A578),
  """",
  IF(ISNUMBER(A578),
    TEXT(A578,""dd/mm/yyyy""),
    IF(
      REGEXMATCH(TRIM(A578),""^\d{1,2}/\d{1,2}/\d{4}$""),
      TRIM(A578),
      IFERROR(
        TEXT(DATEVALUE(SUBSTITUTE(SUBSTITUTE(TRIM(A578),""-"",""/""),""."",""/"&amp;""")),""dd/mm/yyyy""),
        TRIM(A578)
      )
    )
  )
)
"),"24/10/2024")</f>
        <v>24/10/2024</v>
      </c>
      <c r="L578" s="20">
        <v>45589.0</v>
      </c>
      <c r="M578" s="21" t="str">
        <f>IFERROR(__xludf.DUMMYFUNCTION("PROPER(TRIM(
  REGEXREPLACE(
    REGEXREPLACE(
      SUBSTITUTE(SUBSTITUTE(SUBSTITUTE(SUBSTITUTE(SUBSTITUTE(SUBSTITUTE(SUBSTITUTE(SUBSTITUTE(SUBSTITUTE(SUBSTITUTE(SUBSTITUTE(
        B578,""√©"",""é""),""√°"",""á""),""√±"",""ñ""),""√≥"",""ó""),""√â"",""é"&amp;"""),""√Å"",""á""),""√ç"",""í""),""√Ç"",""Í""),""√Â"",""é""),""√≠"",""í""),""√º"",""ú""),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78" s="22" t="str">
        <f>IFERROR(__xludf.DUMMYFUNCTION("SPLIT(
  TRIM(
    SUBSTITUTE(
      SUBSTITUTE(
        SUBSTITUTE(
          SUBSTITUTE(
            C578,
            ""√©"", ""é""
          ),
          ""√±"", ""ñ""
        ),
        ""√°"", ""á""
      ),
      ""√≥"", ""ó""
    )
  ),
  ""-""
)
"),"Tablet")</f>
        <v>Tablet</v>
      </c>
      <c r="O578" s="22" t="str">
        <f>IFERROR(__xludf.DUMMYFUNCTION("""COMPUTED_VALUE"""),"Estándar")</f>
        <v>Estándar</v>
      </c>
      <c r="P578" s="22" t="str">
        <f>IFERROR(__xludf.DUMMYFUNCTION("""COMPUTED_VALUE"""),"4GB")</f>
        <v>4GB</v>
      </c>
      <c r="Q578" s="23">
        <f t="shared" si="1"/>
        <v>2499.77</v>
      </c>
      <c r="R578" s="22">
        <f t="shared" si="2"/>
        <v>3</v>
      </c>
      <c r="S578" s="23">
        <f t="shared" si="3"/>
        <v>7499.31</v>
      </c>
      <c r="T578" s="22" t="str">
        <f>IFERROR(__xludf.DUMMYFUNCTION("PROPER(TRIM(
  LET(
    texto1, REGEXREPLACE(G578,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Cristina Rebeca Quiñones Dávila")</f>
        <v>María Cristina Rebeca Quiñones Dávila</v>
      </c>
      <c r="U578" s="22" t="str">
        <f t="shared" si="4"/>
        <v>a2820ce9-6172-4e14-acb4-dbc156430397</v>
      </c>
      <c r="V578" s="24" t="str">
        <f t="shared" si="5"/>
        <v>Tablet Estándar 4GB</v>
      </c>
    </row>
    <row r="579" ht="15.75" customHeight="1">
      <c r="A579" s="36">
        <v>45636.0</v>
      </c>
      <c r="B579" s="2" t="s">
        <v>38</v>
      </c>
      <c r="C579" s="2" t="s">
        <v>121</v>
      </c>
      <c r="D579" s="7">
        <v>1284.54</v>
      </c>
      <c r="E579" s="2">
        <v>3.0</v>
      </c>
      <c r="F579" s="7">
        <v>3853.62</v>
      </c>
      <c r="G579" s="2" t="s">
        <v>2038</v>
      </c>
      <c r="H579" s="2" t="s">
        <v>2039</v>
      </c>
      <c r="I579" s="2" t="s">
        <v>2040</v>
      </c>
      <c r="K579" s="25" t="str">
        <f>IFERROR(__xludf.DUMMYFUNCTION("IF(ISBLANK(A579),
  """",
  IF(ISNUMBER(A579),
    TEXT(A579,""dd/mm/yyyy""),
    IF(
      REGEXMATCH(TRIM(A579),""^\d{1,2}/\d{1,2}/\d{4}$""),
      TRIM(A579),
      IFERROR(
        TEXT(DATEVALUE(SUBSTITUTE(SUBSTITUTE(TRIM(A579),""-"",""/""),""."",""/"&amp;""")),""dd/mm/yyyy""),
        TRIM(A579)
      )
    )
  )
)
"),"10/12/2024")</f>
        <v>10/12/2024</v>
      </c>
      <c r="L579" s="26">
        <v>45636.0</v>
      </c>
      <c r="M579" s="27" t="str">
        <f>IFERROR(__xludf.DUMMYFUNCTION("PROPER(TRIM(
  REGEXREPLACE(
    REGEXREPLACE(
      SUBSTITUTE(SUBSTITUTE(SUBSTITUTE(SUBSTITUTE(SUBSTITUTE(SUBSTITUTE(SUBSTITUTE(SUBSTITUTE(SUBSTITUTE(SUBSTITUTE(SUBSTITUTE(
        B579,""√©"",""é""),""√°"",""á""),""√±"",""ñ""),""√≥"",""ó""),""√â"",""é"&amp;"""),""√Å"",""á""),""√ç"",""í""),""√Ç"",""Í""),""√Â"",""é""),""√≠"",""í""),""√º"",""ú""),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79" s="28" t="str">
        <f>IFERROR(__xludf.DUMMYFUNCTION("SPLIT(
  TRIM(
    SUBSTITUTE(
      SUBSTITUTE(
        SUBSTITUTE(
          SUBSTITUTE(
            C579,
            ""√©"", ""é""
          ),
          ""√±"", ""ñ""
        ),
        ""√°"", ""á""
      ),
      ""√≥"", ""ó""
    )
  ),
  ""-""
)
"),"Teléfono")</f>
        <v>Teléfono</v>
      </c>
      <c r="O579" s="28" t="str">
        <f>IFERROR(__xludf.DUMMYFUNCTION("""COMPUTED_VALUE"""),"Gama baja")</f>
        <v>Gama baja</v>
      </c>
      <c r="P579" s="28" t="str">
        <f>IFERROR(__xludf.DUMMYFUNCTION("""COMPUTED_VALUE"""),"8GB")</f>
        <v>8GB</v>
      </c>
      <c r="Q579" s="29">
        <f t="shared" si="1"/>
        <v>1284.54</v>
      </c>
      <c r="R579" s="28">
        <f t="shared" si="2"/>
        <v>3</v>
      </c>
      <c r="S579" s="29">
        <f t="shared" si="3"/>
        <v>3853.62</v>
      </c>
      <c r="T579" s="28" t="str">
        <f>IFERROR(__xludf.DUMMYFUNCTION("PROPER(TRIM(
  LET(
    texto1, REGEXREPLACE(G579,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"),"Adán Ana Ornelas Samaniego")</f>
        <v>Adán Ana Ornelas Samaniego</v>
      </c>
      <c r="U579" s="28" t="str">
        <f t="shared" si="4"/>
        <v>d6516497-6c06-4709-8da9-2fbc709d5c67</v>
      </c>
      <c r="V579" s="30" t="str">
        <f t="shared" si="5"/>
        <v>Teléfono Gama baja 8GB</v>
      </c>
    </row>
    <row r="580" ht="15.75" customHeight="1">
      <c r="A580" s="36">
        <v>45576.0</v>
      </c>
      <c r="B580" s="2" t="s">
        <v>27</v>
      </c>
      <c r="C580" s="2" t="s">
        <v>348</v>
      </c>
      <c r="D580" s="7">
        <v>218.17</v>
      </c>
      <c r="E580" s="2">
        <v>4.0</v>
      </c>
      <c r="F580" s="7">
        <v>872.68</v>
      </c>
      <c r="G580" s="2" t="s">
        <v>2041</v>
      </c>
      <c r="H580" s="2" t="s">
        <v>2042</v>
      </c>
      <c r="I580" s="2" t="s">
        <v>2043</v>
      </c>
      <c r="K580" s="19" t="str">
        <f>IFERROR(__xludf.DUMMYFUNCTION("IF(ISBLANK(A580),
  """",
  IF(ISNUMBER(A580),
    TEXT(A580,""dd/mm/yyyy""),
    IF(
      REGEXMATCH(TRIM(A580),""^\d{1,2}/\d{1,2}/\d{4}$""),
      TRIM(A580),
      IFERROR(
        TEXT(DATEVALUE(SUBSTITUTE(SUBSTITUTE(TRIM(A580),""-"",""/""),""."",""/"&amp;""")),""dd/mm/yyyy""),
        TRIM(A580)
      )
    )
  )
)
"),"11/10/2024")</f>
        <v>11/10/2024</v>
      </c>
      <c r="L580" s="20">
        <v>45576.0</v>
      </c>
      <c r="M580" s="21" t="str">
        <f>IFERROR(__xludf.DUMMYFUNCTION("PROPER(TRIM(
  REGEXREPLACE(
    REGEXREPLACE(
      SUBSTITUTE(SUBSTITUTE(SUBSTITUTE(SUBSTITUTE(SUBSTITUTE(SUBSTITUTE(SUBSTITUTE(SUBSTITUTE(SUBSTITUTE(SUBSTITUTE(SUBSTITUTE(
        B580,""√©"",""é""),""√°"",""á""),""√±"",""ñ""),""√≥"",""ó""),""√â"",""é"&amp;"""),""√Å"",""á""),""√ç"",""í""),""√Ç"",""Í""),""√Â"",""é""),""√≠"",""í""),""√º"",""ú""),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80" s="22" t="str">
        <f>IFERROR(__xludf.DUMMYFUNCTION("SPLIT(
  TRIM(
    SUBSTITUTE(
      SUBSTITUTE(
        SUBSTITUTE(
          SUBSTITUTE(
            C580,
            ""√©"", ""é""
          ),
          ""√±"", ""ñ""
        ),
        ""√°"", ""á""
      ),
      ""√≥"", ""ó""
    )
  ),
  ""-""
)
"),"Teléfono")</f>
        <v>Teléfono</v>
      </c>
      <c r="O580" s="22" t="str">
        <f>IFERROR(__xludf.DUMMYFUNCTION("""COMPUTED_VALUE"""),"Gama media")</f>
        <v>Gama media</v>
      </c>
      <c r="P580" s="22" t="str">
        <f>IFERROR(__xludf.DUMMYFUNCTION("""COMPUTED_VALUE"""),"8GB")</f>
        <v>8GB</v>
      </c>
      <c r="Q580" s="23">
        <f t="shared" si="1"/>
        <v>218.17</v>
      </c>
      <c r="R580" s="22">
        <f t="shared" si="2"/>
        <v>4</v>
      </c>
      <c r="S580" s="23">
        <f t="shared" si="3"/>
        <v>872.68</v>
      </c>
      <c r="T580" s="22" t="str">
        <f>IFERROR(__xludf.DUMMYFUNCTION("PROPER(TRIM(
  LET(
    texto1, REGEXREPLACE(G580,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"),"Antonio Adriana Razo")</f>
        <v>Antonio Adriana Razo</v>
      </c>
      <c r="U580" s="22" t="str">
        <f t="shared" si="4"/>
        <v>c08f9ba9-0e32-4277-937a-eae40b912ab0</v>
      </c>
      <c r="V580" s="24" t="str">
        <f t="shared" si="5"/>
        <v>Teléfono Gama media 8GB</v>
      </c>
    </row>
    <row r="581" ht="15.75" customHeight="1">
      <c r="A581" s="36">
        <v>45483.0</v>
      </c>
      <c r="B581" s="2" t="s">
        <v>38</v>
      </c>
      <c r="C581" s="2" t="s">
        <v>91</v>
      </c>
      <c r="D581" s="7">
        <v>1597.75</v>
      </c>
      <c r="E581" s="2">
        <v>2.0</v>
      </c>
      <c r="F581" s="7">
        <v>3195.5</v>
      </c>
      <c r="G581" s="2" t="s">
        <v>2044</v>
      </c>
      <c r="H581" s="2" t="s">
        <v>2045</v>
      </c>
      <c r="I581" s="2" t="s">
        <v>2046</v>
      </c>
      <c r="K581" s="25" t="str">
        <f>IFERROR(__xludf.DUMMYFUNCTION("IF(ISBLANK(A581),
  """",
  IF(ISNUMBER(A581),
    TEXT(A581,""dd/mm/yyyy""),
    IF(
      REGEXMATCH(TRIM(A581),""^\d{1,2}/\d{1,2}/\d{4}$""),
      TRIM(A581),
      IFERROR(
        TEXT(DATEVALUE(SUBSTITUTE(SUBSTITUTE(TRIM(A581),""-"",""/""),""."",""/"&amp;""")),""dd/mm/yyyy""),
        TRIM(A581)
      )
    )
  )
)
"),"10/07/2024")</f>
        <v>10/07/2024</v>
      </c>
      <c r="L581" s="26">
        <v>45483.0</v>
      </c>
      <c r="M581" s="27" t="str">
        <f>IFERROR(__xludf.DUMMYFUNCTION("PROPER(TRIM(
  REGEXREPLACE(
    REGEXREPLACE(
      SUBSTITUTE(SUBSTITUTE(SUBSTITUTE(SUBSTITUTE(SUBSTITUTE(SUBSTITUTE(SUBSTITUTE(SUBSTITUTE(SUBSTITUTE(SUBSTITUTE(SUBSTITUTE(
        B581,""√©"",""é""),""√°"",""á""),""√±"",""ñ""),""√≥"",""ó""),""√â"",""é"&amp;"""),""√Å"",""á""),""√ç"",""í""),""√Ç"",""Í""),""√Â"",""é""),""√≠"",""í""),""√º"",""ú""),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81" s="28" t="str">
        <f>IFERROR(__xludf.DUMMYFUNCTION("SPLIT(
  TRIM(
    SUBSTITUTE(
      SUBSTITUTE(
        SUBSTITUTE(
          SUBSTITUTE(
            C581,
            ""√©"", ""é""
          ),
          ""√±"", ""ñ""
        ),
        ""√°"", ""á""
      ),
      ""√≥"", ""ó""
    )
  ),
  ""-""
)
"),"Tablet")</f>
        <v>Tablet</v>
      </c>
      <c r="O581" s="28" t="str">
        <f>IFERROR(__xludf.DUMMYFUNCTION("""COMPUTED_VALUE"""),"Mini")</f>
        <v>Mini</v>
      </c>
      <c r="P581" s="28" t="str">
        <f>IFERROR(__xludf.DUMMYFUNCTION("""COMPUTED_VALUE"""),"32GB")</f>
        <v>32GB</v>
      </c>
      <c r="Q581" s="29">
        <f t="shared" si="1"/>
        <v>1597.75</v>
      </c>
      <c r="R581" s="28">
        <f t="shared" si="2"/>
        <v>2</v>
      </c>
      <c r="S581" s="29">
        <f t="shared" si="3"/>
        <v>3195.5</v>
      </c>
      <c r="T581" s="28" t="str">
        <f>IFERROR(__xludf.DUMMYFUNCTION("PROPER(TRIM(
  LET(
    texto1, REGEXREPLACE(G581,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"),"Isác Reina Nieto")</f>
        <v>Isác Reina Nieto</v>
      </c>
      <c r="U581" s="28" t="str">
        <f t="shared" si="4"/>
        <v>ab493d65-9af2-465e-9886-dbff53ffd8a3</v>
      </c>
      <c r="V581" s="30" t="str">
        <f t="shared" si="5"/>
        <v>Tablet Mini 32GB</v>
      </c>
    </row>
    <row r="582" ht="15.75" customHeight="1">
      <c r="A582" s="6">
        <v>45587.0</v>
      </c>
      <c r="B582" s="2" t="s">
        <v>101</v>
      </c>
      <c r="C582" s="2" t="s">
        <v>162</v>
      </c>
      <c r="D582" s="7">
        <v>1736.9</v>
      </c>
      <c r="E582" s="2">
        <v>5.0</v>
      </c>
      <c r="F582" s="7">
        <v>8684.5</v>
      </c>
      <c r="G582" s="2" t="s">
        <v>2047</v>
      </c>
      <c r="H582" s="2" t="s">
        <v>2048</v>
      </c>
      <c r="I582" s="2" t="s">
        <v>2049</v>
      </c>
      <c r="K582" s="19" t="str">
        <f>IFERROR(__xludf.DUMMYFUNCTION("IF(ISBLANK(A582),
  """",
  IF(ISNUMBER(A582),
    TEXT(A582,""dd/mm/yyyy""),
    IF(
      REGEXMATCH(TRIM(A582),""^\d{1,2}/\d{1,2}/\d{4}$""),
      TRIM(A582),
      IFERROR(
        TEXT(DATEVALUE(SUBSTITUTE(SUBSTITUTE(TRIM(A582),""-"",""/""),""."",""/"&amp;""")),""dd/mm/yyyy""),
        TRIM(A582)
      )
    )
  )
)
"),"22/10/2024")</f>
        <v>22/10/2024</v>
      </c>
      <c r="L582" s="20">
        <v>45587.0</v>
      </c>
      <c r="M582" s="21" t="str">
        <f>IFERROR(__xludf.DUMMYFUNCTION("PROPER(TRIM(
  REGEXREPLACE(
    REGEXREPLACE(
      SUBSTITUTE(SUBSTITUTE(SUBSTITUTE(SUBSTITUTE(SUBSTITUTE(SUBSTITUTE(SUBSTITUTE(SUBSTITUTE(SUBSTITUTE(SUBSTITUTE(SUBSTITUTE(
        B582,""√©"",""é""),""√°"",""á""),""√±"",""ñ""),""√≥"",""ó""),""√â"",""é"&amp;"""),""√Å"",""á""),""√ç"",""í""),""√Ç"",""Í""),""√Â"",""é""),""√≠"",""í""),""√º"",""ú""),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82" s="22" t="str">
        <f>IFERROR(__xludf.DUMMYFUNCTION("SPLIT(
  TRIM(
    SUBSTITUTE(
      SUBSTITUTE(
        SUBSTITUTE(
          SUBSTITUTE(
            C582,
            ""√©"", ""é""
          ),
          ""√±"", ""ñ""
        ),
        ""√°"", ""á""
      ),
      ""√≥"", ""ó""
    )
  ),
  ""-""
)
"),"Teléfono")</f>
        <v>Teléfono</v>
      </c>
      <c r="O582" s="22" t="str">
        <f>IFERROR(__xludf.DUMMYFUNCTION("""COMPUTED_VALUE"""),"Gama alta")</f>
        <v>Gama alta</v>
      </c>
      <c r="P582" s="22" t="str">
        <f>IFERROR(__xludf.DUMMYFUNCTION("""COMPUTED_VALUE"""),"16GB")</f>
        <v>16GB</v>
      </c>
      <c r="Q582" s="23">
        <f t="shared" si="1"/>
        <v>1736.9</v>
      </c>
      <c r="R582" s="22">
        <f t="shared" si="2"/>
        <v>5</v>
      </c>
      <c r="S582" s="23">
        <f t="shared" si="3"/>
        <v>8684.5</v>
      </c>
      <c r="T582" s="22" t="str">
        <f>IFERROR(__xludf.DUMMYFUNCTION("PROPER(TRIM(
  LET(
    texto1, REGEXREPLACE(G582,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"),"Amanda Cant Segura")</f>
        <v>Amanda Cant Segura</v>
      </c>
      <c r="U582" s="22" t="str">
        <f t="shared" si="4"/>
        <v>51322ec3-e52c-417f-9f2c-20ffb25bf684</v>
      </c>
      <c r="V582" s="24" t="str">
        <f t="shared" si="5"/>
        <v>Teléfono Gama alta 16GB</v>
      </c>
    </row>
    <row r="583" ht="15.75" customHeight="1">
      <c r="A583" s="36">
        <v>45361.0</v>
      </c>
      <c r="B583" s="2" t="s">
        <v>85</v>
      </c>
      <c r="C583" s="2" t="s">
        <v>116</v>
      </c>
      <c r="D583" s="7">
        <v>1542.12</v>
      </c>
      <c r="E583" s="2">
        <v>4.0</v>
      </c>
      <c r="F583" s="7">
        <v>6168.48</v>
      </c>
      <c r="G583" s="2" t="s">
        <v>2050</v>
      </c>
      <c r="H583" s="2" t="s">
        <v>2051</v>
      </c>
      <c r="I583" s="2" t="s">
        <v>2052</v>
      </c>
      <c r="K583" s="25" t="str">
        <f>IFERROR(__xludf.DUMMYFUNCTION("IF(ISBLANK(A583),
  """",
  IF(ISNUMBER(A583),
    TEXT(A583,""dd/mm/yyyy""),
    IF(
      REGEXMATCH(TRIM(A583),""^\d{1,2}/\d{1,2}/\d{4}$""),
      TRIM(A583),
      IFERROR(
        TEXT(DATEVALUE(SUBSTITUTE(SUBSTITUTE(TRIM(A583),""-"",""/""),""."",""/"&amp;""")),""dd/mm/yyyy""),
        TRIM(A583)
      )
    )
  )
)
"),"10/03/2024")</f>
        <v>10/03/2024</v>
      </c>
      <c r="L583" s="26">
        <v>45361.0</v>
      </c>
      <c r="M583" s="27" t="str">
        <f>IFERROR(__xludf.DUMMYFUNCTION("PROPER(TRIM(
  REGEXREPLACE(
    REGEXREPLACE(
      SUBSTITUTE(SUBSTITUTE(SUBSTITUTE(SUBSTITUTE(SUBSTITUTE(SUBSTITUTE(SUBSTITUTE(SUBSTITUTE(SUBSTITUTE(SUBSTITUTE(SUBSTITUTE(
        B583,""√©"",""é""),""√°"",""á""),""√±"",""ñ""),""√≥"",""ó""),""√â"",""é"&amp;"""),""√Å"",""á""),""√ç"",""í""),""√Ç"",""Í""),""√Â"",""é""),""√≠"",""í""),""√º"",""ú""),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83" s="28" t="str">
        <f>IFERROR(__xludf.DUMMYFUNCTION("SPLIT(
  TRIM(
    SUBSTITUTE(
      SUBSTITUTE(
        SUBSTITUTE(
          SUBSTITUTE(
            C583,
            ""√©"", ""é""
          ),
          ""√±"", ""ñ""
        ),
        ""√°"", ""á""
      ),
      ""√≥"", ""ó""
    )
  ),
  ""-""
)
"),"Teléfono")</f>
        <v>Teléfono</v>
      </c>
      <c r="O583" s="28" t="str">
        <f>IFERROR(__xludf.DUMMYFUNCTION("""COMPUTED_VALUE"""),"Gama media")</f>
        <v>Gama media</v>
      </c>
      <c r="P583" s="28" t="str">
        <f>IFERROR(__xludf.DUMMYFUNCTION("""COMPUTED_VALUE"""),"4GB")</f>
        <v>4GB</v>
      </c>
      <c r="Q583" s="29">
        <f t="shared" si="1"/>
        <v>1542.12</v>
      </c>
      <c r="R583" s="28">
        <f t="shared" si="2"/>
        <v>4</v>
      </c>
      <c r="S583" s="29">
        <f t="shared" si="3"/>
        <v>6168.48</v>
      </c>
      <c r="T583" s="28" t="str">
        <f>IFERROR(__xludf.DUMMYFUNCTION("PROPER(TRIM(
  LET(
    texto1, REGEXREPLACE(G583,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"),"Leonor María Luisa Calderón Negrón")</f>
        <v>Leonor María Luisa Calderón Negrón</v>
      </c>
      <c r="U583" s="28" t="str">
        <f t="shared" si="4"/>
        <v>4fd78018-da91-4f39-9975-a34231cffcba</v>
      </c>
      <c r="V583" s="30" t="str">
        <f t="shared" si="5"/>
        <v>Teléfono Gama media 4GB</v>
      </c>
    </row>
    <row r="584" ht="15.75" customHeight="1">
      <c r="A584" s="6">
        <v>45649.0</v>
      </c>
      <c r="B584" s="2" t="s">
        <v>101</v>
      </c>
      <c r="C584" s="2" t="s">
        <v>245</v>
      </c>
      <c r="D584" s="7">
        <v>1991.97</v>
      </c>
      <c r="E584" s="2">
        <v>3.0</v>
      </c>
      <c r="F584" s="7">
        <v>5975.91</v>
      </c>
      <c r="G584" s="2" t="s">
        <v>2053</v>
      </c>
      <c r="H584" s="2" t="s">
        <v>2054</v>
      </c>
      <c r="I584" s="2" t="s">
        <v>2055</v>
      </c>
      <c r="K584" s="19" t="str">
        <f>IFERROR(__xludf.DUMMYFUNCTION("IF(ISBLANK(A584),
  """",
  IF(ISNUMBER(A584),
    TEXT(A584,""dd/mm/yyyy""),
    IF(
      REGEXMATCH(TRIM(A584),""^\d{1,2}/\d{1,2}/\d{4}$""),
      TRIM(A584),
      IFERROR(
        TEXT(DATEVALUE(SUBSTITUTE(SUBSTITUTE(TRIM(A584),""-"",""/""),""."",""/"&amp;""")),""dd/mm/yyyy""),
        TRIM(A584)
      )
    )
  )
)
"),"23/12/2024")</f>
        <v>23/12/2024</v>
      </c>
      <c r="L584" s="20">
        <v>45649.0</v>
      </c>
      <c r="M584" s="21" t="str">
        <f>IFERROR(__xludf.DUMMYFUNCTION("PROPER(TRIM(
  REGEXREPLACE(
    REGEXREPLACE(
      SUBSTITUTE(SUBSTITUTE(SUBSTITUTE(SUBSTITUTE(SUBSTITUTE(SUBSTITUTE(SUBSTITUTE(SUBSTITUTE(SUBSTITUTE(SUBSTITUTE(SUBSTITUTE(
        B584,""√©"",""é""),""√°"",""á""),""√±"",""ñ""),""√≥"",""ó""),""√â"",""é"&amp;"""),""√Å"",""á""),""√ç"",""í""),""√Ç"",""Í""),""√Â"",""é""),""√≠"",""í""),""√º"",""ú""),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84" s="22" t="str">
        <f>IFERROR(__xludf.DUMMYFUNCTION("SPLIT(
  TRIM(
    SUBSTITUTE(
      SUBSTITUTE(
        SUBSTITUTE(
          SUBSTITUTE(
            C584,
            ""√©"", ""é""
          ),
          ""√±"", ""ñ""
        ),
        ""√°"", ""á""
      ),
      ""√≥"", ""ó""
    )
  ),
  ""-""
)
"),"Teléfono")</f>
        <v>Teléfono</v>
      </c>
      <c r="O584" s="22" t="str">
        <f>IFERROR(__xludf.DUMMYFUNCTION("""COMPUTED_VALUE"""),"Gama baja")</f>
        <v>Gama baja</v>
      </c>
      <c r="P584" s="22" t="str">
        <f>IFERROR(__xludf.DUMMYFUNCTION("""COMPUTED_VALUE"""),"32GB")</f>
        <v>32GB</v>
      </c>
      <c r="Q584" s="23">
        <f t="shared" si="1"/>
        <v>1991.97</v>
      </c>
      <c r="R584" s="22">
        <f t="shared" si="2"/>
        <v>3</v>
      </c>
      <c r="S584" s="23">
        <f t="shared" si="3"/>
        <v>5975.91</v>
      </c>
      <c r="T584" s="22" t="str">
        <f>IFERROR(__xludf.DUMMYFUNCTION("PROPER(TRIM(
  LET(
    texto1, REGEXREPLACE(G584,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"),"Citlali Pantoja")</f>
        <v>Citlali Pantoja</v>
      </c>
      <c r="U584" s="22" t="str">
        <f t="shared" si="4"/>
        <v>4c7d52b9-0e48-4e31-bcf4-e5fd45e48176</v>
      </c>
      <c r="V584" s="24" t="str">
        <f t="shared" si="5"/>
        <v>Teléfono Gama baja 32GB</v>
      </c>
    </row>
    <row r="585" ht="15.75" customHeight="1">
      <c r="A585" s="36">
        <v>45424.0</v>
      </c>
      <c r="B585" s="2" t="s">
        <v>85</v>
      </c>
      <c r="C585" s="2" t="s">
        <v>121</v>
      </c>
      <c r="D585" s="7">
        <v>769.77</v>
      </c>
      <c r="E585" s="2">
        <v>4.0</v>
      </c>
      <c r="F585" s="7">
        <v>3079.08</v>
      </c>
      <c r="G585" s="2" t="s">
        <v>2056</v>
      </c>
      <c r="H585" s="2" t="s">
        <v>2057</v>
      </c>
      <c r="I585" s="2" t="s">
        <v>2058</v>
      </c>
      <c r="K585" s="25" t="str">
        <f>IFERROR(__xludf.DUMMYFUNCTION("IF(ISBLANK(A585),
  """",
  IF(ISNUMBER(A585),
    TEXT(A585,""dd/mm/yyyy""),
    IF(
      REGEXMATCH(TRIM(A585),""^\d{1,2}/\d{1,2}/\d{4}$""),
      TRIM(A585),
      IFERROR(
        TEXT(DATEVALUE(SUBSTITUTE(SUBSTITUTE(TRIM(A585),""-"",""/""),""."",""/"&amp;""")),""dd/mm/yyyy""),
        TRIM(A585)
      )
    )
  )
)
"),"12/05/2024")</f>
        <v>12/05/2024</v>
      </c>
      <c r="L585" s="26">
        <v>45424.0</v>
      </c>
      <c r="M585" s="27" t="str">
        <f>IFERROR(__xludf.DUMMYFUNCTION("PROPER(TRIM(
  REGEXREPLACE(
    REGEXREPLACE(
      SUBSTITUTE(SUBSTITUTE(SUBSTITUTE(SUBSTITUTE(SUBSTITUTE(SUBSTITUTE(SUBSTITUTE(SUBSTITUTE(SUBSTITUTE(SUBSTITUTE(SUBSTITUTE(
        B585,""√©"",""é""),""√°"",""á""),""√±"",""ñ""),""√≥"",""ó""),""√â"",""é"&amp;"""),""√Å"",""á""),""√ç"",""í""),""√Ç"",""Í""),""√Â"",""é""),""√≠"",""í""),""√º"",""ú""),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85" s="28" t="str">
        <f>IFERROR(__xludf.DUMMYFUNCTION("SPLIT(
  TRIM(
    SUBSTITUTE(
      SUBSTITUTE(
        SUBSTITUTE(
          SUBSTITUTE(
            C585,
            ""√©"", ""é""
          ),
          ""√±"", ""ñ""
        ),
        ""√°"", ""á""
      ),
      ""√≥"", ""ó""
    )
  ),
  ""-""
)
"),"Teléfono")</f>
        <v>Teléfono</v>
      </c>
      <c r="O585" s="28" t="str">
        <f>IFERROR(__xludf.DUMMYFUNCTION("""COMPUTED_VALUE"""),"Gama baja")</f>
        <v>Gama baja</v>
      </c>
      <c r="P585" s="28" t="str">
        <f>IFERROR(__xludf.DUMMYFUNCTION("""COMPUTED_VALUE"""),"8GB")</f>
        <v>8GB</v>
      </c>
      <c r="Q585" s="29">
        <f t="shared" si="1"/>
        <v>769.77</v>
      </c>
      <c r="R585" s="28">
        <f t="shared" si="2"/>
        <v>4</v>
      </c>
      <c r="S585" s="29">
        <f t="shared" si="3"/>
        <v>3079.08</v>
      </c>
      <c r="T585" s="28" t="str">
        <f>IFERROR(__xludf.DUMMYFUNCTION("PROPER(TRIM(
  LET(
    texto1, REGEXREPLACE(G585,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"),"Amelia Hilda Reyes")</f>
        <v>Amelia Hilda Reyes</v>
      </c>
      <c r="U585" s="28" t="str">
        <f t="shared" si="4"/>
        <v>0d39987c-fdfb-4ae0-a487-86b097bcd57d</v>
      </c>
      <c r="V585" s="30" t="str">
        <f t="shared" si="5"/>
        <v>Teléfono Gama baja 8GB</v>
      </c>
    </row>
    <row r="586" ht="15.75" customHeight="1">
      <c r="A586" s="6">
        <v>45651.0</v>
      </c>
      <c r="B586" s="2" t="s">
        <v>101</v>
      </c>
      <c r="C586" s="2" t="s">
        <v>201</v>
      </c>
      <c r="D586" s="7">
        <v>173.94</v>
      </c>
      <c r="E586" s="2">
        <v>5.0</v>
      </c>
      <c r="F586" s="7">
        <v>869.7</v>
      </c>
      <c r="G586" s="2" t="s">
        <v>2059</v>
      </c>
      <c r="H586" s="2" t="s">
        <v>2060</v>
      </c>
      <c r="I586" s="2" t="s">
        <v>2061</v>
      </c>
      <c r="K586" s="19" t="str">
        <f>IFERROR(__xludf.DUMMYFUNCTION("IF(ISBLANK(A586),
  """",
  IF(ISNUMBER(A586),
    TEXT(A586,""dd/mm/yyyy""),
    IF(
      REGEXMATCH(TRIM(A586),""^\d{1,2}/\d{1,2}/\d{4}$""),
      TRIM(A586),
      IFERROR(
        TEXT(DATEVALUE(SUBSTITUTE(SUBSTITUTE(TRIM(A586),""-"",""/""),""."",""/"&amp;""")),""dd/mm/yyyy""),
        TRIM(A586)
      )
    )
  )
)
"),"25/12/2024")</f>
        <v>25/12/2024</v>
      </c>
      <c r="L586" s="20">
        <v>45651.0</v>
      </c>
      <c r="M586" s="21" t="str">
        <f>IFERROR(__xludf.DUMMYFUNCTION("PROPER(TRIM(
  REGEXREPLACE(
    REGEXREPLACE(
      SUBSTITUTE(SUBSTITUTE(SUBSTITUTE(SUBSTITUTE(SUBSTITUTE(SUBSTITUTE(SUBSTITUTE(SUBSTITUTE(SUBSTITUTE(SUBSTITUTE(SUBSTITUTE(
        B586,""√©"",""é""),""√°"",""á""),""√±"",""ñ""),""√≥"",""ó""),""√â"",""é"&amp;"""),""√Å"",""á""),""√ç"",""í""),""√Ç"",""Í""),""√Â"",""é""),""√≠"",""í""),""√º"",""ú""),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86" s="22" t="str">
        <f>IFERROR(__xludf.DUMMYFUNCTION("SPLIT(
  TRIM(
    SUBSTITUTE(
      SUBSTITUTE(
        SUBSTITUTE(
          SUBSTITUTE(
            C586,
            ""√©"", ""é""
          ),
          ""√±"", ""ñ""
        ),
        ""√°"", ""á""
      ),
      ""√≥"", ""ó""
    )
  ),
  ""-""
)
"),"Laptop")</f>
        <v>Laptop</v>
      </c>
      <c r="O586" s="22" t="str">
        <f>IFERROR(__xludf.DUMMYFUNCTION("""COMPUTED_VALUE"""),"Gaming")</f>
        <v>Gaming</v>
      </c>
      <c r="P586" s="22" t="str">
        <f>IFERROR(__xludf.DUMMYFUNCTION("""COMPUTED_VALUE"""),"4GB")</f>
        <v>4GB</v>
      </c>
      <c r="Q586" s="23">
        <f t="shared" si="1"/>
        <v>173.94</v>
      </c>
      <c r="R586" s="22">
        <f t="shared" si="2"/>
        <v>5</v>
      </c>
      <c r="S586" s="23">
        <f t="shared" si="3"/>
        <v>869.7</v>
      </c>
      <c r="T586" s="22" t="str">
        <f>IFERROR(__xludf.DUMMYFUNCTION("PROPER(TRIM(
  LET(
    texto1, REGEXREPLACE(G586,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"),"Indira Brito")</f>
        <v>Indira Brito</v>
      </c>
      <c r="U586" s="22" t="str">
        <f t="shared" si="4"/>
        <v>4b439440-bf95-4e0b-865c-32dff4dfe00b</v>
      </c>
      <c r="V586" s="24" t="str">
        <f t="shared" si="5"/>
        <v>Laptop Gaming 4GB</v>
      </c>
    </row>
    <row r="587" ht="15.75" customHeight="1">
      <c r="A587" s="36">
        <v>45546.0</v>
      </c>
      <c r="B587" s="2" t="s">
        <v>85</v>
      </c>
      <c r="C587" s="2" t="s">
        <v>91</v>
      </c>
      <c r="D587" s="7">
        <v>1118.35</v>
      </c>
      <c r="E587" s="2">
        <v>4.0</v>
      </c>
      <c r="F587" s="7">
        <v>4473.4</v>
      </c>
      <c r="G587" s="2" t="s">
        <v>2062</v>
      </c>
      <c r="H587" s="2" t="s">
        <v>2063</v>
      </c>
      <c r="I587" s="2" t="s">
        <v>2064</v>
      </c>
      <c r="K587" s="25" t="str">
        <f>IFERROR(__xludf.DUMMYFUNCTION("IF(ISBLANK(A587),
  """",
  IF(ISNUMBER(A587),
    TEXT(A587,""dd/mm/yyyy""),
    IF(
      REGEXMATCH(TRIM(A587),""^\d{1,2}/\d{1,2}/\d{4}$""),
      TRIM(A587),
      IFERROR(
        TEXT(DATEVALUE(SUBSTITUTE(SUBSTITUTE(TRIM(A587),""-"",""/""),""."",""/"&amp;""")),""dd/mm/yyyy""),
        TRIM(A587)
      )
    )
  )
)
"),"11/09/2024")</f>
        <v>11/09/2024</v>
      </c>
      <c r="L587" s="26">
        <v>45546.0</v>
      </c>
      <c r="M587" s="27" t="str">
        <f>IFERROR(__xludf.DUMMYFUNCTION("PROPER(TRIM(
  REGEXREPLACE(
    REGEXREPLACE(
      SUBSTITUTE(SUBSTITUTE(SUBSTITUTE(SUBSTITUTE(SUBSTITUTE(SUBSTITUTE(SUBSTITUTE(SUBSTITUTE(SUBSTITUTE(SUBSTITUTE(SUBSTITUTE(
        B587,""√©"",""é""),""√°"",""á""),""√±"",""ñ""),""√≥"",""ó""),""√â"",""é"&amp;"""),""√Å"",""á""),""√ç"",""í""),""√Ç"",""Í""),""√Â"",""é""),""√≠"",""í""),""√º"",""ú""),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87" s="28" t="str">
        <f>IFERROR(__xludf.DUMMYFUNCTION("SPLIT(
  TRIM(
    SUBSTITUTE(
      SUBSTITUTE(
        SUBSTITUTE(
          SUBSTITUTE(
            C587,
            ""√©"", ""é""
          ),
          ""√±"", ""ñ""
        ),
        ""√°"", ""á""
      ),
      ""√≥"", ""ó""
    )
  ),
  ""-""
)
"),"Tablet")</f>
        <v>Tablet</v>
      </c>
      <c r="O587" s="28" t="str">
        <f>IFERROR(__xludf.DUMMYFUNCTION("""COMPUTED_VALUE"""),"Mini")</f>
        <v>Mini</v>
      </c>
      <c r="P587" s="28" t="str">
        <f>IFERROR(__xludf.DUMMYFUNCTION("""COMPUTED_VALUE"""),"32GB")</f>
        <v>32GB</v>
      </c>
      <c r="Q587" s="29">
        <f t="shared" si="1"/>
        <v>1118.35</v>
      </c>
      <c r="R587" s="28">
        <f t="shared" si="2"/>
        <v>4</v>
      </c>
      <c r="S587" s="29">
        <f t="shared" si="3"/>
        <v>4473.4</v>
      </c>
      <c r="T587" s="28" t="str">
        <f>IFERROR(__xludf.DUMMYFUNCTION("PROPER(TRIM(
  LET(
    texto1, REGEXREPLACE(G587,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"),"Ángel Echeverría")</f>
        <v>Ángel Echeverría</v>
      </c>
      <c r="U587" s="28" t="str">
        <f t="shared" si="4"/>
        <v>d8d9e077-3fb8-4ad4-b860-e6a47239634d</v>
      </c>
      <c r="V587" s="30" t="str">
        <f t="shared" si="5"/>
        <v>Tablet Mini 32GB</v>
      </c>
    </row>
    <row r="588" ht="15.75" customHeight="1">
      <c r="A588" s="6">
        <v>45578.0</v>
      </c>
      <c r="B588" s="2" t="s">
        <v>101</v>
      </c>
      <c r="C588" s="2" t="s">
        <v>55</v>
      </c>
      <c r="D588" s="32"/>
      <c r="E588" s="2">
        <v>3.0</v>
      </c>
      <c r="F588" s="7">
        <v>1086.51</v>
      </c>
      <c r="G588" s="2" t="s">
        <v>2065</v>
      </c>
      <c r="H588" s="2" t="s">
        <v>2066</v>
      </c>
      <c r="I588" s="2" t="s">
        <v>2067</v>
      </c>
      <c r="K588" s="19" t="str">
        <f>IFERROR(__xludf.DUMMYFUNCTION("IF(ISBLANK(A588),
  """",
  IF(ISNUMBER(A588),
    TEXT(A588,""dd/mm/yyyy""),
    IF(
      REGEXMATCH(TRIM(A588),""^\d{1,2}/\d{1,2}/\d{4}$""),
      TRIM(A588),
      IFERROR(
        TEXT(DATEVALUE(SUBSTITUTE(SUBSTITUTE(TRIM(A588),""-"",""/""),""."",""/"&amp;""")),""dd/mm/yyyy""),
        TRIM(A588)
      )
    )
  )
)
"),"13/10/2024")</f>
        <v>13/10/2024</v>
      </c>
      <c r="L588" s="20">
        <v>45578.0</v>
      </c>
      <c r="M588" s="21" t="str">
        <f>IFERROR(__xludf.DUMMYFUNCTION("PROPER(TRIM(
  REGEXREPLACE(
    REGEXREPLACE(
      SUBSTITUTE(SUBSTITUTE(SUBSTITUTE(SUBSTITUTE(SUBSTITUTE(SUBSTITUTE(SUBSTITUTE(SUBSTITUTE(SUBSTITUTE(SUBSTITUTE(SUBSTITUTE(
        B588,""√©"",""é""),""√°"",""á""),""√±"",""ñ""),""√≥"",""ó""),""√â"",""é"&amp;"""),""√Å"",""á""),""√ç"",""í""),""√Ç"",""Í""),""√Â"",""é""),""√≠"",""í""),""√º"",""ú""),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88" s="22" t="str">
        <f>IFERROR(__xludf.DUMMYFUNCTION("SPLIT(
  TRIM(
    SUBSTITUTE(
      SUBSTITUTE(
        SUBSTITUTE(
          SUBSTITUTE(
            C588,
            ""√©"", ""é""
          ),
          ""√±"", ""ñ""
        ),
        ""√°"", ""á""
      ),
      ""√≥"", ""ó""
    )
  ),
  ""-""
)
"),"Laptop")</f>
        <v>Laptop</v>
      </c>
      <c r="O588" s="22" t="str">
        <f>IFERROR(__xludf.DUMMYFUNCTION("""COMPUTED_VALUE"""),"Ultraliviana")</f>
        <v>Ultraliviana</v>
      </c>
      <c r="P588" s="22" t="str">
        <f>IFERROR(__xludf.DUMMYFUNCTION("""COMPUTED_VALUE"""),"16GB")</f>
        <v>16GB</v>
      </c>
      <c r="Q588" s="35" t="str">
        <f t="shared" si="1"/>
        <v>0</v>
      </c>
      <c r="R588" s="22">
        <f t="shared" si="2"/>
        <v>3</v>
      </c>
      <c r="S588" s="23">
        <f t="shared" si="3"/>
        <v>1086.51</v>
      </c>
      <c r="T588" s="22" t="str">
        <f>IFERROR(__xludf.DUMMYFUNCTION("PROPER(TRIM(
  LET(
    texto1, REGEXREPLACE(G588,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"),"Rodrigo Vanegas Serna")</f>
        <v>Rodrigo Vanegas Serna</v>
      </c>
      <c r="U588" s="22" t="str">
        <f t="shared" si="4"/>
        <v>426433ea-0410-4d24-b435-247c7b633415</v>
      </c>
      <c r="V588" s="24" t="str">
        <f t="shared" si="5"/>
        <v>Laptop Ultraliviana 16GB</v>
      </c>
    </row>
    <row r="589" ht="15.75" customHeight="1">
      <c r="A589" s="36">
        <v>45547.0</v>
      </c>
      <c r="B589" s="2" t="s">
        <v>85</v>
      </c>
      <c r="C589" s="2" t="s">
        <v>245</v>
      </c>
      <c r="D589" s="7">
        <v>232.18</v>
      </c>
      <c r="E589" s="2">
        <v>3.0</v>
      </c>
      <c r="F589" s="7">
        <v>696.54</v>
      </c>
      <c r="G589" s="2" t="s">
        <v>2068</v>
      </c>
      <c r="H589" s="2" t="s">
        <v>2069</v>
      </c>
      <c r="I589" s="2" t="s">
        <v>2070</v>
      </c>
      <c r="K589" s="25" t="str">
        <f>IFERROR(__xludf.DUMMYFUNCTION("IF(ISBLANK(A589),
  """",
  IF(ISNUMBER(A589),
    TEXT(A589,""dd/mm/yyyy""),
    IF(
      REGEXMATCH(TRIM(A589),""^\d{1,2}/\d{1,2}/\d{4}$""),
      TRIM(A589),
      IFERROR(
        TEXT(DATEVALUE(SUBSTITUTE(SUBSTITUTE(TRIM(A589),""-"",""/""),""."",""/"&amp;""")),""dd/mm/yyyy""),
        TRIM(A589)
      )
    )
  )
)
"),"12/09/2024")</f>
        <v>12/09/2024</v>
      </c>
      <c r="L589" s="26">
        <v>45547.0</v>
      </c>
      <c r="M589" s="27" t="str">
        <f>IFERROR(__xludf.DUMMYFUNCTION("PROPER(TRIM(
  REGEXREPLACE(
    REGEXREPLACE(
      SUBSTITUTE(SUBSTITUTE(SUBSTITUTE(SUBSTITUTE(SUBSTITUTE(SUBSTITUTE(SUBSTITUTE(SUBSTITUTE(SUBSTITUTE(SUBSTITUTE(SUBSTITUTE(
        B589,""√©"",""é""),""√°"",""á""),""√±"",""ñ""),""√≥"",""ó""),""√â"",""é"&amp;"""),""√Å"",""á""),""√ç"",""í""),""√Ç"",""Í""),""√Â"",""é""),""√≠"",""í""),""√º"",""ú""),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589" s="28" t="str">
        <f>IFERROR(__xludf.DUMMYFUNCTION("SPLIT(
  TRIM(
    SUBSTITUTE(
      SUBSTITUTE(
        SUBSTITUTE(
          SUBSTITUTE(
            C589,
            ""√©"", ""é""
          ),
          ""√±"", ""ñ""
        ),
        ""√°"", ""á""
      ),
      ""√≥"", ""ó""
    )
  ),
  ""-""
)
"),"Teléfono")</f>
        <v>Teléfono</v>
      </c>
      <c r="O589" s="28" t="str">
        <f>IFERROR(__xludf.DUMMYFUNCTION("""COMPUTED_VALUE"""),"Gama baja")</f>
        <v>Gama baja</v>
      </c>
      <c r="P589" s="28" t="str">
        <f>IFERROR(__xludf.DUMMYFUNCTION("""COMPUTED_VALUE"""),"32GB")</f>
        <v>32GB</v>
      </c>
      <c r="Q589" s="29">
        <f t="shared" si="1"/>
        <v>232.18</v>
      </c>
      <c r="R589" s="28">
        <f t="shared" si="2"/>
        <v>3</v>
      </c>
      <c r="S589" s="29">
        <f t="shared" si="3"/>
        <v>696.54</v>
      </c>
      <c r="T589" s="28" t="str">
        <f>IFERROR(__xludf.DUMMYFUNCTION("PROPER(TRIM(
  LET(
    texto1, REGEXREPLACE(G589,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"),"Mercedes Sessa Valladares")</f>
        <v>Mercedes Sessa Valladares</v>
      </c>
      <c r="U589" s="28" t="str">
        <f t="shared" si="4"/>
        <v>0b7f03ef-aac2-4547-b835-a7f3a3348e06</v>
      </c>
      <c r="V589" s="30" t="str">
        <f t="shared" si="5"/>
        <v>Teléfono Gama baja 32GB</v>
      </c>
    </row>
    <row r="590" ht="15.75" customHeight="1">
      <c r="A590" s="6">
        <v>45614.0</v>
      </c>
      <c r="B590" s="2" t="s">
        <v>38</v>
      </c>
      <c r="C590" s="2" t="s">
        <v>17</v>
      </c>
      <c r="D590" s="7">
        <v>1217.56</v>
      </c>
      <c r="E590" s="2">
        <v>3.0</v>
      </c>
      <c r="F590" s="7">
        <v>3652.68</v>
      </c>
      <c r="G590" s="2" t="s">
        <v>2071</v>
      </c>
      <c r="H590" s="2" t="s">
        <v>2072</v>
      </c>
      <c r="I590" s="2" t="s">
        <v>2073</v>
      </c>
      <c r="K590" s="19" t="str">
        <f>IFERROR(__xludf.DUMMYFUNCTION("IF(ISBLANK(A590),
  """",
  IF(ISNUMBER(A590),
    TEXT(A590,""dd/mm/yyyy""),
    IF(
      REGEXMATCH(TRIM(A590),""^\d{1,2}/\d{1,2}/\d{4}$""),
      TRIM(A590),
      IFERROR(
        TEXT(DATEVALUE(SUBSTITUTE(SUBSTITUTE(TRIM(A590),""-"",""/""),""."",""/"&amp;""")),""dd/mm/yyyy""),
        TRIM(A590)
      )
    )
  )
)
"),"18/11/2024")</f>
        <v>18/11/2024</v>
      </c>
      <c r="L590" s="20">
        <v>45614.0</v>
      </c>
      <c r="M590" s="21" t="str">
        <f>IFERROR(__xludf.DUMMYFUNCTION("PROPER(TRIM(
  REGEXREPLACE(
    REGEXREPLACE(
      SUBSTITUTE(SUBSTITUTE(SUBSTITUTE(SUBSTITUTE(SUBSTITUTE(SUBSTITUTE(SUBSTITUTE(SUBSTITUTE(SUBSTITUTE(SUBSTITUTE(SUBSTITUTE(
        B590,""√©"",""é""),""√°"",""á""),""√±"",""ñ""),""√≥"",""ó""),""√â"",""é"&amp;"""),""√Å"",""á""),""√ç"",""í""),""√Ç"",""Í""),""√Â"",""é""),""√≠"",""í""),""√º"",""ú""),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90" s="22" t="str">
        <f>IFERROR(__xludf.DUMMYFUNCTION("SPLIT(
  TRIM(
    SUBSTITUTE(
      SUBSTITUTE(
        SUBSTITUTE(
          SUBSTITUTE(
            C590,
            ""√©"", ""é""
          ),
          ""√±"", ""ñ""
        ),
        ""√°"", ""á""
      ),
      ""√≥"", ""ó""
    )
  ),
  ""-""
)
"),"Auriculares")</f>
        <v>Auriculares</v>
      </c>
      <c r="O590" s="22" t="str">
        <f>IFERROR(__xludf.DUMMYFUNCTION("""COMPUTED_VALUE"""),"Bluetooth")</f>
        <v>Bluetooth</v>
      </c>
      <c r="P590" s="22" t="str">
        <f>IFERROR(__xludf.DUMMYFUNCTION("""COMPUTED_VALUE"""),"8GB")</f>
        <v>8GB</v>
      </c>
      <c r="Q590" s="23">
        <f t="shared" si="1"/>
        <v>1217.56</v>
      </c>
      <c r="R590" s="22">
        <f t="shared" si="2"/>
        <v>3</v>
      </c>
      <c r="S590" s="23">
        <f t="shared" si="3"/>
        <v>3652.68</v>
      </c>
      <c r="T590" s="22" t="str">
        <f>IFERROR(__xludf.DUMMYFUNCTION("PROPER(TRIM(
  LET(
    texto1, REGEXREPLACE(G590,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"),"Dulce María Rendón Zedillo")</f>
        <v>Dulce María Rendón Zedillo</v>
      </c>
      <c r="U590" s="22" t="str">
        <f t="shared" si="4"/>
        <v>dbe8b52b-292f-4415-82d6-3dad0ebf96c7</v>
      </c>
      <c r="V590" s="24" t="str">
        <f t="shared" si="5"/>
        <v>Auriculares Bluetooth 8GB</v>
      </c>
    </row>
    <row r="591" ht="15.75" customHeight="1">
      <c r="A591" s="6">
        <v>45641.0</v>
      </c>
      <c r="B591" s="2" t="s">
        <v>101</v>
      </c>
      <c r="C591" s="2" t="s">
        <v>593</v>
      </c>
      <c r="D591" s="7">
        <v>303.05</v>
      </c>
      <c r="E591" s="2">
        <v>1.0</v>
      </c>
      <c r="F591" s="7">
        <v>303.05</v>
      </c>
      <c r="G591" s="2" t="s">
        <v>2074</v>
      </c>
      <c r="H591" s="2" t="s">
        <v>2075</v>
      </c>
      <c r="I591" s="2" t="s">
        <v>2076</v>
      </c>
      <c r="K591" s="25" t="str">
        <f>IFERROR(__xludf.DUMMYFUNCTION("IF(ISBLANK(A591),
  """",
  IF(ISNUMBER(A591),
    TEXT(A591,""dd/mm/yyyy""),
    IF(
      REGEXMATCH(TRIM(A591),""^\d{1,2}/\d{1,2}/\d{4}$""),
      TRIM(A591),
      IFERROR(
        TEXT(DATEVALUE(SUBSTITUTE(SUBSTITUTE(TRIM(A591),""-"",""/""),""."",""/"&amp;""")),""dd/mm/yyyy""),
        TRIM(A591)
      )
    )
  )
)
"),"15/12/2024")</f>
        <v>15/12/2024</v>
      </c>
      <c r="L591" s="26">
        <v>45641.0</v>
      </c>
      <c r="M591" s="27" t="str">
        <f>IFERROR(__xludf.DUMMYFUNCTION("PROPER(TRIM(
  REGEXREPLACE(
    REGEXREPLACE(
      SUBSTITUTE(SUBSTITUTE(SUBSTITUTE(SUBSTITUTE(SUBSTITUTE(SUBSTITUTE(SUBSTITUTE(SUBSTITUTE(SUBSTITUTE(SUBSTITUTE(SUBSTITUTE(
        B591,""√©"",""é""),""√°"",""á""),""√±"",""ñ""),""√≥"",""ó""),""√â"",""é"&amp;"""),""√Å"",""á""),""√ç"",""í""),""√Ç"",""Í""),""√Â"",""é""),""√≠"",""í""),""√º"",""ú""),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591" s="28" t="str">
        <f>IFERROR(__xludf.DUMMYFUNCTION("SPLIT(
  TRIM(
    SUBSTITUTE(
      SUBSTITUTE(
        SUBSTITUTE(
          SUBSTITUTE(
            C591,
            ""√©"", ""é""
          ),
          ""√±"", ""ñ""
        ),
        ""√°"", ""á""
      ),
      ""√≥"", ""ó""
    )
  ),
  ""-""
)
"),"Laptop")</f>
        <v>Laptop</v>
      </c>
      <c r="O591" s="28" t="str">
        <f>IFERROR(__xludf.DUMMYFUNCTION("""COMPUTED_VALUE"""),"Gaming")</f>
        <v>Gaming</v>
      </c>
      <c r="P591" s="28" t="str">
        <f>IFERROR(__xludf.DUMMYFUNCTION("""COMPUTED_VALUE"""),"16GB")</f>
        <v>16GB</v>
      </c>
      <c r="Q591" s="29">
        <f t="shared" si="1"/>
        <v>303.05</v>
      </c>
      <c r="R591" s="28">
        <f t="shared" si="2"/>
        <v>1</v>
      </c>
      <c r="S591" s="29">
        <f t="shared" si="3"/>
        <v>303.05</v>
      </c>
      <c r="T591" s="28" t="str">
        <f>IFERROR(__xludf.DUMMYFUNCTION("PROPER(TRIM(
  LET(
    texto1, REGEXREPLACE(G591,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"),"Yeni Diego Mateo Irizarry")</f>
        <v>Yeni Diego Mateo Irizarry</v>
      </c>
      <c r="U591" s="28" t="str">
        <f t="shared" si="4"/>
        <v>5e0eecec-2dab-48b7-a609-0fd963d1d90a</v>
      </c>
      <c r="V591" s="30" t="str">
        <f t="shared" si="5"/>
        <v>Laptop Gaming 16GB</v>
      </c>
    </row>
    <row r="592" ht="15.75" customHeight="1">
      <c r="A592" s="6">
        <v>45619.0</v>
      </c>
      <c r="B592" s="2" t="s">
        <v>38</v>
      </c>
      <c r="C592" s="2" t="s">
        <v>397</v>
      </c>
      <c r="D592" s="7">
        <v>807.71</v>
      </c>
      <c r="E592" s="2">
        <v>3.0</v>
      </c>
      <c r="F592" s="7">
        <v>2423.13</v>
      </c>
      <c r="G592" s="2" t="s">
        <v>2077</v>
      </c>
      <c r="H592" s="2" t="s">
        <v>2078</v>
      </c>
      <c r="I592" s="2" t="s">
        <v>2079</v>
      </c>
      <c r="K592" s="19" t="str">
        <f>IFERROR(__xludf.DUMMYFUNCTION("IF(ISBLANK(A592),
  """",
  IF(ISNUMBER(A592),
    TEXT(A592,""dd/mm/yyyy""),
    IF(
      REGEXMATCH(TRIM(A592),""^\d{1,2}/\d{1,2}/\d{4}$""),
      TRIM(A592),
      IFERROR(
        TEXT(DATEVALUE(SUBSTITUTE(SUBSTITUTE(TRIM(A592),""-"",""/""),""."",""/"&amp;""")),""dd/mm/yyyy""),
        TRIM(A592)
      )
    )
  )
)
"),"23/11/2024")</f>
        <v>23/11/2024</v>
      </c>
      <c r="L592" s="20">
        <v>45619.0</v>
      </c>
      <c r="M592" s="21" t="str">
        <f>IFERROR(__xludf.DUMMYFUNCTION("PROPER(TRIM(
  REGEXREPLACE(
    REGEXREPLACE(
      SUBSTITUTE(SUBSTITUTE(SUBSTITUTE(SUBSTITUTE(SUBSTITUTE(SUBSTITUTE(SUBSTITUTE(SUBSTITUTE(SUBSTITUTE(SUBSTITUTE(SUBSTITUTE(
        B592,""√©"",""é""),""√°"",""á""),""√±"",""ñ""),""√≥"",""ó""),""√â"",""é"&amp;"""),""√Å"",""á""),""√ç"",""í""),""√Ç"",""Í""),""√Â"",""é""),""√≠"",""í""),""√º"",""ú""),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92" s="22" t="str">
        <f>IFERROR(__xludf.DUMMYFUNCTION("SPLIT(
  TRIM(
    SUBSTITUTE(
      SUBSTITUTE(
        SUBSTITUTE(
          SUBSTITUTE(
            C592,
            ""√©"", ""é""
          ),
          ""√±"", ""ñ""
        ),
        ""√°"", ""á""
      ),
      ""√≥"", ""ó""
    )
  ),
  ""-""
)
"),"Teléfono")</f>
        <v>Teléfono</v>
      </c>
      <c r="O592" s="22" t="str">
        <f>IFERROR(__xludf.DUMMYFUNCTION("""COMPUTED_VALUE"""),"Gama media")</f>
        <v>Gama media</v>
      </c>
      <c r="P592" s="22" t="str">
        <f>IFERROR(__xludf.DUMMYFUNCTION("""COMPUTED_VALUE"""),"32GB")</f>
        <v>32GB</v>
      </c>
      <c r="Q592" s="23">
        <f t="shared" si="1"/>
        <v>807.71</v>
      </c>
      <c r="R592" s="22">
        <f t="shared" si="2"/>
        <v>3</v>
      </c>
      <c r="S592" s="23">
        <f t="shared" si="3"/>
        <v>2423.13</v>
      </c>
      <c r="T592" s="22" t="str">
        <f>IFERROR(__xludf.DUMMYFUNCTION("PROPER(TRIM(
  LET(
    texto1, REGEXREPLACE(G592,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"),"Camilo Eric Medina")</f>
        <v>Camilo Eric Medina</v>
      </c>
      <c r="U592" s="22" t="str">
        <f t="shared" si="4"/>
        <v>89fcd453-c6b3-469a-96fa-b54ec64f874f</v>
      </c>
      <c r="V592" s="24" t="str">
        <f t="shared" si="5"/>
        <v>Teléfono Gama media 32GB</v>
      </c>
    </row>
    <row r="593" ht="15.75" customHeight="1">
      <c r="A593" s="36">
        <v>45546.0</v>
      </c>
      <c r="B593" s="2" t="s">
        <v>27</v>
      </c>
      <c r="C593" s="2" t="s">
        <v>807</v>
      </c>
      <c r="D593" s="7">
        <v>794.49</v>
      </c>
      <c r="E593" s="2">
        <v>2.0</v>
      </c>
      <c r="F593" s="7">
        <v>1588.98</v>
      </c>
      <c r="G593" s="2" t="s">
        <v>2080</v>
      </c>
      <c r="H593" s="2" t="s">
        <v>2081</v>
      </c>
      <c r="I593" s="2" t="s">
        <v>2082</v>
      </c>
      <c r="K593" s="25" t="str">
        <f>IFERROR(__xludf.DUMMYFUNCTION("IF(ISBLANK(A593),
  """",
  IF(ISNUMBER(A593),
    TEXT(A593,""dd/mm/yyyy""),
    IF(
      REGEXMATCH(TRIM(A593),""^\d{1,2}/\d{1,2}/\d{4}$""),
      TRIM(A593),
      IFERROR(
        TEXT(DATEVALUE(SUBSTITUTE(SUBSTITUTE(TRIM(A593),""-"",""/""),""."",""/"&amp;""")),""dd/mm/yyyy""),
        TRIM(A593)
      )
    )
  )
)
"),"11/09/2024")</f>
        <v>11/09/2024</v>
      </c>
      <c r="L593" s="26">
        <v>45546.0</v>
      </c>
      <c r="M593" s="27" t="str">
        <f>IFERROR(__xludf.DUMMYFUNCTION("PROPER(TRIM(
  REGEXREPLACE(
    REGEXREPLACE(
      SUBSTITUTE(SUBSTITUTE(SUBSTITUTE(SUBSTITUTE(SUBSTITUTE(SUBSTITUTE(SUBSTITUTE(SUBSTITUTE(SUBSTITUTE(SUBSTITUTE(SUBSTITUTE(
        B593,""√©"",""é""),""√°"",""á""),""√±"",""ñ""),""√≥"",""ó""),""√â"",""é"&amp;"""),""√Å"",""á""),""√ç"",""í""),""√Ç"",""Í""),""√Â"",""é""),""√≠"",""í""),""√º"",""ú""),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93" s="28" t="str">
        <f>IFERROR(__xludf.DUMMYFUNCTION("SPLIT(
  TRIM(
    SUBSTITUTE(
      SUBSTITUTE(
        SUBSTITUTE(
          SUBSTITUTE(
            C593,
            ""√©"", ""é""
          ),
          ""√±"", ""ñ""
        ),
        ""√°"", ""á""
      ),
      ""√≥"", ""ó""
    )
  ),
  ""-""
)
"),"Auriculares")</f>
        <v>Auriculares</v>
      </c>
      <c r="O593" s="28" t="str">
        <f>IFERROR(__xludf.DUMMYFUNCTION("""COMPUTED_VALUE"""),"Con cable")</f>
        <v>Con cable</v>
      </c>
      <c r="P593" s="28" t="str">
        <f>IFERROR(__xludf.DUMMYFUNCTION("""COMPUTED_VALUE"""),"4GB")</f>
        <v>4GB</v>
      </c>
      <c r="Q593" s="29">
        <f t="shared" si="1"/>
        <v>794.49</v>
      </c>
      <c r="R593" s="28">
        <f t="shared" si="2"/>
        <v>2</v>
      </c>
      <c r="S593" s="29">
        <f t="shared" si="3"/>
        <v>1588.98</v>
      </c>
      <c r="T593" s="28" t="str">
        <f>IFERROR(__xludf.DUMMYFUNCTION("PROPER(TRIM(
  LET(
    texto1, REGEXREPLACE(G593,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"),"Scar Valenzuela")</f>
        <v>Scar Valenzuela</v>
      </c>
      <c r="U593" s="28" t="str">
        <f t="shared" si="4"/>
        <v>8d3b7c03-8540-49a4-a954-d8b7b6b2fa06</v>
      </c>
      <c r="V593" s="30" t="str">
        <f t="shared" si="5"/>
        <v>Auriculares Con cable 4GB</v>
      </c>
    </row>
    <row r="594" ht="15.75" customHeight="1">
      <c r="A594" s="6">
        <v>45594.0</v>
      </c>
      <c r="B594" s="2" t="s">
        <v>50</v>
      </c>
      <c r="C594" s="2" t="s">
        <v>369</v>
      </c>
      <c r="D594" s="7">
        <v>2388.79</v>
      </c>
      <c r="E594" s="2">
        <v>2.0</v>
      </c>
      <c r="F594" s="7">
        <v>4777.58</v>
      </c>
      <c r="G594" s="2" t="s">
        <v>2083</v>
      </c>
      <c r="H594" s="2" t="s">
        <v>2084</v>
      </c>
      <c r="I594" s="2" t="s">
        <v>2085</v>
      </c>
      <c r="K594" s="19" t="str">
        <f>IFERROR(__xludf.DUMMYFUNCTION("IF(ISBLANK(A594),
  """",
  IF(ISNUMBER(A594),
    TEXT(A594,""dd/mm/yyyy""),
    IF(
      REGEXMATCH(TRIM(A594),""^\d{1,2}/\d{1,2}/\d{4}$""),
      TRIM(A594),
      IFERROR(
        TEXT(DATEVALUE(SUBSTITUTE(SUBSTITUTE(TRIM(A594),""-"",""/""),""."",""/"&amp;""")),""dd/mm/yyyy""),
        TRIM(A594)
      )
    )
  )
)
"),"29/10/2024")</f>
        <v>29/10/2024</v>
      </c>
      <c r="L594" s="20">
        <v>45594.0</v>
      </c>
      <c r="M594" s="21" t="str">
        <f>IFERROR(__xludf.DUMMYFUNCTION("PROPER(TRIM(
  REGEXREPLACE(
    REGEXREPLACE(
      SUBSTITUTE(SUBSTITUTE(SUBSTITUTE(SUBSTITUTE(SUBSTITUTE(SUBSTITUTE(SUBSTITUTE(SUBSTITUTE(SUBSTITUTE(SUBSTITUTE(SUBSTITUTE(
        B594,""√©"",""é""),""√°"",""á""),""√±"",""ñ""),""√≥"",""ó""),""√â"",""é"&amp;"""),""√Å"",""á""),""√ç"",""í""),""√Ç"",""Í""),""√Â"",""é""),""√≠"",""í""),""√º"",""ú""),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94" s="22" t="str">
        <f>IFERROR(__xludf.DUMMYFUNCTION("SPLIT(
  TRIM(
    SUBSTITUTE(
      SUBSTITUTE(
        SUBSTITUTE(
          SUBSTITUTE(
            C594,
            ""√©"", ""é""
          ),
          ""√±"", ""ñ""
        ),
        ""√°"", ""á""
      ),
      ""√≥"", ""ó""
    )
  ),
  ""-""
)
"),"Tablet")</f>
        <v>Tablet</v>
      </c>
      <c r="O594" s="22" t="str">
        <f>IFERROR(__xludf.DUMMYFUNCTION("""COMPUTED_VALUE"""),"Pro")</f>
        <v>Pro</v>
      </c>
      <c r="P594" s="22" t="str">
        <f>IFERROR(__xludf.DUMMYFUNCTION("""COMPUTED_VALUE"""),"16GB")</f>
        <v>16GB</v>
      </c>
      <c r="Q594" s="23">
        <f t="shared" si="1"/>
        <v>2388.79</v>
      </c>
      <c r="R594" s="22">
        <f t="shared" si="2"/>
        <v>2</v>
      </c>
      <c r="S594" s="23">
        <f t="shared" si="3"/>
        <v>4777.58</v>
      </c>
      <c r="T594" s="22" t="str">
        <f>IFERROR(__xludf.DUMMYFUNCTION("PROPER(TRIM(
  LET(
    texto1, REGEXREPLACE(G594,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Eugenia Guajardo Ayala")</f>
        <v>María Eugenia Guajardo Ayala</v>
      </c>
      <c r="U594" s="22" t="str">
        <f t="shared" si="4"/>
        <v>42eeb64c-1110-40be-a856-c0a364fb8c30</v>
      </c>
      <c r="V594" s="24" t="str">
        <f t="shared" si="5"/>
        <v>Tablet Pro 16GB</v>
      </c>
    </row>
    <row r="595" ht="15.75" customHeight="1">
      <c r="A595" s="6">
        <v>45619.0</v>
      </c>
      <c r="B595" s="2" t="s">
        <v>16</v>
      </c>
      <c r="C595" s="2" t="s">
        <v>167</v>
      </c>
      <c r="D595" s="7">
        <v>1768.49</v>
      </c>
      <c r="E595" s="2">
        <v>2.0</v>
      </c>
      <c r="F595" s="7">
        <v>3536.98</v>
      </c>
      <c r="G595" s="2" t="s">
        <v>2086</v>
      </c>
      <c r="H595" s="2" t="s">
        <v>2087</v>
      </c>
      <c r="I595" s="2" t="s">
        <v>2088</v>
      </c>
      <c r="K595" s="25" t="str">
        <f>IFERROR(__xludf.DUMMYFUNCTION("IF(ISBLANK(A595),
  """",
  IF(ISNUMBER(A595),
    TEXT(A595,""dd/mm/yyyy""),
    IF(
      REGEXMATCH(TRIM(A595),""^\d{1,2}/\d{1,2}/\d{4}$""),
      TRIM(A595),
      IFERROR(
        TEXT(DATEVALUE(SUBSTITUTE(SUBSTITUTE(TRIM(A595),""-"",""/""),""."",""/"&amp;""")),""dd/mm/yyyy""),
        TRIM(A595)
      )
    )
  )
)
"),"23/11/2024")</f>
        <v>23/11/2024</v>
      </c>
      <c r="L595" s="26">
        <v>45619.0</v>
      </c>
      <c r="M595" s="27" t="str">
        <f>IFERROR(__xludf.DUMMYFUNCTION("PROPER(TRIM(
  REGEXREPLACE(
    REGEXREPLACE(
      SUBSTITUTE(SUBSTITUTE(SUBSTITUTE(SUBSTITUTE(SUBSTITUTE(SUBSTITUTE(SUBSTITUTE(SUBSTITUTE(SUBSTITUTE(SUBSTITUTE(SUBSTITUTE(
        B595,""√©"",""é""),""√°"",""á""),""√±"",""ñ""),""√≥"",""ó""),""√â"",""é"&amp;"""),""√Å"",""á""),""√ç"",""í""),""√Ç"",""Í""),""√Â"",""é""),""√≠"",""í""),""√º"",""ú""),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595" s="28" t="str">
        <f>IFERROR(__xludf.DUMMYFUNCTION("SPLIT(
  TRIM(
    SUBSTITUTE(
      SUBSTITUTE(
        SUBSTITUTE(
          SUBSTITUTE(
            C595,
            ""√©"", ""é""
          ),
          ""√±"", ""ñ""
        ),
        ""√°"", ""á""
      ),
      ""√≥"", ""ó""
    )
  ),
  ""-""
)
"),"Laptop")</f>
        <v>Laptop</v>
      </c>
      <c r="O595" s="28" t="str">
        <f>IFERROR(__xludf.DUMMYFUNCTION("""COMPUTED_VALUE"""),"Gaming")</f>
        <v>Gaming</v>
      </c>
      <c r="P595" s="28" t="str">
        <f>IFERROR(__xludf.DUMMYFUNCTION("""COMPUTED_VALUE"""),"8GB")</f>
        <v>8GB</v>
      </c>
      <c r="Q595" s="29">
        <f t="shared" si="1"/>
        <v>1768.49</v>
      </c>
      <c r="R595" s="28">
        <f t="shared" si="2"/>
        <v>2</v>
      </c>
      <c r="S595" s="29">
        <f t="shared" si="3"/>
        <v>3536.98</v>
      </c>
      <c r="T595" s="28" t="str">
        <f>IFERROR(__xludf.DUMMYFUNCTION("PROPER(TRIM(
  LET(
    texto1, REGEXREPLACE(G595,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"),"Emilio Campos Grijalva")</f>
        <v>Emilio Campos Grijalva</v>
      </c>
      <c r="U595" s="28" t="str">
        <f t="shared" si="4"/>
        <v>4c0c62c7-01f1-4c1a-be44-12a93c7d2e39</v>
      </c>
      <c r="V595" s="30" t="str">
        <f t="shared" si="5"/>
        <v>Laptop Gaming 8GB</v>
      </c>
    </row>
    <row r="596" ht="15.75" customHeight="1">
      <c r="A596" s="6">
        <v>45609.0</v>
      </c>
      <c r="B596" s="2" t="s">
        <v>38</v>
      </c>
      <c r="C596" s="2" t="s">
        <v>28</v>
      </c>
      <c r="D596" s="7">
        <v>1873.69</v>
      </c>
      <c r="E596" s="2">
        <v>2.0</v>
      </c>
      <c r="F596" s="7">
        <v>3747.38</v>
      </c>
      <c r="G596" s="2" t="s">
        <v>2089</v>
      </c>
      <c r="H596" s="2" t="s">
        <v>2090</v>
      </c>
      <c r="I596" s="2" t="s">
        <v>2091</v>
      </c>
      <c r="K596" s="19" t="str">
        <f>IFERROR(__xludf.DUMMYFUNCTION("IF(ISBLANK(A596),
  """",
  IF(ISNUMBER(A596),
    TEXT(A596,""dd/mm/yyyy""),
    IF(
      REGEXMATCH(TRIM(A596),""^\d{1,2}/\d{1,2}/\d{4}$""),
      TRIM(A596),
      IFERROR(
        TEXT(DATEVALUE(SUBSTITUTE(SUBSTITUTE(TRIM(A596),""-"",""/""),""."",""/"&amp;""")),""dd/mm/yyyy""),
        TRIM(A596)
      )
    )
  )
)
"),"13/11/2024")</f>
        <v>13/11/2024</v>
      </c>
      <c r="L596" s="20">
        <v>45609.0</v>
      </c>
      <c r="M596" s="21" t="str">
        <f>IFERROR(__xludf.DUMMYFUNCTION("PROPER(TRIM(
  REGEXREPLACE(
    REGEXREPLACE(
      SUBSTITUTE(SUBSTITUTE(SUBSTITUTE(SUBSTITUTE(SUBSTITUTE(SUBSTITUTE(SUBSTITUTE(SUBSTITUTE(SUBSTITUTE(SUBSTITUTE(SUBSTITUTE(
        B596,""√©"",""é""),""√°"",""á""),""√±"",""ñ""),""√≥"",""ó""),""√â"",""é"&amp;"""),""√Å"",""á""),""√ç"",""í""),""√Ç"",""Í""),""√Â"",""é""),""√≠"",""í""),""√º"",""ú""),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596" s="22" t="str">
        <f>IFERROR(__xludf.DUMMYFUNCTION("SPLIT(
  TRIM(
    SUBSTITUTE(
      SUBSTITUTE(
        SUBSTITUTE(
          SUBSTITUTE(
            C596,
            ""√©"", ""é""
          ),
          ""√±"", ""ñ""
        ),
        ""√°"", ""á""
      ),
      ""√≥"", ""ó""
    )
  ),
  ""-""
)
"),"Tablet")</f>
        <v>Tablet</v>
      </c>
      <c r="O596" s="22" t="str">
        <f>IFERROR(__xludf.DUMMYFUNCTION("""COMPUTED_VALUE"""),"Pro")</f>
        <v>Pro</v>
      </c>
      <c r="P596" s="22" t="str">
        <f>IFERROR(__xludf.DUMMYFUNCTION("""COMPUTED_VALUE"""),"8GB")</f>
        <v>8GB</v>
      </c>
      <c r="Q596" s="23">
        <f t="shared" si="1"/>
        <v>1873.69</v>
      </c>
      <c r="R596" s="22">
        <f t="shared" si="2"/>
        <v>2</v>
      </c>
      <c r="S596" s="23">
        <f t="shared" si="3"/>
        <v>3747.38</v>
      </c>
      <c r="T596" s="22" t="str">
        <f>IFERROR(__xludf.DUMMYFUNCTION("PROPER(TRIM(
  LET(
    texto1, REGEXREPLACE(G596,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"),"Cecilia Casas Ledesma")</f>
        <v>Cecilia Casas Ledesma</v>
      </c>
      <c r="U596" s="22" t="str">
        <f t="shared" si="4"/>
        <v>31af08be-2649-4947-9338-28fb518be843</v>
      </c>
      <c r="V596" s="24" t="str">
        <f t="shared" si="5"/>
        <v>Tablet Pro 8GB</v>
      </c>
    </row>
    <row r="597" ht="15.75" customHeight="1">
      <c r="A597" s="6">
        <v>45618.0</v>
      </c>
      <c r="B597" s="2" t="s">
        <v>50</v>
      </c>
      <c r="C597" s="2" t="s">
        <v>452</v>
      </c>
      <c r="D597" s="7">
        <v>752.56</v>
      </c>
      <c r="E597" s="2">
        <v>2.0</v>
      </c>
      <c r="F597" s="7">
        <v>1505.12</v>
      </c>
      <c r="G597" s="2" t="s">
        <v>2092</v>
      </c>
      <c r="H597" s="2" t="s">
        <v>2093</v>
      </c>
      <c r="I597" s="2" t="s">
        <v>2094</v>
      </c>
      <c r="K597" s="25" t="str">
        <f>IFERROR(__xludf.DUMMYFUNCTION("IF(ISBLANK(A597),
  """",
  IF(ISNUMBER(A597),
    TEXT(A597,""dd/mm/yyyy""),
    IF(
      REGEXMATCH(TRIM(A597),""^\d{1,2}/\d{1,2}/\d{4}$""),
      TRIM(A597),
      IFERROR(
        TEXT(DATEVALUE(SUBSTITUTE(SUBSTITUTE(TRIM(A597),""-"",""/""),""."",""/"&amp;""")),""dd/mm/yyyy""),
        TRIM(A597)
      )
    )
  )
)
"),"22/11/2024")</f>
        <v>22/11/2024</v>
      </c>
      <c r="L597" s="26">
        <v>45618.0</v>
      </c>
      <c r="M597" s="27" t="str">
        <f>IFERROR(__xludf.DUMMYFUNCTION("PROPER(TRIM(
  REGEXREPLACE(
    REGEXREPLACE(
      SUBSTITUTE(SUBSTITUTE(SUBSTITUTE(SUBSTITUTE(SUBSTITUTE(SUBSTITUTE(SUBSTITUTE(SUBSTITUTE(SUBSTITUTE(SUBSTITUTE(SUBSTITUTE(
        B597,""√©"",""é""),""√°"",""á""),""√±"",""ñ""),""√≥"",""ó""),""√â"",""é"&amp;"""),""√Å"",""á""),""√ç"",""í""),""√Ç"",""Í""),""√Â"",""é""),""√≠"",""í""),""√º"",""ú""),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97" s="28" t="str">
        <f>IFERROR(__xludf.DUMMYFUNCTION("SPLIT(
  TRIM(
    SUBSTITUTE(
      SUBSTITUTE(
        SUBSTITUTE(
          SUBSTITUTE(
            C597,
            ""√©"", ""é""
          ),
          ""√±"", ""ñ""
        ),
        ""√°"", ""á""
      ),
      ""√≥"", ""ó""
    )
  ),
  ""-""
)
"),"Teléfono")</f>
        <v>Teléfono</v>
      </c>
      <c r="O597" s="28" t="str">
        <f>IFERROR(__xludf.DUMMYFUNCTION("""COMPUTED_VALUE"""),"Gama media")</f>
        <v>Gama media</v>
      </c>
      <c r="P597" s="28" t="str">
        <f>IFERROR(__xludf.DUMMYFUNCTION("""COMPUTED_VALUE"""),"16GB")</f>
        <v>16GB</v>
      </c>
      <c r="Q597" s="29">
        <f t="shared" si="1"/>
        <v>752.56</v>
      </c>
      <c r="R597" s="28">
        <f t="shared" si="2"/>
        <v>2</v>
      </c>
      <c r="S597" s="29">
        <f t="shared" si="3"/>
        <v>1505.12</v>
      </c>
      <c r="T597" s="28" t="str">
        <f>IFERROR(__xludf.DUMMYFUNCTION("PROPER(TRIM(
  LET(
    texto1, REGEXREPLACE(G597,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"),"Alonso Ignacio Hidalgo Montes")</f>
        <v>Alonso Ignacio Hidalgo Montes</v>
      </c>
      <c r="U597" s="28" t="str">
        <f t="shared" si="4"/>
        <v>50ca8d12-6f3b-4d72-852c-ddb04e41ecb0</v>
      </c>
      <c r="V597" s="30" t="str">
        <f t="shared" si="5"/>
        <v>Teléfono Gama media 16GB</v>
      </c>
    </row>
    <row r="598" ht="15.75" customHeight="1">
      <c r="A598" s="6">
        <v>45656.0</v>
      </c>
      <c r="B598" s="2" t="s">
        <v>27</v>
      </c>
      <c r="C598" s="2" t="s">
        <v>75</v>
      </c>
      <c r="D598" s="7">
        <v>619.4</v>
      </c>
      <c r="E598" s="2">
        <v>1.0</v>
      </c>
      <c r="F598" s="7">
        <v>619.4</v>
      </c>
      <c r="G598" s="2" t="s">
        <v>2095</v>
      </c>
      <c r="H598" s="2" t="s">
        <v>2096</v>
      </c>
      <c r="I598" s="2" t="s">
        <v>2097</v>
      </c>
      <c r="K598" s="19" t="str">
        <f>IFERROR(__xludf.DUMMYFUNCTION("IF(ISBLANK(A598),
  """",
  IF(ISNUMBER(A598),
    TEXT(A598,""dd/mm/yyyy""),
    IF(
      REGEXMATCH(TRIM(A598),""^\d{1,2}/\d{1,2}/\d{4}$""),
      TRIM(A598),
      IFERROR(
        TEXT(DATEVALUE(SUBSTITUTE(SUBSTITUTE(TRIM(A598),""-"",""/""),""."",""/"&amp;""")),""dd/mm/yyyy""),
        TRIM(A598)
      )
    )
  )
)
"),"30/12/2024")</f>
        <v>30/12/2024</v>
      </c>
      <c r="L598" s="20">
        <v>45656.0</v>
      </c>
      <c r="M598" s="21" t="str">
        <f>IFERROR(__xludf.DUMMYFUNCTION("PROPER(TRIM(
  REGEXREPLACE(
    REGEXREPLACE(
      SUBSTITUTE(SUBSTITUTE(SUBSTITUTE(SUBSTITUTE(SUBSTITUTE(SUBSTITUTE(SUBSTITUTE(SUBSTITUTE(SUBSTITUTE(SUBSTITUTE(SUBSTITUTE(
        B598,""√©"",""é""),""√°"",""á""),""√±"",""ñ""),""√≥"",""ó""),""√â"",""é"&amp;"""),""√Å"",""á""),""√ç"",""í""),""√Ç"",""Í""),""√Â"",""é""),""√≠"",""í""),""√º"",""ú""),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598" s="22" t="str">
        <f>IFERROR(__xludf.DUMMYFUNCTION("SPLIT(
  TRIM(
    SUBSTITUTE(
      SUBSTITUTE(
        SUBSTITUTE(
          SUBSTITUTE(
            C598,
            ""√©"", ""é""
          ),
          ""√±"", ""ñ""
        ),
        ""√°"", ""á""
      ),
      ""√≥"", ""ó""
    )
  ),
  ""-""
)
"),"Tablet")</f>
        <v>Tablet</v>
      </c>
      <c r="O598" s="22" t="str">
        <f>IFERROR(__xludf.DUMMYFUNCTION("""COMPUTED_VALUE"""),"Pro")</f>
        <v>Pro</v>
      </c>
      <c r="P598" s="22" t="str">
        <f>IFERROR(__xludf.DUMMYFUNCTION("""COMPUTED_VALUE"""),"4GB")</f>
        <v>4GB</v>
      </c>
      <c r="Q598" s="23">
        <f t="shared" si="1"/>
        <v>619.4</v>
      </c>
      <c r="R598" s="22">
        <f t="shared" si="2"/>
        <v>1</v>
      </c>
      <c r="S598" s="23">
        <f t="shared" si="3"/>
        <v>619.4</v>
      </c>
      <c r="T598" s="22" t="str">
        <f>IFERROR(__xludf.DUMMYFUNCTION("PROPER(TRIM(
  LET(
    texto1, REGEXREPLACE(G598,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"),"Socorro Jurado")</f>
        <v>Socorro Jurado</v>
      </c>
      <c r="U598" s="22" t="str">
        <f t="shared" si="4"/>
        <v>e6cdf437-19fd-4174-9933-e60c7eb6eab2</v>
      </c>
      <c r="V598" s="24" t="str">
        <f t="shared" si="5"/>
        <v>Tablet Pro 4GB</v>
      </c>
    </row>
    <row r="599" ht="15.75" customHeight="1">
      <c r="A599" s="36">
        <v>45638.0</v>
      </c>
      <c r="B599" s="2" t="s">
        <v>50</v>
      </c>
      <c r="C599" s="2" t="s">
        <v>121</v>
      </c>
      <c r="D599" s="7">
        <v>834.63</v>
      </c>
      <c r="E599" s="2">
        <v>4.0</v>
      </c>
      <c r="F599" s="7">
        <v>3338.52</v>
      </c>
      <c r="G599" s="2" t="s">
        <v>2098</v>
      </c>
      <c r="H599" s="2" t="s">
        <v>2099</v>
      </c>
      <c r="I599" s="2" t="s">
        <v>2100</v>
      </c>
      <c r="K599" s="25" t="str">
        <f>IFERROR(__xludf.DUMMYFUNCTION("IF(ISBLANK(A599),
  """",
  IF(ISNUMBER(A599),
    TEXT(A599,""dd/mm/yyyy""),
    IF(
      REGEXMATCH(TRIM(A599),""^\d{1,2}/\d{1,2}/\d{4}$""),
      TRIM(A599),
      IFERROR(
        TEXT(DATEVALUE(SUBSTITUTE(SUBSTITUTE(TRIM(A599),""-"",""/""),""."",""/"&amp;""")),""dd/mm/yyyy""),
        TRIM(A599)
      )
    )
  )
)
"),"12/12/2024")</f>
        <v>12/12/2024</v>
      </c>
      <c r="L599" s="26">
        <v>45638.0</v>
      </c>
      <c r="M599" s="27" t="str">
        <f>IFERROR(__xludf.DUMMYFUNCTION("PROPER(TRIM(
  REGEXREPLACE(
    REGEXREPLACE(
      SUBSTITUTE(SUBSTITUTE(SUBSTITUTE(SUBSTITUTE(SUBSTITUTE(SUBSTITUTE(SUBSTITUTE(SUBSTITUTE(SUBSTITUTE(SUBSTITUTE(SUBSTITUTE(
        B599,""√©"",""é""),""√°"",""á""),""√±"",""ñ""),""√≥"",""ó""),""√â"",""é"&amp;"""),""√Å"",""á""),""√ç"",""í""),""√Ç"",""Í""),""√Â"",""é""),""√≠"",""í""),""√º"",""ú""),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599" s="28" t="str">
        <f>IFERROR(__xludf.DUMMYFUNCTION("SPLIT(
  TRIM(
    SUBSTITUTE(
      SUBSTITUTE(
        SUBSTITUTE(
          SUBSTITUTE(
            C599,
            ""√©"", ""é""
          ),
          ""√±"", ""ñ""
        ),
        ""√°"", ""á""
      ),
      ""√≥"", ""ó""
    )
  ),
  ""-""
)
"),"Teléfono")</f>
        <v>Teléfono</v>
      </c>
      <c r="O599" s="28" t="str">
        <f>IFERROR(__xludf.DUMMYFUNCTION("""COMPUTED_VALUE"""),"Gama baja")</f>
        <v>Gama baja</v>
      </c>
      <c r="P599" s="28" t="str">
        <f>IFERROR(__xludf.DUMMYFUNCTION("""COMPUTED_VALUE"""),"8GB")</f>
        <v>8GB</v>
      </c>
      <c r="Q599" s="29">
        <f t="shared" si="1"/>
        <v>834.63</v>
      </c>
      <c r="R599" s="28">
        <f t="shared" si="2"/>
        <v>4</v>
      </c>
      <c r="S599" s="29">
        <f t="shared" si="3"/>
        <v>3338.52</v>
      </c>
      <c r="T599" s="28" t="str">
        <f>IFERROR(__xludf.DUMMYFUNCTION("PROPER(TRIM(
  LET(
    texto1, REGEXREPLACE(G599,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"),"Camila María Teresa Reyna Lucero")</f>
        <v>Camila María Teresa Reyna Lucero</v>
      </c>
      <c r="U599" s="28" t="str">
        <f t="shared" si="4"/>
        <v>8d5984e4-42c5-40ea-a6b1-0829494656fe</v>
      </c>
      <c r="V599" s="30" t="str">
        <f t="shared" si="5"/>
        <v>Teléfono Gama baja 8GB</v>
      </c>
    </row>
    <row r="600" ht="15.75" customHeight="1">
      <c r="A600" s="6">
        <v>45654.0</v>
      </c>
      <c r="B600" s="2" t="s">
        <v>27</v>
      </c>
      <c r="C600" s="2" t="s">
        <v>152</v>
      </c>
      <c r="D600" s="7">
        <v>211.08</v>
      </c>
      <c r="E600" s="2">
        <v>4.0</v>
      </c>
      <c r="F600" s="7">
        <v>844.32</v>
      </c>
      <c r="G600" s="2" t="s">
        <v>2101</v>
      </c>
      <c r="H600" s="2" t="s">
        <v>2102</v>
      </c>
      <c r="I600" s="2" t="s">
        <v>2103</v>
      </c>
      <c r="K600" s="19" t="str">
        <f>IFERROR(__xludf.DUMMYFUNCTION("IF(ISBLANK(A600),
  """",
  IF(ISNUMBER(A600),
    TEXT(A600,""dd/mm/yyyy""),
    IF(
      REGEXMATCH(TRIM(A600),""^\d{1,2}/\d{1,2}/\d{4}$""),
      TRIM(A600),
      IFERROR(
        TEXT(DATEVALUE(SUBSTITUTE(SUBSTITUTE(TRIM(A600),""-"",""/""),""."",""/"&amp;""")),""dd/mm/yyyy""),
        TRIM(A600)
      )
    )
  )
)
"),"28/12/2024")</f>
        <v>28/12/2024</v>
      </c>
      <c r="L600" s="20">
        <v>45654.0</v>
      </c>
      <c r="M600" s="21" t="str">
        <f>IFERROR(__xludf.DUMMYFUNCTION("PROPER(TRIM(
  REGEXREPLACE(
    REGEXREPLACE(
      SUBSTITUTE(SUBSTITUTE(SUBSTITUTE(SUBSTITUTE(SUBSTITUTE(SUBSTITUTE(SUBSTITUTE(SUBSTITUTE(SUBSTITUTE(SUBSTITUTE(SUBSTITUTE(
        B600,""√©"",""é""),""√°"",""á""),""√±"",""ñ""),""√≥"",""ó""),""√â"",""é"&amp;"""),""√Å"",""á""),""√ç"",""í""),""√Ç"",""Í""),""√Â"",""é""),""√≠"",""í""),""√º"",""ú""),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00" s="22" t="str">
        <f>IFERROR(__xludf.DUMMYFUNCTION("SPLIT(
  TRIM(
    SUBSTITUTE(
      SUBSTITUTE(
        SUBSTITUTE(
          SUBSTITUTE(
            C600,
            ""√©"", ""é""
          ),
          ""√±"", ""ñ""
        ),
        ""√°"", ""á""
      ),
      ""√≥"", ""ó""
    )
  ),
  ""-""
)
"),"Teléfono")</f>
        <v>Teléfono</v>
      </c>
      <c r="O600" s="22" t="str">
        <f>IFERROR(__xludf.DUMMYFUNCTION("""COMPUTED_VALUE"""),"Gama baja")</f>
        <v>Gama baja</v>
      </c>
      <c r="P600" s="22" t="str">
        <f>IFERROR(__xludf.DUMMYFUNCTION("""COMPUTED_VALUE"""),"4GB")</f>
        <v>4GB</v>
      </c>
      <c r="Q600" s="23">
        <f t="shared" si="1"/>
        <v>211.08</v>
      </c>
      <c r="R600" s="22">
        <f t="shared" si="2"/>
        <v>4</v>
      </c>
      <c r="S600" s="23">
        <f t="shared" si="3"/>
        <v>844.32</v>
      </c>
      <c r="T600" s="22" t="str">
        <f>IFERROR(__xludf.DUMMYFUNCTION("PROPER(TRIM(
  LET(
    texto1, REGEXREPLACE(G600,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Luisa Cardenas Montemayor")</f>
        <v>María Luisa Cardenas Montemayor</v>
      </c>
      <c r="U600" s="22" t="str">
        <f t="shared" si="4"/>
        <v>d337811c-59ff-494c-9e71-77b6282c296c</v>
      </c>
      <c r="V600" s="24" t="str">
        <f t="shared" si="5"/>
        <v>Teléfono Gama baja 4GB</v>
      </c>
    </row>
    <row r="601" ht="15.75" customHeight="1">
      <c r="A601" s="6">
        <v>45620.0</v>
      </c>
      <c r="B601" s="2" t="s">
        <v>38</v>
      </c>
      <c r="C601" s="2" t="s">
        <v>116</v>
      </c>
      <c r="D601" s="7">
        <v>103.69</v>
      </c>
      <c r="E601" s="2">
        <v>5.0</v>
      </c>
      <c r="F601" s="7">
        <v>518.45</v>
      </c>
      <c r="G601" s="2" t="s">
        <v>2104</v>
      </c>
      <c r="H601" s="2" t="s">
        <v>2105</v>
      </c>
      <c r="I601" s="2" t="s">
        <v>2106</v>
      </c>
      <c r="K601" s="25" t="str">
        <f>IFERROR(__xludf.DUMMYFUNCTION("IF(ISBLANK(A601),
  """",
  IF(ISNUMBER(A601),
    TEXT(A601,""dd/mm/yyyy""),
    IF(
      REGEXMATCH(TRIM(A601),""^\d{1,2}/\d{1,2}/\d{4}$""),
      TRIM(A601),
      IFERROR(
        TEXT(DATEVALUE(SUBSTITUTE(SUBSTITUTE(TRIM(A601),""-"",""/""),""."",""/"&amp;""")),""dd/mm/yyyy""),
        TRIM(A601)
      )
    )
  )
)
"),"24/11/2024")</f>
        <v>24/11/2024</v>
      </c>
      <c r="L601" s="26">
        <v>45620.0</v>
      </c>
      <c r="M601" s="27" t="str">
        <f>IFERROR(__xludf.DUMMYFUNCTION("PROPER(TRIM(
  REGEXREPLACE(
    REGEXREPLACE(
      SUBSTITUTE(SUBSTITUTE(SUBSTITUTE(SUBSTITUTE(SUBSTITUTE(SUBSTITUTE(SUBSTITUTE(SUBSTITUTE(SUBSTITUTE(SUBSTITUTE(SUBSTITUTE(
        B601,""√©"",""é""),""√°"",""á""),""√±"",""ñ""),""√≥"",""ó""),""√â"",""é"&amp;"""),""√Å"",""á""),""√ç"",""í""),""√Ç"",""Í""),""√Â"",""é""),""√≠"",""í""),""√º"",""ú""),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01" s="28" t="str">
        <f>IFERROR(__xludf.DUMMYFUNCTION("SPLIT(
  TRIM(
    SUBSTITUTE(
      SUBSTITUTE(
        SUBSTITUTE(
          SUBSTITUTE(
            C601,
            ""√©"", ""é""
          ),
          ""√±"", ""ñ""
        ),
        ""√°"", ""á""
      ),
      ""√≥"", ""ó""
    )
  ),
  ""-""
)
"),"Teléfono")</f>
        <v>Teléfono</v>
      </c>
      <c r="O601" s="28" t="str">
        <f>IFERROR(__xludf.DUMMYFUNCTION("""COMPUTED_VALUE"""),"Gama media")</f>
        <v>Gama media</v>
      </c>
      <c r="P601" s="28" t="str">
        <f>IFERROR(__xludf.DUMMYFUNCTION("""COMPUTED_VALUE"""),"4GB")</f>
        <v>4GB</v>
      </c>
      <c r="Q601" s="29">
        <f t="shared" si="1"/>
        <v>103.69</v>
      </c>
      <c r="R601" s="28">
        <f t="shared" si="2"/>
        <v>5</v>
      </c>
      <c r="S601" s="29">
        <f t="shared" si="3"/>
        <v>518.45</v>
      </c>
      <c r="T601" s="28" t="str">
        <f>IFERROR(__xludf.DUMMYFUNCTION("PROPER(TRIM(
  LET(
    texto1, REGEXREPLACE(G601,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"),"Iván Amaya")</f>
        <v>Iván Amaya</v>
      </c>
      <c r="U601" s="28" t="str">
        <f t="shared" si="4"/>
        <v>f055f3a8-2041-4c8b-a2df-fc620ea22103</v>
      </c>
      <c r="V601" s="30" t="str">
        <f t="shared" si="5"/>
        <v>Teléfono Gama media 4GB</v>
      </c>
    </row>
    <row r="602" ht="15.75" customHeight="1">
      <c r="A602" s="36">
        <v>45454.0</v>
      </c>
      <c r="B602" s="2" t="s">
        <v>368</v>
      </c>
      <c r="C602" s="2" t="s">
        <v>593</v>
      </c>
      <c r="D602" s="7">
        <v>1137.77</v>
      </c>
      <c r="E602" s="2">
        <v>5.0</v>
      </c>
      <c r="F602" s="7">
        <v>5688.85</v>
      </c>
      <c r="G602" s="2" t="s">
        <v>2107</v>
      </c>
      <c r="H602" s="2" t="s">
        <v>2108</v>
      </c>
      <c r="I602" s="2" t="s">
        <v>2109</v>
      </c>
      <c r="K602" s="19" t="str">
        <f>IFERROR(__xludf.DUMMYFUNCTION("IF(ISBLANK(A602),
  """",
  IF(ISNUMBER(A602),
    TEXT(A602,""dd/mm/yyyy""),
    IF(
      REGEXMATCH(TRIM(A602),""^\d{1,2}/\d{1,2}/\d{4}$""),
      TRIM(A602),
      IFERROR(
        TEXT(DATEVALUE(SUBSTITUTE(SUBSTITUTE(TRIM(A602),""-"",""/""),""."",""/"&amp;""")),""dd/mm/yyyy""),
        TRIM(A602)
      )
    )
  )
)
"),"11/06/2024")</f>
        <v>11/06/2024</v>
      </c>
      <c r="L602" s="20">
        <v>45454.0</v>
      </c>
      <c r="M602" s="21" t="str">
        <f>IFERROR(__xludf.DUMMYFUNCTION("PROPER(TRIM(
  REGEXREPLACE(
    REGEXREPLACE(
      SUBSTITUTE(SUBSTITUTE(SUBSTITUTE(SUBSTITUTE(SUBSTITUTE(SUBSTITUTE(SUBSTITUTE(SUBSTITUTE(SUBSTITUTE(SUBSTITUTE(SUBSTITUTE(
        B602,""√©"",""é""),""√°"",""á""),""√±"",""ñ""),""√≥"",""ó""),""√â"",""é"&amp;"""),""√Å"",""á""),""√ç"",""í""),""√Ç"",""Í""),""√Â"",""é""),""√≠"",""í""),""√º"",""ú""),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02" s="22" t="str">
        <f>IFERROR(__xludf.DUMMYFUNCTION("SPLIT(
  TRIM(
    SUBSTITUTE(
      SUBSTITUTE(
        SUBSTITUTE(
          SUBSTITUTE(
            C602,
            ""√©"", ""é""
          ),
          ""√±"", ""ñ""
        ),
        ""√°"", ""á""
      ),
      ""√≥"", ""ó""
    )
  ),
  ""-""
)
"),"Laptop")</f>
        <v>Laptop</v>
      </c>
      <c r="O602" s="22" t="str">
        <f>IFERROR(__xludf.DUMMYFUNCTION("""COMPUTED_VALUE"""),"Gaming")</f>
        <v>Gaming</v>
      </c>
      <c r="P602" s="22" t="str">
        <f>IFERROR(__xludf.DUMMYFUNCTION("""COMPUTED_VALUE"""),"16GB")</f>
        <v>16GB</v>
      </c>
      <c r="Q602" s="23">
        <f t="shared" si="1"/>
        <v>1137.77</v>
      </c>
      <c r="R602" s="22">
        <f t="shared" si="2"/>
        <v>5</v>
      </c>
      <c r="S602" s="23">
        <f t="shared" si="3"/>
        <v>5688.85</v>
      </c>
      <c r="T602" s="22" t="str">
        <f>IFERROR(__xludf.DUMMYFUNCTION("PROPER(TRIM(
  LET(
    texto1, REGEXREPLACE(G602,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"),"Julia Dulce María Rodarte Durán")</f>
        <v>Julia Dulce María Rodarte Durán</v>
      </c>
      <c r="U602" s="22" t="str">
        <f t="shared" si="4"/>
        <v>b2d5a4a0-38d6-4f4e-beee-12c24b103604</v>
      </c>
      <c r="V602" s="24" t="str">
        <f t="shared" si="5"/>
        <v>Laptop Gaming 16GB</v>
      </c>
    </row>
    <row r="603" ht="15.75" customHeight="1">
      <c r="A603" s="6">
        <v>45619.0</v>
      </c>
      <c r="B603" s="2" t="s">
        <v>27</v>
      </c>
      <c r="C603" s="2" t="s">
        <v>70</v>
      </c>
      <c r="D603" s="7">
        <v>2009.76</v>
      </c>
      <c r="E603" s="2">
        <v>1.0</v>
      </c>
      <c r="F603" s="7">
        <v>2009.76</v>
      </c>
      <c r="G603" s="2" t="s">
        <v>2110</v>
      </c>
      <c r="H603" s="2" t="s">
        <v>2111</v>
      </c>
      <c r="I603" s="2" t="s">
        <v>2112</v>
      </c>
      <c r="K603" s="25" t="str">
        <f>IFERROR(__xludf.DUMMYFUNCTION("IF(ISBLANK(A603),
  """",
  IF(ISNUMBER(A603),
    TEXT(A603,""dd/mm/yyyy""),
    IF(
      REGEXMATCH(TRIM(A603),""^\d{1,2}/\d{1,2}/\d{4}$""),
      TRIM(A603),
      IFERROR(
        TEXT(DATEVALUE(SUBSTITUTE(SUBSTITUTE(TRIM(A603),""-"",""/""),""."",""/"&amp;""")),""dd/mm/yyyy""),
        TRIM(A603)
      )
    )
  )
)
"),"23/11/2024")</f>
        <v>23/11/2024</v>
      </c>
      <c r="L603" s="26">
        <v>45619.0</v>
      </c>
      <c r="M603" s="27" t="str">
        <f>IFERROR(__xludf.DUMMYFUNCTION("PROPER(TRIM(
  REGEXREPLACE(
    REGEXREPLACE(
      SUBSTITUTE(SUBSTITUTE(SUBSTITUTE(SUBSTITUTE(SUBSTITUTE(SUBSTITUTE(SUBSTITUTE(SUBSTITUTE(SUBSTITUTE(SUBSTITUTE(SUBSTITUTE(
        B603,""√©"",""é""),""√°"",""á""),""√±"",""ñ""),""√≥"",""ó""),""√â"",""é"&amp;"""),""√Å"",""á""),""√ç"",""í""),""√Ç"",""Í""),""√Â"",""é""),""√≠"",""í""),""√º"",""ú""),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03" s="28" t="str">
        <f>IFERROR(__xludf.DUMMYFUNCTION("SPLIT(
  TRIM(
    SUBSTITUTE(
      SUBSTITUTE(
        SUBSTITUTE(
          SUBSTITUTE(
            C603,
            ""√©"", ""é""
          ),
          ""√±"", ""ñ""
        ),
        ""√°"", ""á""
      ),
      ""√≥"", ""ó""
    )
  ),
  ""-""
)
"),"Auriculares")</f>
        <v>Auriculares</v>
      </c>
      <c r="O603" s="28" t="str">
        <f>IFERROR(__xludf.DUMMYFUNCTION("""COMPUTED_VALUE"""),"Con cable")</f>
        <v>Con cable</v>
      </c>
      <c r="P603" s="28" t="str">
        <f>IFERROR(__xludf.DUMMYFUNCTION("""COMPUTED_VALUE"""),"16GB")</f>
        <v>16GB</v>
      </c>
      <c r="Q603" s="29">
        <f t="shared" si="1"/>
        <v>2009.76</v>
      </c>
      <c r="R603" s="28">
        <f t="shared" si="2"/>
        <v>1</v>
      </c>
      <c r="S603" s="29">
        <f t="shared" si="3"/>
        <v>2009.76</v>
      </c>
      <c r="T603" s="28" t="str">
        <f>IFERROR(__xludf.DUMMYFUNCTION("PROPER(TRIM(
  LET(
    texto1, REGEXREPLACE(G603,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"),"Mónica Cristal Chacón Candelaria")</f>
        <v>Mónica Cristal Chacón Candelaria</v>
      </c>
      <c r="U603" s="28" t="str">
        <f t="shared" si="4"/>
        <v>838f9377-c59f-4f9a-a769-8126696776e4</v>
      </c>
      <c r="V603" s="30" t="str">
        <f t="shared" si="5"/>
        <v>Auriculares Con cable 16GB</v>
      </c>
    </row>
    <row r="604" ht="15.75" customHeight="1">
      <c r="A604" s="6">
        <v>45592.0</v>
      </c>
      <c r="B604" s="2" t="s">
        <v>27</v>
      </c>
      <c r="C604" s="2" t="s">
        <v>181</v>
      </c>
      <c r="D604" s="7">
        <v>755.38</v>
      </c>
      <c r="E604" s="2">
        <v>4.0</v>
      </c>
      <c r="F604" s="7">
        <v>3021.52</v>
      </c>
      <c r="G604" s="2" t="s">
        <v>2113</v>
      </c>
      <c r="H604" s="2" t="s">
        <v>2114</v>
      </c>
      <c r="I604" s="2" t="s">
        <v>2115</v>
      </c>
      <c r="K604" s="19" t="str">
        <f>IFERROR(__xludf.DUMMYFUNCTION("IF(ISBLANK(A604),
  """",
  IF(ISNUMBER(A604),
    TEXT(A604,""dd/mm/yyyy""),
    IF(
      REGEXMATCH(TRIM(A604),""^\d{1,2}/\d{1,2}/\d{4}$""),
      TRIM(A604),
      IFERROR(
        TEXT(DATEVALUE(SUBSTITUTE(SUBSTITUTE(TRIM(A604),""-"",""/""),""."",""/"&amp;""")),""dd/mm/yyyy""),
        TRIM(A604)
      )
    )
  )
)
"),"27/10/2024")</f>
        <v>27/10/2024</v>
      </c>
      <c r="L604" s="20">
        <v>45592.0</v>
      </c>
      <c r="M604" s="21" t="str">
        <f>IFERROR(__xludf.DUMMYFUNCTION("PROPER(TRIM(
  REGEXREPLACE(
    REGEXREPLACE(
      SUBSTITUTE(SUBSTITUTE(SUBSTITUTE(SUBSTITUTE(SUBSTITUTE(SUBSTITUTE(SUBSTITUTE(SUBSTITUTE(SUBSTITUTE(SUBSTITUTE(SUBSTITUTE(
        B604,""√©"",""é""),""√°"",""á""),""√±"",""ñ""),""√≥"",""ó""),""√â"",""é"&amp;"""),""√Å"",""á""),""√ç"",""í""),""√Ç"",""Í""),""√Â"",""é""),""√≠"",""í""),""√º"",""ú""),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04" s="22" t="str">
        <f>IFERROR(__xludf.DUMMYFUNCTION("SPLIT(
  TRIM(
    SUBSTITUTE(
      SUBSTITUTE(
        SUBSTITUTE(
          SUBSTITUTE(
            C604,
            ""√©"", ""é""
          ),
          ""√±"", ""ñ""
        ),
        ""√°"", ""á""
      ),
      ""√≥"", ""ó""
    )
  ),
  ""-""
)
"),"Laptop")</f>
        <v>Laptop</v>
      </c>
      <c r="O604" s="22" t="str">
        <f>IFERROR(__xludf.DUMMYFUNCTION("""COMPUTED_VALUE"""),"Ultraliviana")</f>
        <v>Ultraliviana</v>
      </c>
      <c r="P604" s="22" t="str">
        <f>IFERROR(__xludf.DUMMYFUNCTION("""COMPUTED_VALUE"""),"4GB")</f>
        <v>4GB</v>
      </c>
      <c r="Q604" s="23">
        <f t="shared" si="1"/>
        <v>755.38</v>
      </c>
      <c r="R604" s="22">
        <f t="shared" si="2"/>
        <v>4</v>
      </c>
      <c r="S604" s="23">
        <f t="shared" si="3"/>
        <v>3021.52</v>
      </c>
      <c r="T604" s="22" t="str">
        <f>IFERROR(__xludf.DUMMYFUNCTION("PROPER(TRIM(
  LET(
    texto1, REGEXREPLACE(G604,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"),"Hilda Soto Serna")</f>
        <v>Hilda Soto Serna</v>
      </c>
      <c r="U604" s="22" t="str">
        <f t="shared" si="4"/>
        <v>6658ba19-5ccb-4206-84b8-fcfc241901bd</v>
      </c>
      <c r="V604" s="24" t="str">
        <f t="shared" si="5"/>
        <v>Laptop Ultraliviana 4GB</v>
      </c>
    </row>
    <row r="605" ht="15.75" customHeight="1">
      <c r="A605" s="6">
        <v>45596.0</v>
      </c>
      <c r="B605" s="2" t="s">
        <v>16</v>
      </c>
      <c r="C605" s="2" t="s">
        <v>235</v>
      </c>
      <c r="D605" s="7">
        <v>287.48</v>
      </c>
      <c r="E605" s="2">
        <v>4.0</v>
      </c>
      <c r="F605" s="7">
        <v>1149.92</v>
      </c>
      <c r="G605" s="2" t="s">
        <v>2116</v>
      </c>
      <c r="H605" s="2" t="s">
        <v>2117</v>
      </c>
      <c r="I605" s="2" t="s">
        <v>2118</v>
      </c>
      <c r="K605" s="25" t="str">
        <f>IFERROR(__xludf.DUMMYFUNCTION("IF(ISBLANK(A605),
  """",
  IF(ISNUMBER(A605),
    TEXT(A605,""dd/mm/yyyy""),
    IF(
      REGEXMATCH(TRIM(A605),""^\d{1,2}/\d{1,2}/\d{4}$""),
      TRIM(A605),
      IFERROR(
        TEXT(DATEVALUE(SUBSTITUTE(SUBSTITUTE(TRIM(A605),""-"",""/""),""."",""/"&amp;""")),""dd/mm/yyyy""),
        TRIM(A605)
      )
    )
  )
)
"),"31/10/2024")</f>
        <v>31/10/2024</v>
      </c>
      <c r="L605" s="26">
        <v>45596.0</v>
      </c>
      <c r="M605" s="27" t="str">
        <f>IFERROR(__xludf.DUMMYFUNCTION("PROPER(TRIM(
  REGEXREPLACE(
    REGEXREPLACE(
      SUBSTITUTE(SUBSTITUTE(SUBSTITUTE(SUBSTITUTE(SUBSTITUTE(SUBSTITUTE(SUBSTITUTE(SUBSTITUTE(SUBSTITUTE(SUBSTITUTE(SUBSTITUTE(
        B605,""√©"",""é""),""√°"",""á""),""√±"",""ñ""),""√≥"",""ó""),""√â"",""é"&amp;"""),""√Å"",""á""),""√ç"",""í""),""√Ç"",""Í""),""√Â"",""é""),""√≠"",""í""),""√º"",""ú""),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05" s="28" t="str">
        <f>IFERROR(__xludf.DUMMYFUNCTION("SPLIT(
  TRIM(
    SUBSTITUTE(
      SUBSTITUTE(
        SUBSTITUTE(
          SUBSTITUTE(
            C605,
            ""√©"", ""é""
          ),
          ""√±"", ""ñ""
        ),
        ""√°"", ""á""
      ),
      ""√≥"", ""ó""
    )
  ),
  ""-""
)
"),"Tablet")</f>
        <v>Tablet</v>
      </c>
      <c r="O605" s="28" t="str">
        <f>IFERROR(__xludf.DUMMYFUNCTION("""COMPUTED_VALUE"""),"Estándar")</f>
        <v>Estándar</v>
      </c>
      <c r="P605" s="28" t="str">
        <f>IFERROR(__xludf.DUMMYFUNCTION("""COMPUTED_VALUE"""),"4GB")</f>
        <v>4GB</v>
      </c>
      <c r="Q605" s="29">
        <f t="shared" si="1"/>
        <v>287.48</v>
      </c>
      <c r="R605" s="28">
        <f t="shared" si="2"/>
        <v>4</v>
      </c>
      <c r="S605" s="29">
        <f t="shared" si="3"/>
        <v>1149.92</v>
      </c>
      <c r="T605" s="28" t="str">
        <f>IFERROR(__xludf.DUMMYFUNCTION("PROPER(TRIM(
  LET(
    texto1, REGEXREPLACE(G605,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"),"Laura Vaca Madera")</f>
        <v>Laura Vaca Madera</v>
      </c>
      <c r="U605" s="28" t="str">
        <f t="shared" si="4"/>
        <v>0cf77e4b-7fd3-4462-8680-6cbd693e9c0f</v>
      </c>
      <c r="V605" s="30" t="str">
        <f t="shared" si="5"/>
        <v>Tablet Estándar 4GB</v>
      </c>
    </row>
    <row r="606" ht="15.75" customHeight="1">
      <c r="A606" s="6">
        <v>45613.0</v>
      </c>
      <c r="B606" s="2" t="s">
        <v>38</v>
      </c>
      <c r="C606" s="2" t="s">
        <v>235</v>
      </c>
      <c r="D606" s="7">
        <v>808.48</v>
      </c>
      <c r="E606" s="2">
        <v>4.0</v>
      </c>
      <c r="F606" s="7">
        <v>3233.92</v>
      </c>
      <c r="G606" s="2" t="s">
        <v>2119</v>
      </c>
      <c r="H606" s="2" t="s">
        <v>2120</v>
      </c>
      <c r="I606" s="2" t="s">
        <v>2121</v>
      </c>
      <c r="K606" s="19" t="str">
        <f>IFERROR(__xludf.DUMMYFUNCTION("IF(ISBLANK(A606),
  """",
  IF(ISNUMBER(A606),
    TEXT(A606,""dd/mm/yyyy""),
    IF(
      REGEXMATCH(TRIM(A606),""^\d{1,2}/\d{1,2}/\d{4}$""),
      TRIM(A606),
      IFERROR(
        TEXT(DATEVALUE(SUBSTITUTE(SUBSTITUTE(TRIM(A606),""-"",""/""),""."",""/"&amp;""")),""dd/mm/yyyy""),
        TRIM(A606)
      )
    )
  )
)
"),"17/11/2024")</f>
        <v>17/11/2024</v>
      </c>
      <c r="L606" s="20">
        <v>45613.0</v>
      </c>
      <c r="M606" s="21" t="str">
        <f>IFERROR(__xludf.DUMMYFUNCTION("PROPER(TRIM(
  REGEXREPLACE(
    REGEXREPLACE(
      SUBSTITUTE(SUBSTITUTE(SUBSTITUTE(SUBSTITUTE(SUBSTITUTE(SUBSTITUTE(SUBSTITUTE(SUBSTITUTE(SUBSTITUTE(SUBSTITUTE(SUBSTITUTE(
        B606,""√©"",""é""),""√°"",""á""),""√±"",""ñ""),""√≥"",""ó""),""√â"",""é"&amp;"""),""√Å"",""á""),""√ç"",""í""),""√Ç"",""Í""),""√Â"",""é""),""√≠"",""í""),""√º"",""ú""),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06" s="22" t="str">
        <f>IFERROR(__xludf.DUMMYFUNCTION("SPLIT(
  TRIM(
    SUBSTITUTE(
      SUBSTITUTE(
        SUBSTITUTE(
          SUBSTITUTE(
            C606,
            ""√©"", ""é""
          ),
          ""√±"", ""ñ""
        ),
        ""√°"", ""á""
      ),
      ""√≥"", ""ó""
    )
  ),
  ""-""
)
"),"Tablet")</f>
        <v>Tablet</v>
      </c>
      <c r="O606" s="22" t="str">
        <f>IFERROR(__xludf.DUMMYFUNCTION("""COMPUTED_VALUE"""),"Estándar")</f>
        <v>Estándar</v>
      </c>
      <c r="P606" s="22" t="str">
        <f>IFERROR(__xludf.DUMMYFUNCTION("""COMPUTED_VALUE"""),"4GB")</f>
        <v>4GB</v>
      </c>
      <c r="Q606" s="23">
        <f t="shared" si="1"/>
        <v>808.48</v>
      </c>
      <c r="R606" s="22">
        <f t="shared" si="2"/>
        <v>4</v>
      </c>
      <c r="S606" s="23">
        <f t="shared" si="3"/>
        <v>3233.92</v>
      </c>
      <c r="T606" s="22" t="str">
        <f>IFERROR(__xludf.DUMMYFUNCTION("PROPER(TRIM(
  LET(
    texto1, REGEXREPLACE(G606,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"),"Graciela Merino")</f>
        <v>Graciela Merino</v>
      </c>
      <c r="U606" s="22" t="str">
        <f t="shared" si="4"/>
        <v>c744e13d-7463-4060-ba2d-cdabdb1c3b2d</v>
      </c>
      <c r="V606" s="24" t="str">
        <f t="shared" si="5"/>
        <v>Tablet Estándar 4GB</v>
      </c>
    </row>
    <row r="607" ht="15.75" customHeight="1">
      <c r="A607" s="6">
        <v>45609.0</v>
      </c>
      <c r="B607" s="2" t="s">
        <v>85</v>
      </c>
      <c r="C607" s="2" t="s">
        <v>385</v>
      </c>
      <c r="D607" s="7">
        <v>181.51</v>
      </c>
      <c r="E607" s="2">
        <v>5.0</v>
      </c>
      <c r="F607" s="7">
        <v>907.55</v>
      </c>
      <c r="G607" s="2" t="s">
        <v>2122</v>
      </c>
      <c r="H607" s="2" t="s">
        <v>2123</v>
      </c>
      <c r="I607" s="2" t="s">
        <v>2124</v>
      </c>
      <c r="K607" s="25" t="str">
        <f>IFERROR(__xludf.DUMMYFUNCTION("IF(ISBLANK(A607),
  """",
  IF(ISNUMBER(A607),
    TEXT(A607,""dd/mm/yyyy""),
    IF(
      REGEXMATCH(TRIM(A607),""^\d{1,2}/\d{1,2}/\d{4}$""),
      TRIM(A607),
      IFERROR(
        TEXT(DATEVALUE(SUBSTITUTE(SUBSTITUTE(TRIM(A607),""-"",""/""),""."",""/"&amp;""")),""dd/mm/yyyy""),
        TRIM(A607)
      )
    )
  )
)
"),"13/11/2024")</f>
        <v>13/11/2024</v>
      </c>
      <c r="L607" s="26">
        <v>45609.0</v>
      </c>
      <c r="M607" s="27" t="str">
        <f>IFERROR(__xludf.DUMMYFUNCTION("PROPER(TRIM(
  REGEXREPLACE(
    REGEXREPLACE(
      SUBSTITUTE(SUBSTITUTE(SUBSTITUTE(SUBSTITUTE(SUBSTITUTE(SUBSTITUTE(SUBSTITUTE(SUBSTITUTE(SUBSTITUTE(SUBSTITUTE(SUBSTITUTE(
        B607,""√©"",""é""),""√°"",""á""),""√±"",""ñ""),""√≥"",""ó""),""√â"",""é"&amp;"""),""√Å"",""á""),""√ç"",""í""),""√Ç"",""Í""),""√Â"",""é""),""√≠"",""í""),""√º"",""ú""),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07" s="28" t="str">
        <f>IFERROR(__xludf.DUMMYFUNCTION("SPLIT(
  TRIM(
    SUBSTITUTE(
      SUBSTITUTE(
        SUBSTITUTE(
          SUBSTITUTE(
            C607,
            ""√©"", ""é""
          ),
          ""√±"", ""ñ""
        ),
        ""√°"", ""á""
      ),
      ""√≥"", ""ó""
    )
  ),
  ""-""
)
"),"Tablet")</f>
        <v>Tablet</v>
      </c>
      <c r="O607" s="28" t="str">
        <f>IFERROR(__xludf.DUMMYFUNCTION("""COMPUTED_VALUE"""),"Estándar")</f>
        <v>Estándar</v>
      </c>
      <c r="P607" s="28" t="str">
        <f>IFERROR(__xludf.DUMMYFUNCTION("""COMPUTED_VALUE"""),"32GB")</f>
        <v>32GB</v>
      </c>
      <c r="Q607" s="29">
        <f t="shared" si="1"/>
        <v>181.51</v>
      </c>
      <c r="R607" s="28">
        <f t="shared" si="2"/>
        <v>5</v>
      </c>
      <c r="S607" s="29">
        <f t="shared" si="3"/>
        <v>907.55</v>
      </c>
      <c r="T607" s="28" t="str">
        <f>IFERROR(__xludf.DUMMYFUNCTION("PROPER(TRIM(
  LET(
    texto1, REGEXREPLACE(G607,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"),"Rsula Cristian Ledesma Lara")</f>
        <v>Rsula Cristian Ledesma Lara</v>
      </c>
      <c r="U607" s="28" t="str">
        <f t="shared" si="4"/>
        <v>db925419-778f-4d29-963a-7f15f6e37629</v>
      </c>
      <c r="V607" s="30" t="str">
        <f t="shared" si="5"/>
        <v>Tablet Estándar 32GB</v>
      </c>
    </row>
    <row r="608" ht="15.75" customHeight="1">
      <c r="A608" s="6">
        <v>45616.0</v>
      </c>
      <c r="B608" s="2" t="s">
        <v>38</v>
      </c>
      <c r="C608" s="2" t="s">
        <v>235</v>
      </c>
      <c r="D608" s="7">
        <v>2246.65</v>
      </c>
      <c r="E608" s="2">
        <v>2.0</v>
      </c>
      <c r="F608" s="7">
        <v>4493.3</v>
      </c>
      <c r="G608" s="2" t="s">
        <v>2125</v>
      </c>
      <c r="H608" s="2" t="s">
        <v>2126</v>
      </c>
      <c r="I608" s="2" t="s">
        <v>2127</v>
      </c>
      <c r="K608" s="19" t="str">
        <f>IFERROR(__xludf.DUMMYFUNCTION("IF(ISBLANK(A608),
  """",
  IF(ISNUMBER(A608),
    TEXT(A608,""dd/mm/yyyy""),
    IF(
      REGEXMATCH(TRIM(A608),""^\d{1,2}/\d{1,2}/\d{4}$""),
      TRIM(A608),
      IFERROR(
        TEXT(DATEVALUE(SUBSTITUTE(SUBSTITUTE(TRIM(A608),""-"",""/""),""."",""/"&amp;""")),""dd/mm/yyyy""),
        TRIM(A608)
      )
    )
  )
)
"),"20/11/2024")</f>
        <v>20/11/2024</v>
      </c>
      <c r="L608" s="20">
        <v>45616.0</v>
      </c>
      <c r="M608" s="21" t="str">
        <f>IFERROR(__xludf.DUMMYFUNCTION("PROPER(TRIM(
  REGEXREPLACE(
    REGEXREPLACE(
      SUBSTITUTE(SUBSTITUTE(SUBSTITUTE(SUBSTITUTE(SUBSTITUTE(SUBSTITUTE(SUBSTITUTE(SUBSTITUTE(SUBSTITUTE(SUBSTITUTE(SUBSTITUTE(
        B608,""√©"",""é""),""√°"",""á""),""√±"",""ñ""),""√≥"",""ó""),""√â"",""é"&amp;"""),""√Å"",""á""),""√ç"",""í""),""√Ç"",""Í""),""√Â"",""é""),""√≠"",""í""),""√º"",""ú""),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08" s="22" t="str">
        <f>IFERROR(__xludf.DUMMYFUNCTION("SPLIT(
  TRIM(
    SUBSTITUTE(
      SUBSTITUTE(
        SUBSTITUTE(
          SUBSTITUTE(
            C608,
            ""√©"", ""é""
          ),
          ""√±"", ""ñ""
        ),
        ""√°"", ""á""
      ),
      ""√≥"", ""ó""
    )
  ),
  ""-""
)
"),"Tablet")</f>
        <v>Tablet</v>
      </c>
      <c r="O608" s="22" t="str">
        <f>IFERROR(__xludf.DUMMYFUNCTION("""COMPUTED_VALUE"""),"Estándar")</f>
        <v>Estándar</v>
      </c>
      <c r="P608" s="22" t="str">
        <f>IFERROR(__xludf.DUMMYFUNCTION("""COMPUTED_VALUE"""),"4GB")</f>
        <v>4GB</v>
      </c>
      <c r="Q608" s="23">
        <f t="shared" si="1"/>
        <v>2246.65</v>
      </c>
      <c r="R608" s="22">
        <f t="shared" si="2"/>
        <v>2</v>
      </c>
      <c r="S608" s="23">
        <f t="shared" si="3"/>
        <v>4493.3</v>
      </c>
      <c r="T608" s="22" t="str">
        <f>IFERROR(__xludf.DUMMYFUNCTION("PROPER(TRIM(
  LET(
    texto1, REGEXREPLACE(G608,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 Toro")</f>
        <v>Abel Toro</v>
      </c>
      <c r="U608" s="22" t="str">
        <f t="shared" si="4"/>
        <v>a7ec5218-20b5-4ecf-b899-d9c26fa6614c</v>
      </c>
      <c r="V608" s="24" t="str">
        <f t="shared" si="5"/>
        <v>Tablet Estándar 4GB</v>
      </c>
    </row>
    <row r="609" ht="15.75" customHeight="1">
      <c r="A609" s="6">
        <v>45609.0</v>
      </c>
      <c r="B609" s="2" t="s">
        <v>16</v>
      </c>
      <c r="C609" s="2" t="s">
        <v>1015</v>
      </c>
      <c r="D609" s="7">
        <v>1029.22</v>
      </c>
      <c r="E609" s="2">
        <v>5.0</v>
      </c>
      <c r="F609" s="7">
        <v>5146.1</v>
      </c>
      <c r="G609" s="2" t="s">
        <v>2128</v>
      </c>
      <c r="H609" s="2" t="s">
        <v>2129</v>
      </c>
      <c r="I609" s="2" t="s">
        <v>2130</v>
      </c>
      <c r="K609" s="25" t="str">
        <f>IFERROR(__xludf.DUMMYFUNCTION("IF(ISBLANK(A609),
  """",
  IF(ISNUMBER(A609),
    TEXT(A609,""dd/mm/yyyy""),
    IF(
      REGEXMATCH(TRIM(A609),""^\d{1,2}/\d{1,2}/\d{4}$""),
      TRIM(A609),
      IFERROR(
        TEXT(DATEVALUE(SUBSTITUTE(SUBSTITUTE(TRIM(A609),""-"",""/""),""."",""/"&amp;""")),""dd/mm/yyyy""),
        TRIM(A609)
      )
    )
  )
)
"),"13/11/2024")</f>
        <v>13/11/2024</v>
      </c>
      <c r="L609" s="26">
        <v>45609.0</v>
      </c>
      <c r="M609" s="27" t="str">
        <f>IFERROR(__xludf.DUMMYFUNCTION("PROPER(TRIM(
  REGEXREPLACE(
    REGEXREPLACE(
      SUBSTITUTE(SUBSTITUTE(SUBSTITUTE(SUBSTITUTE(SUBSTITUTE(SUBSTITUTE(SUBSTITUTE(SUBSTITUTE(SUBSTITUTE(SUBSTITUTE(SUBSTITUTE(
        B609,""√©"",""é""),""√°"",""á""),""√±"",""ñ""),""√≥"",""ó""),""√â"",""é"&amp;"""),""√Å"",""á""),""√ç"",""í""),""√Ç"",""Í""),""√Â"",""é""),""√≠"",""í""),""√º"",""ú""),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09" s="28" t="str">
        <f>IFERROR(__xludf.DUMMYFUNCTION("SPLIT(
  TRIM(
    SUBSTITUTE(
      SUBSTITUTE(
        SUBSTITUTE(
          SUBSTITUTE(
            C609,
            ""√©"", ""é""
          ),
          ""√±"", ""ñ""
        ),
        ""√°"", ""á""
      ),
      ""√≥"", ""ó""
    )
  ),
  ""-""
)
"),"Auriculares")</f>
        <v>Auriculares</v>
      </c>
      <c r="O609" s="28" t="str">
        <f>IFERROR(__xludf.DUMMYFUNCTION("""COMPUTED_VALUE"""),"Bluetooth")</f>
        <v>Bluetooth</v>
      </c>
      <c r="P609" s="28" t="str">
        <f>IFERROR(__xludf.DUMMYFUNCTION("""COMPUTED_VALUE"""),"32GB")</f>
        <v>32GB</v>
      </c>
      <c r="Q609" s="29">
        <f t="shared" si="1"/>
        <v>1029.22</v>
      </c>
      <c r="R609" s="28">
        <f t="shared" si="2"/>
        <v>5</v>
      </c>
      <c r="S609" s="29">
        <f t="shared" si="3"/>
        <v>5146.1</v>
      </c>
      <c r="T609" s="28" t="str">
        <f>IFERROR(__xludf.DUMMYFUNCTION("PROPER(TRIM(
  LET(
    texto1, REGEXREPLACE(G609,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"),"Berta Cortés")</f>
        <v>Berta Cortés</v>
      </c>
      <c r="U609" s="28" t="str">
        <f t="shared" si="4"/>
        <v>bedb2d59-276e-4a43-a057-2331a8689f9f</v>
      </c>
      <c r="V609" s="30" t="str">
        <f t="shared" si="5"/>
        <v>Auriculares Bluetooth 32GB</v>
      </c>
    </row>
    <row r="610" ht="15.75" customHeight="1">
      <c r="A610" s="6">
        <v>45623.0</v>
      </c>
      <c r="B610" s="2" t="s">
        <v>101</v>
      </c>
      <c r="C610" s="2" t="s">
        <v>11</v>
      </c>
      <c r="D610" s="7">
        <v>1713.18</v>
      </c>
      <c r="E610" s="2">
        <v>2.0</v>
      </c>
      <c r="F610" s="7">
        <v>3426.36</v>
      </c>
      <c r="G610" s="2" t="s">
        <v>2131</v>
      </c>
      <c r="H610" s="2" t="s">
        <v>2132</v>
      </c>
      <c r="I610" s="2" t="s">
        <v>2133</v>
      </c>
      <c r="K610" s="19" t="str">
        <f>IFERROR(__xludf.DUMMYFUNCTION("IF(ISBLANK(A610),
  """",
  IF(ISNUMBER(A610),
    TEXT(A610,""dd/mm/yyyy""),
    IF(
      REGEXMATCH(TRIM(A610),""^\d{1,2}/\d{1,2}/\d{4}$""),
      TRIM(A610),
      IFERROR(
        TEXT(DATEVALUE(SUBSTITUTE(SUBSTITUTE(TRIM(A610),""-"",""/""),""."",""/"&amp;""")),""dd/mm/yyyy""),
        TRIM(A610)
      )
    )
  )
)
"),"27/11/2024")</f>
        <v>27/11/2024</v>
      </c>
      <c r="L610" s="20">
        <v>45623.0</v>
      </c>
      <c r="M610" s="21" t="str">
        <f>IFERROR(__xludf.DUMMYFUNCTION("PROPER(TRIM(
  REGEXREPLACE(
    REGEXREPLACE(
      SUBSTITUTE(SUBSTITUTE(SUBSTITUTE(SUBSTITUTE(SUBSTITUTE(SUBSTITUTE(SUBSTITUTE(SUBSTITUTE(SUBSTITUTE(SUBSTITUTE(SUBSTITUTE(
        B610,""√©"",""é""),""√°"",""á""),""√±"",""ñ""),""√≥"",""ó""),""√â"",""é"&amp;"""),""√Å"",""á""),""√ç"",""í""),""√Ç"",""Í""),""√Â"",""é""),""√≠"",""í""),""√º"",""ú""),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10" s="22" t="str">
        <f>IFERROR(__xludf.DUMMYFUNCTION("SPLIT(
  TRIM(
    SUBSTITUTE(
      SUBSTITUTE(
        SUBSTITUTE(
          SUBSTITUTE(
            C610,
            ""√©"", ""é""
          ),
          ""√±"", ""ñ""
        ),
        ""√°"", ""á""
      ),
      ""√≥"", ""ó""
    )
  ),
  ""-""
)
"),"Auriculares")</f>
        <v>Auriculares</v>
      </c>
      <c r="O610" s="22" t="str">
        <f>IFERROR(__xludf.DUMMYFUNCTION("""COMPUTED_VALUE"""),"Con cable")</f>
        <v>Con cable</v>
      </c>
      <c r="P610" s="22" t="str">
        <f>IFERROR(__xludf.DUMMYFUNCTION("""COMPUTED_VALUE"""),"32GB")</f>
        <v>32GB</v>
      </c>
      <c r="Q610" s="23">
        <f t="shared" si="1"/>
        <v>1713.18</v>
      </c>
      <c r="R610" s="22">
        <f t="shared" si="2"/>
        <v>2</v>
      </c>
      <c r="S610" s="23">
        <f t="shared" si="3"/>
        <v>3426.36</v>
      </c>
      <c r="T610" s="22" t="str">
        <f>IFERROR(__xludf.DUMMYFUNCTION("PROPER(TRIM(
  LET(
    texto1, REGEXREPLACE(G610,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"),"Gregorio Cristal Amaya Zelaya")</f>
        <v>Gregorio Cristal Amaya Zelaya</v>
      </c>
      <c r="U610" s="22" t="str">
        <f t="shared" si="4"/>
        <v>f4ecf59b-ae01-485b-a05f-b80aa788d151</v>
      </c>
      <c r="V610" s="24" t="str">
        <f t="shared" si="5"/>
        <v>Auriculares Con cable 32GB</v>
      </c>
    </row>
    <row r="611" ht="15.75" customHeight="1">
      <c r="A611" s="36">
        <v>45576.0</v>
      </c>
      <c r="B611" s="2" t="s">
        <v>50</v>
      </c>
      <c r="C611" s="2" t="s">
        <v>75</v>
      </c>
      <c r="D611" s="7">
        <v>1375.85</v>
      </c>
      <c r="E611" s="2">
        <v>1.0</v>
      </c>
      <c r="F611" s="7">
        <v>1375.85</v>
      </c>
      <c r="G611" s="2" t="s">
        <v>2134</v>
      </c>
      <c r="H611" s="2" t="s">
        <v>2135</v>
      </c>
      <c r="I611" s="2" t="s">
        <v>2136</v>
      </c>
      <c r="K611" s="25" t="str">
        <f>IFERROR(__xludf.DUMMYFUNCTION("IF(ISBLANK(A611),
  """",
  IF(ISNUMBER(A611),
    TEXT(A611,""dd/mm/yyyy""),
    IF(
      REGEXMATCH(TRIM(A611),""^\d{1,2}/\d{1,2}/\d{4}$""),
      TRIM(A611),
      IFERROR(
        TEXT(DATEVALUE(SUBSTITUTE(SUBSTITUTE(TRIM(A611),""-"",""/""),""."",""/"&amp;""")),""dd/mm/yyyy""),
        TRIM(A611)
      )
    )
  )
)
"),"11/10/2024")</f>
        <v>11/10/2024</v>
      </c>
      <c r="L611" s="26">
        <v>45576.0</v>
      </c>
      <c r="M611" s="27" t="str">
        <f>IFERROR(__xludf.DUMMYFUNCTION("PROPER(TRIM(
  REGEXREPLACE(
    REGEXREPLACE(
      SUBSTITUTE(SUBSTITUTE(SUBSTITUTE(SUBSTITUTE(SUBSTITUTE(SUBSTITUTE(SUBSTITUTE(SUBSTITUTE(SUBSTITUTE(SUBSTITUTE(SUBSTITUTE(
        B611,""√©"",""é""),""√°"",""á""),""√±"",""ñ""),""√≥"",""ó""),""√â"",""é"&amp;"""),""√Å"",""á""),""√ç"",""í""),""√Ç"",""Í""),""√Â"",""é""),""√≠"",""í""),""√º"",""ú""),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11" s="28" t="str">
        <f>IFERROR(__xludf.DUMMYFUNCTION("SPLIT(
  TRIM(
    SUBSTITUTE(
      SUBSTITUTE(
        SUBSTITUTE(
          SUBSTITUTE(
            C611,
            ""√©"", ""é""
          ),
          ""√±"", ""ñ""
        ),
        ""√°"", ""á""
      ),
      ""√≥"", ""ó""
    )
  ),
  ""-""
)
"),"Tablet")</f>
        <v>Tablet</v>
      </c>
      <c r="O611" s="28" t="str">
        <f>IFERROR(__xludf.DUMMYFUNCTION("""COMPUTED_VALUE"""),"Pro")</f>
        <v>Pro</v>
      </c>
      <c r="P611" s="28" t="str">
        <f>IFERROR(__xludf.DUMMYFUNCTION("""COMPUTED_VALUE"""),"4GB")</f>
        <v>4GB</v>
      </c>
      <c r="Q611" s="29">
        <f t="shared" si="1"/>
        <v>1375.85</v>
      </c>
      <c r="R611" s="28">
        <f t="shared" si="2"/>
        <v>1</v>
      </c>
      <c r="S611" s="29">
        <f t="shared" si="3"/>
        <v>1375.85</v>
      </c>
      <c r="T611" s="28" t="str">
        <f>IFERROR(__xludf.DUMMYFUNCTION("PROPER(TRIM(
  LET(
    texto1, REGEXREPLACE(G611,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"),"Isabel Maya")</f>
        <v>Isabel Maya</v>
      </c>
      <c r="U611" s="28" t="str">
        <f t="shared" si="4"/>
        <v>e8070b1a-de24-4296-b9ca-c4d62784eb47</v>
      </c>
      <c r="V611" s="30" t="str">
        <f t="shared" si="5"/>
        <v>Tablet Pro 4GB</v>
      </c>
    </row>
    <row r="612" ht="15.75" customHeight="1">
      <c r="A612" s="36">
        <v>45638.0</v>
      </c>
      <c r="B612" s="2" t="s">
        <v>85</v>
      </c>
      <c r="C612" s="2" t="s">
        <v>206</v>
      </c>
      <c r="D612" s="7">
        <v>1268.59</v>
      </c>
      <c r="E612" s="2">
        <v>4.0</v>
      </c>
      <c r="F612" s="7">
        <v>5074.36</v>
      </c>
      <c r="G612" s="2" t="s">
        <v>2137</v>
      </c>
      <c r="H612" s="2" t="s">
        <v>2138</v>
      </c>
      <c r="I612" s="2" t="s">
        <v>2139</v>
      </c>
      <c r="K612" s="19" t="str">
        <f>IFERROR(__xludf.DUMMYFUNCTION("IF(ISBLANK(A612),
  """",
  IF(ISNUMBER(A612),
    TEXT(A612,""dd/mm/yyyy""),
    IF(
      REGEXMATCH(TRIM(A612),""^\d{1,2}/\d{1,2}/\d{4}$""),
      TRIM(A612),
      IFERROR(
        TEXT(DATEVALUE(SUBSTITUTE(SUBSTITUTE(TRIM(A612),""-"",""/""),""."",""/"&amp;""")),""dd/mm/yyyy""),
        TRIM(A612)
      )
    )
  )
)
"),"12/12/2024")</f>
        <v>12/12/2024</v>
      </c>
      <c r="L612" s="20">
        <v>45638.0</v>
      </c>
      <c r="M612" s="21" t="str">
        <f>IFERROR(__xludf.DUMMYFUNCTION("PROPER(TRIM(
  REGEXREPLACE(
    REGEXREPLACE(
      SUBSTITUTE(SUBSTITUTE(SUBSTITUTE(SUBSTITUTE(SUBSTITUTE(SUBSTITUTE(SUBSTITUTE(SUBSTITUTE(SUBSTITUTE(SUBSTITUTE(SUBSTITUTE(
        B612,""√©"",""é""),""√°"",""á""),""√±"",""ñ""),""√≥"",""ó""),""√â"",""é"&amp;"""),""√Å"",""á""),""√ç"",""í""),""√Ç"",""Í""),""√Â"",""é""),""√≠"",""í""),""√º"",""ú""),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12" s="22" t="str">
        <f>IFERROR(__xludf.DUMMYFUNCTION("SPLIT(
  TRIM(
    SUBSTITUTE(
      SUBSTITUTE(
        SUBSTITUTE(
          SUBSTITUTE(
            C612,
            ""√©"", ""é""
          ),
          ""√±"", ""ñ""
        ),
        ""√°"", ""á""
      ),
      ""√≥"", ""ó""
    )
  ),
  ""-""
)
"),"Auriculares")</f>
        <v>Auriculares</v>
      </c>
      <c r="O612" s="22" t="str">
        <f>IFERROR(__xludf.DUMMYFUNCTION("""COMPUTED_VALUE"""),"Bluetooth")</f>
        <v>Bluetooth</v>
      </c>
      <c r="P612" s="22" t="str">
        <f>IFERROR(__xludf.DUMMYFUNCTION("""COMPUTED_VALUE"""),"4GB")</f>
        <v>4GB</v>
      </c>
      <c r="Q612" s="23">
        <f t="shared" si="1"/>
        <v>1268.59</v>
      </c>
      <c r="R612" s="22">
        <f t="shared" si="2"/>
        <v>4</v>
      </c>
      <c r="S612" s="23">
        <f t="shared" si="3"/>
        <v>5074.36</v>
      </c>
      <c r="T612" s="22" t="str">
        <f>IFERROR(__xludf.DUMMYFUNCTION("PROPER(TRIM(
  LET(
    texto1, REGEXREPLACE(G612,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Luisa Montalvo")</f>
        <v>Ana Luisa Montalvo</v>
      </c>
      <c r="U612" s="22" t="str">
        <f t="shared" si="4"/>
        <v>0a48305d-5c9c-4afa-9ee6-8e31efd58718</v>
      </c>
      <c r="V612" s="24" t="str">
        <f t="shared" si="5"/>
        <v>Auriculares Bluetooth 4GB</v>
      </c>
    </row>
    <row r="613" ht="15.75" customHeight="1">
      <c r="A613" s="6">
        <v>45645.0</v>
      </c>
      <c r="B613" s="2" t="s">
        <v>27</v>
      </c>
      <c r="C613" s="2" t="s">
        <v>807</v>
      </c>
      <c r="D613" s="7">
        <v>633.29</v>
      </c>
      <c r="E613" s="2">
        <v>1.0</v>
      </c>
      <c r="F613" s="7">
        <v>633.29</v>
      </c>
      <c r="G613" s="2" t="s">
        <v>2140</v>
      </c>
      <c r="H613" s="2" t="s">
        <v>2141</v>
      </c>
      <c r="I613" s="2" t="s">
        <v>2142</v>
      </c>
      <c r="K613" s="25" t="str">
        <f>IFERROR(__xludf.DUMMYFUNCTION("IF(ISBLANK(A613),
  """",
  IF(ISNUMBER(A613),
    TEXT(A613,""dd/mm/yyyy""),
    IF(
      REGEXMATCH(TRIM(A613),""^\d{1,2}/\d{1,2}/\d{4}$""),
      TRIM(A613),
      IFERROR(
        TEXT(DATEVALUE(SUBSTITUTE(SUBSTITUTE(TRIM(A613),""-"",""/""),""."",""/"&amp;""")),""dd/mm/yyyy""),
        TRIM(A613)
      )
    )
  )
)
"),"19/12/2024")</f>
        <v>19/12/2024</v>
      </c>
      <c r="L613" s="26">
        <v>45645.0</v>
      </c>
      <c r="M613" s="27" t="str">
        <f>IFERROR(__xludf.DUMMYFUNCTION("PROPER(TRIM(
  REGEXREPLACE(
    REGEXREPLACE(
      SUBSTITUTE(SUBSTITUTE(SUBSTITUTE(SUBSTITUTE(SUBSTITUTE(SUBSTITUTE(SUBSTITUTE(SUBSTITUTE(SUBSTITUTE(SUBSTITUTE(SUBSTITUTE(
        B613,""√©"",""é""),""√°"",""á""),""√±"",""ñ""),""√≥"",""ó""),""√â"",""é"&amp;"""),""√Å"",""á""),""√ç"",""í""),""√Ç"",""Í""),""√Â"",""é""),""√≠"",""í""),""√º"",""ú""),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13" s="28" t="str">
        <f>IFERROR(__xludf.DUMMYFUNCTION("SPLIT(
  TRIM(
    SUBSTITUTE(
      SUBSTITUTE(
        SUBSTITUTE(
          SUBSTITUTE(
            C613,
            ""√©"", ""é""
          ),
          ""√±"", ""ñ""
        ),
        ""√°"", ""á""
      ),
      ""√≥"", ""ó""
    )
  ),
  ""-""
)
"),"Auriculares")</f>
        <v>Auriculares</v>
      </c>
      <c r="O613" s="28" t="str">
        <f>IFERROR(__xludf.DUMMYFUNCTION("""COMPUTED_VALUE"""),"Con cable")</f>
        <v>Con cable</v>
      </c>
      <c r="P613" s="28" t="str">
        <f>IFERROR(__xludf.DUMMYFUNCTION("""COMPUTED_VALUE"""),"4GB")</f>
        <v>4GB</v>
      </c>
      <c r="Q613" s="29">
        <f t="shared" si="1"/>
        <v>633.29</v>
      </c>
      <c r="R613" s="28">
        <f t="shared" si="2"/>
        <v>1</v>
      </c>
      <c r="S613" s="29">
        <f t="shared" si="3"/>
        <v>633.29</v>
      </c>
      <c r="T613" s="28" t="str">
        <f>IFERROR(__xludf.DUMMYFUNCTION("PROPER(TRIM(
  LET(
    texto1, REGEXREPLACE(G613,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"),"Linda Tomás Cuellar")</f>
        <v>Linda Tomás Cuellar</v>
      </c>
      <c r="U613" s="28" t="str">
        <f t="shared" si="4"/>
        <v>4181125d-2bd6-43ef-b4f7-d88b503ebcc9</v>
      </c>
      <c r="V613" s="30" t="str">
        <f t="shared" si="5"/>
        <v>Auriculares Con cable 4GB</v>
      </c>
    </row>
    <row r="614" ht="15.75" customHeight="1">
      <c r="A614" s="36">
        <v>45607.0</v>
      </c>
      <c r="B614" s="2" t="s">
        <v>101</v>
      </c>
      <c r="C614" s="2" t="s">
        <v>235</v>
      </c>
      <c r="D614" s="7">
        <v>664.19</v>
      </c>
      <c r="E614" s="2">
        <v>4.0</v>
      </c>
      <c r="F614" s="7">
        <v>2656.76</v>
      </c>
      <c r="G614" s="2" t="s">
        <v>2143</v>
      </c>
      <c r="H614" s="2" t="s">
        <v>2144</v>
      </c>
      <c r="I614" s="2" t="s">
        <v>2145</v>
      </c>
      <c r="K614" s="19" t="str">
        <f>IFERROR(__xludf.DUMMYFUNCTION("IF(ISBLANK(A614),
  """",
  IF(ISNUMBER(A614),
    TEXT(A614,""dd/mm/yyyy""),
    IF(
      REGEXMATCH(TRIM(A614),""^\d{1,2}/\d{1,2}/\d{4}$""),
      TRIM(A614),
      IFERROR(
        TEXT(DATEVALUE(SUBSTITUTE(SUBSTITUTE(TRIM(A614),""-"",""/""),""."",""/"&amp;""")),""dd/mm/yyyy""),
        TRIM(A614)
      )
    )
  )
)
"),"11/11/2024")</f>
        <v>11/11/2024</v>
      </c>
      <c r="L614" s="20">
        <v>45607.0</v>
      </c>
      <c r="M614" s="21" t="str">
        <f>IFERROR(__xludf.DUMMYFUNCTION("PROPER(TRIM(
  REGEXREPLACE(
    REGEXREPLACE(
      SUBSTITUTE(SUBSTITUTE(SUBSTITUTE(SUBSTITUTE(SUBSTITUTE(SUBSTITUTE(SUBSTITUTE(SUBSTITUTE(SUBSTITUTE(SUBSTITUTE(SUBSTITUTE(
        B614,""√©"",""é""),""√°"",""á""),""√±"",""ñ""),""√≥"",""ó""),""√â"",""é"&amp;"""),""√Å"",""á""),""√ç"",""í""),""√Ç"",""Í""),""√Â"",""é""),""√≠"",""í""),""√º"",""ú""),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14" s="22" t="str">
        <f>IFERROR(__xludf.DUMMYFUNCTION("SPLIT(
  TRIM(
    SUBSTITUTE(
      SUBSTITUTE(
        SUBSTITUTE(
          SUBSTITUTE(
            C614,
            ""√©"", ""é""
          ),
          ""√±"", ""ñ""
        ),
        ""√°"", ""á""
      ),
      ""√≥"", ""ó""
    )
  ),
  ""-""
)
"),"Tablet")</f>
        <v>Tablet</v>
      </c>
      <c r="O614" s="22" t="str">
        <f>IFERROR(__xludf.DUMMYFUNCTION("""COMPUTED_VALUE"""),"Estándar")</f>
        <v>Estándar</v>
      </c>
      <c r="P614" s="22" t="str">
        <f>IFERROR(__xludf.DUMMYFUNCTION("""COMPUTED_VALUE"""),"4GB")</f>
        <v>4GB</v>
      </c>
      <c r="Q614" s="23">
        <f t="shared" si="1"/>
        <v>664.19</v>
      </c>
      <c r="R614" s="22">
        <f t="shared" si="2"/>
        <v>4</v>
      </c>
      <c r="S614" s="23">
        <f t="shared" si="3"/>
        <v>2656.76</v>
      </c>
      <c r="T614" s="22" t="str">
        <f>IFERROR(__xludf.DUMMYFUNCTION("PROPER(TRIM(
  LET(
    texto1, REGEXREPLACE(G614,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"),"Elias Carmen Téllez")</f>
        <v>Elias Carmen Téllez</v>
      </c>
      <c r="U614" s="22" t="str">
        <f t="shared" si="4"/>
        <v>6563276b-f905-470d-b64b-37b07114a824</v>
      </c>
      <c r="V614" s="24" t="str">
        <f t="shared" si="5"/>
        <v>Tablet Estándar 4GB</v>
      </c>
    </row>
    <row r="615" ht="15.75" customHeight="1">
      <c r="A615" s="6">
        <v>45618.0</v>
      </c>
      <c r="B615" s="2" t="s">
        <v>16</v>
      </c>
      <c r="C615" s="2" t="s">
        <v>80</v>
      </c>
      <c r="D615" s="7">
        <v>2198.02</v>
      </c>
      <c r="E615" s="2">
        <v>1.0</v>
      </c>
      <c r="F615" s="7">
        <v>2198.02</v>
      </c>
      <c r="G615" s="2" t="s">
        <v>2146</v>
      </c>
      <c r="H615" s="2" t="s">
        <v>2147</v>
      </c>
      <c r="I615" s="2" t="s">
        <v>2148</v>
      </c>
      <c r="K615" s="25" t="str">
        <f>IFERROR(__xludf.DUMMYFUNCTION("IF(ISBLANK(A615),
  """",
  IF(ISNUMBER(A615),
    TEXT(A615,""dd/mm/yyyy""),
    IF(
      REGEXMATCH(TRIM(A615),""^\d{1,2}/\d{1,2}/\d{4}$""),
      TRIM(A615),
      IFERROR(
        TEXT(DATEVALUE(SUBSTITUTE(SUBSTITUTE(TRIM(A615),""-"",""/""),""."",""/"&amp;""")),""dd/mm/yyyy""),
        TRIM(A615)
      )
    )
  )
)
"),"22/11/2024")</f>
        <v>22/11/2024</v>
      </c>
      <c r="L615" s="26">
        <v>45618.0</v>
      </c>
      <c r="M615" s="27" t="str">
        <f>IFERROR(__xludf.DUMMYFUNCTION("PROPER(TRIM(
  REGEXREPLACE(
    REGEXREPLACE(
      SUBSTITUTE(SUBSTITUTE(SUBSTITUTE(SUBSTITUTE(SUBSTITUTE(SUBSTITUTE(SUBSTITUTE(SUBSTITUTE(SUBSTITUTE(SUBSTITUTE(SUBSTITUTE(
        B615,""√©"",""é""),""√°"",""á""),""√±"",""ñ""),""√≥"",""ó""),""√â"",""é"&amp;"""),""√Å"",""á""),""√ç"",""í""),""√Ç"",""Í""),""√Â"",""é""),""√≠"",""í""),""√º"",""ú""),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15" s="28" t="str">
        <f>IFERROR(__xludf.DUMMYFUNCTION("SPLIT(
  TRIM(
    SUBSTITUTE(
      SUBSTITUTE(
        SUBSTITUTE(
          SUBSTITUTE(
            C615,
            ""√©"", ""é""
          ),
          ""√±"", ""ñ""
        ),
        ""√°"", ""á""
      ),
      ""√≥"", ""ó""
    )
  ),
  ""-""
)
"),"Teléfono")</f>
        <v>Teléfono</v>
      </c>
      <c r="O615" s="28" t="str">
        <f>IFERROR(__xludf.DUMMYFUNCTION("""COMPUTED_VALUE"""),"Gama baja")</f>
        <v>Gama baja</v>
      </c>
      <c r="P615" s="28" t="str">
        <f>IFERROR(__xludf.DUMMYFUNCTION("""COMPUTED_VALUE"""),"16GB")</f>
        <v>16GB</v>
      </c>
      <c r="Q615" s="29">
        <f t="shared" si="1"/>
        <v>2198.02</v>
      </c>
      <c r="R615" s="28">
        <f t="shared" si="2"/>
        <v>1</v>
      </c>
      <c r="S615" s="29">
        <f t="shared" si="3"/>
        <v>2198.02</v>
      </c>
      <c r="T615" s="28" t="str">
        <f>IFERROR(__xludf.DUMMYFUNCTION("PROPER(TRIM(
  LET(
    texto1, REGEXREPLACE(G615,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"),"Espartaco Esperanza Armenta Gaitán")</f>
        <v>Espartaco Esperanza Armenta Gaitán</v>
      </c>
      <c r="U615" s="28" t="str">
        <f t="shared" si="4"/>
        <v>3ee7965a-242b-453a-bf95-82e9c7bb26d1</v>
      </c>
      <c r="V615" s="30" t="str">
        <f t="shared" si="5"/>
        <v>Teléfono Gama baja 16GB</v>
      </c>
    </row>
    <row r="616" ht="15.75" customHeight="1">
      <c r="A616" s="36">
        <v>45545.0</v>
      </c>
      <c r="B616" s="2" t="s">
        <v>27</v>
      </c>
      <c r="C616" s="2" t="s">
        <v>186</v>
      </c>
      <c r="D616" s="7">
        <v>1406.32</v>
      </c>
      <c r="E616" s="2">
        <v>4.0</v>
      </c>
      <c r="F616" s="7">
        <v>5625.28</v>
      </c>
      <c r="G616" s="2" t="s">
        <v>2149</v>
      </c>
      <c r="H616" s="2" t="s">
        <v>2150</v>
      </c>
      <c r="I616" s="2" t="s">
        <v>2151</v>
      </c>
      <c r="K616" s="19" t="str">
        <f>IFERROR(__xludf.DUMMYFUNCTION("IF(ISBLANK(A616),
  """",
  IF(ISNUMBER(A616),
    TEXT(A616,""dd/mm/yyyy""),
    IF(
      REGEXMATCH(TRIM(A616),""^\d{1,2}/\d{1,2}/\d{4}$""),
      TRIM(A616),
      IFERROR(
        TEXT(DATEVALUE(SUBSTITUTE(SUBSTITUTE(TRIM(A616),""-"",""/""),""."",""/"&amp;""")),""dd/mm/yyyy""),
        TRIM(A616)
      )
    )
  )
)
"),"10/09/2024")</f>
        <v>10/09/2024</v>
      </c>
      <c r="L616" s="20">
        <v>45545.0</v>
      </c>
      <c r="M616" s="21" t="str">
        <f>IFERROR(__xludf.DUMMYFUNCTION("PROPER(TRIM(
  REGEXREPLACE(
    REGEXREPLACE(
      SUBSTITUTE(SUBSTITUTE(SUBSTITUTE(SUBSTITUTE(SUBSTITUTE(SUBSTITUTE(SUBSTITUTE(SUBSTITUTE(SUBSTITUTE(SUBSTITUTE(SUBSTITUTE(
        B616,""√©"",""é""),""√°"",""á""),""√±"",""ñ""),""√≥"",""ó""),""√â"",""é"&amp;"""),""√Å"",""á""),""√ç"",""í""),""√Ç"",""Í""),""√Â"",""é""),""√≠"",""í""),""√º"",""ú""),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16" s="22" t="str">
        <f>IFERROR(__xludf.DUMMYFUNCTION("SPLIT(
  TRIM(
    SUBSTITUTE(
      SUBSTITUTE(
        SUBSTITUTE(
          SUBSTITUTE(
            C616,
            ""√©"", ""é""
          ),
          ""√±"", ""ñ""
        ),
        ""√°"", ""á""
      ),
      ""√≥"", ""ó""
    )
  ),
  ""-""
)
"),"Tablet")</f>
        <v>Tablet</v>
      </c>
      <c r="O616" s="22" t="str">
        <f>IFERROR(__xludf.DUMMYFUNCTION("""COMPUTED_VALUE"""),"Mini")</f>
        <v>Mini</v>
      </c>
      <c r="P616" s="22" t="str">
        <f>IFERROR(__xludf.DUMMYFUNCTION("""COMPUTED_VALUE"""),"8GB")</f>
        <v>8GB</v>
      </c>
      <c r="Q616" s="23">
        <f t="shared" si="1"/>
        <v>1406.32</v>
      </c>
      <c r="R616" s="22">
        <f t="shared" si="2"/>
        <v>4</v>
      </c>
      <c r="S616" s="23">
        <f t="shared" si="3"/>
        <v>5625.28</v>
      </c>
      <c r="T616" s="22" t="str">
        <f>IFERROR(__xludf.DUMMYFUNCTION("PROPER(TRIM(
  LET(
    texto1, REGEXREPLACE(G616,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"),"Elvia Mariano Rendón Coronado")</f>
        <v>Elvia Mariano Rendón Coronado</v>
      </c>
      <c r="U616" s="22" t="str">
        <f t="shared" si="4"/>
        <v>4d127c49-b5bc-4cbb-a0a0-ccd12275f405</v>
      </c>
      <c r="V616" s="24" t="str">
        <f t="shared" si="5"/>
        <v>Tablet Mini 8GB</v>
      </c>
    </row>
    <row r="617" ht="15.75" customHeight="1">
      <c r="A617" s="36">
        <v>45576.0</v>
      </c>
      <c r="B617" s="2" t="s">
        <v>85</v>
      </c>
      <c r="C617" s="2" t="s">
        <v>28</v>
      </c>
      <c r="D617" s="7">
        <v>421.59</v>
      </c>
      <c r="E617" s="2">
        <v>2.0</v>
      </c>
      <c r="F617" s="7">
        <v>843.18</v>
      </c>
      <c r="G617" s="2" t="s">
        <v>2152</v>
      </c>
      <c r="H617" s="2" t="s">
        <v>2153</v>
      </c>
      <c r="I617" s="2" t="s">
        <v>2154</v>
      </c>
      <c r="K617" s="25" t="str">
        <f>IFERROR(__xludf.DUMMYFUNCTION("IF(ISBLANK(A617),
  """",
  IF(ISNUMBER(A617),
    TEXT(A617,""dd/mm/yyyy""),
    IF(
      REGEXMATCH(TRIM(A617),""^\d{1,2}/\d{1,2}/\d{4}$""),
      TRIM(A617),
      IFERROR(
        TEXT(DATEVALUE(SUBSTITUTE(SUBSTITUTE(TRIM(A617),""-"",""/""),""."",""/"&amp;""")),""dd/mm/yyyy""),
        TRIM(A617)
      )
    )
  )
)
"),"11/10/2024")</f>
        <v>11/10/2024</v>
      </c>
      <c r="L617" s="26">
        <v>45576.0</v>
      </c>
      <c r="M617" s="27" t="str">
        <f>IFERROR(__xludf.DUMMYFUNCTION("PROPER(TRIM(
  REGEXREPLACE(
    REGEXREPLACE(
      SUBSTITUTE(SUBSTITUTE(SUBSTITUTE(SUBSTITUTE(SUBSTITUTE(SUBSTITUTE(SUBSTITUTE(SUBSTITUTE(SUBSTITUTE(SUBSTITUTE(SUBSTITUTE(
        B617,""√©"",""é""),""√°"",""á""),""√±"",""ñ""),""√≥"",""ó""),""√â"",""é"&amp;"""),""√Å"",""á""),""√ç"",""í""),""√Ç"",""Í""),""√Â"",""é""),""√≠"",""í""),""√º"",""ú""),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17" s="28" t="str">
        <f>IFERROR(__xludf.DUMMYFUNCTION("SPLIT(
  TRIM(
    SUBSTITUTE(
      SUBSTITUTE(
        SUBSTITUTE(
          SUBSTITUTE(
            C617,
            ""√©"", ""é""
          ),
          ""√±"", ""ñ""
        ),
        ""√°"", ""á""
      ),
      ""√≥"", ""ó""
    )
  ),
  ""-""
)
"),"Tablet")</f>
        <v>Tablet</v>
      </c>
      <c r="O617" s="28" t="str">
        <f>IFERROR(__xludf.DUMMYFUNCTION("""COMPUTED_VALUE"""),"Pro")</f>
        <v>Pro</v>
      </c>
      <c r="P617" s="28" t="str">
        <f>IFERROR(__xludf.DUMMYFUNCTION("""COMPUTED_VALUE"""),"8GB")</f>
        <v>8GB</v>
      </c>
      <c r="Q617" s="29">
        <f t="shared" si="1"/>
        <v>421.59</v>
      </c>
      <c r="R617" s="28">
        <f t="shared" si="2"/>
        <v>2</v>
      </c>
      <c r="S617" s="29">
        <f t="shared" si="3"/>
        <v>843.18</v>
      </c>
      <c r="T617" s="28" t="str">
        <f>IFERROR(__xludf.DUMMYFUNCTION("PROPER(TRIM(
  LET(
    texto1, REGEXREPLACE(G617,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"),"Carlota Ontiveros")</f>
        <v>Carlota Ontiveros</v>
      </c>
      <c r="U617" s="28" t="str">
        <f t="shared" si="4"/>
        <v>19a6e9f7-0a45-4879-ab17-df6979e1e612</v>
      </c>
      <c r="V617" s="30" t="str">
        <f t="shared" si="5"/>
        <v>Tablet Pro 8GB</v>
      </c>
    </row>
    <row r="618" ht="15.75" customHeight="1">
      <c r="A618" s="6">
        <v>45623.0</v>
      </c>
      <c r="B618" s="2" t="s">
        <v>50</v>
      </c>
      <c r="C618" s="2" t="s">
        <v>235</v>
      </c>
      <c r="D618" s="7">
        <v>1160.86</v>
      </c>
      <c r="E618" s="2">
        <v>4.0</v>
      </c>
      <c r="F618" s="7">
        <v>4643.44</v>
      </c>
      <c r="G618" s="2" t="s">
        <v>2155</v>
      </c>
      <c r="H618" s="2" t="s">
        <v>2156</v>
      </c>
      <c r="I618" s="2" t="s">
        <v>2157</v>
      </c>
      <c r="K618" s="19" t="str">
        <f>IFERROR(__xludf.DUMMYFUNCTION("IF(ISBLANK(A618),
  """",
  IF(ISNUMBER(A618),
    TEXT(A618,""dd/mm/yyyy""),
    IF(
      REGEXMATCH(TRIM(A618),""^\d{1,2}/\d{1,2}/\d{4}$""),
      TRIM(A618),
      IFERROR(
        TEXT(DATEVALUE(SUBSTITUTE(SUBSTITUTE(TRIM(A618),""-"",""/""),""."",""/"&amp;""")),""dd/mm/yyyy""),
        TRIM(A618)
      )
    )
  )
)
"),"27/11/2024")</f>
        <v>27/11/2024</v>
      </c>
      <c r="L618" s="20">
        <v>45623.0</v>
      </c>
      <c r="M618" s="21" t="str">
        <f>IFERROR(__xludf.DUMMYFUNCTION("PROPER(TRIM(
  REGEXREPLACE(
    REGEXREPLACE(
      SUBSTITUTE(SUBSTITUTE(SUBSTITUTE(SUBSTITUTE(SUBSTITUTE(SUBSTITUTE(SUBSTITUTE(SUBSTITUTE(SUBSTITUTE(SUBSTITUTE(SUBSTITUTE(
        B618,""√©"",""é""),""√°"",""á""),""√±"",""ñ""),""√≥"",""ó""),""√â"",""é"&amp;"""),""√Å"",""á""),""√ç"",""í""),""√Ç"",""Í""),""√Â"",""é""),""√≠"",""í""),""√º"",""ú""),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18" s="22" t="str">
        <f>IFERROR(__xludf.DUMMYFUNCTION("SPLIT(
  TRIM(
    SUBSTITUTE(
      SUBSTITUTE(
        SUBSTITUTE(
          SUBSTITUTE(
            C618,
            ""√©"", ""é""
          ),
          ""√±"", ""ñ""
        ),
        ""√°"", ""á""
      ),
      ""√≥"", ""ó""
    )
  ),
  ""-""
)
"),"Tablet")</f>
        <v>Tablet</v>
      </c>
      <c r="O618" s="22" t="str">
        <f>IFERROR(__xludf.DUMMYFUNCTION("""COMPUTED_VALUE"""),"Estándar")</f>
        <v>Estándar</v>
      </c>
      <c r="P618" s="22" t="str">
        <f>IFERROR(__xludf.DUMMYFUNCTION("""COMPUTED_VALUE"""),"4GB")</f>
        <v>4GB</v>
      </c>
      <c r="Q618" s="23">
        <f t="shared" si="1"/>
        <v>1160.86</v>
      </c>
      <c r="R618" s="22">
        <f t="shared" si="2"/>
        <v>4</v>
      </c>
      <c r="S618" s="23">
        <f t="shared" si="3"/>
        <v>4643.44</v>
      </c>
      <c r="T618" s="22" t="str">
        <f>IFERROR(__xludf.DUMMYFUNCTION("PROPER(TRIM(
  LET(
    texto1, REGEXREPLACE(G618,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Carlos Rojo Páez")</f>
        <v>José Carlos Rojo Páez</v>
      </c>
      <c r="U618" s="22" t="str">
        <f t="shared" si="4"/>
        <v>6f429ee1-fdee-4a46-88b6-217e010bf7ca</v>
      </c>
      <c r="V618" s="24" t="str">
        <f t="shared" si="5"/>
        <v>Tablet Estándar 4GB</v>
      </c>
    </row>
    <row r="619" ht="15.75" customHeight="1">
      <c r="A619" s="36">
        <v>45303.0</v>
      </c>
      <c r="B619" s="2" t="s">
        <v>27</v>
      </c>
      <c r="C619" s="2" t="s">
        <v>45</v>
      </c>
      <c r="D619" s="7">
        <v>340.31</v>
      </c>
      <c r="E619" s="2">
        <v>2.0</v>
      </c>
      <c r="F619" s="7">
        <v>680.62</v>
      </c>
      <c r="G619" s="2" t="s">
        <v>2158</v>
      </c>
      <c r="H619" s="2" t="s">
        <v>2159</v>
      </c>
      <c r="I619" s="2" t="s">
        <v>2160</v>
      </c>
      <c r="K619" s="25" t="str">
        <f>IFERROR(__xludf.DUMMYFUNCTION("IF(ISBLANK(A619),
  """",
  IF(ISNUMBER(A619),
    TEXT(A619,""dd/mm/yyyy""),
    IF(
      REGEXMATCH(TRIM(A619),""^\d{1,2}/\d{1,2}/\d{4}$""),
      TRIM(A619),
      IFERROR(
        TEXT(DATEVALUE(SUBSTITUTE(SUBSTITUTE(TRIM(A619),""-"",""/""),""."",""/"&amp;""")),""dd/mm/yyyy""),
        TRIM(A619)
      )
    )
  )
)
"),"12/01/2024")</f>
        <v>12/01/2024</v>
      </c>
      <c r="L619" s="26">
        <v>45303.0</v>
      </c>
      <c r="M619" s="27" t="str">
        <f>IFERROR(__xludf.DUMMYFUNCTION("PROPER(TRIM(
  REGEXREPLACE(
    REGEXREPLACE(
      SUBSTITUTE(SUBSTITUTE(SUBSTITUTE(SUBSTITUTE(SUBSTITUTE(SUBSTITUTE(SUBSTITUTE(SUBSTITUTE(SUBSTITUTE(SUBSTITUTE(SUBSTITUTE(
        B619,""√©"",""é""),""√°"",""á""),""√±"",""ñ""),""√≥"",""ó""),""√â"",""é"&amp;"""),""√Å"",""á""),""√ç"",""í""),""√Ç"",""Í""),""√Â"",""é""),""√≠"",""í""),""√º"",""ú""),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19" s="28" t="str">
        <f>IFERROR(__xludf.DUMMYFUNCTION("SPLIT(
  TRIM(
    SUBSTITUTE(
      SUBSTITUTE(
        SUBSTITUTE(
          SUBSTITUTE(
            C619,
            ""√©"", ""é""
          ),
          ""√±"", ""ñ""
        ),
        ""√°"", ""á""
      ),
      ""√≥"", ""ó""
    )
  ),
  ""-""
)
"),"Tablet")</f>
        <v>Tablet</v>
      </c>
      <c r="O619" s="28" t="str">
        <f>IFERROR(__xludf.DUMMYFUNCTION("""COMPUTED_VALUE"""),"Mini")</f>
        <v>Mini</v>
      </c>
      <c r="P619" s="28" t="str">
        <f>IFERROR(__xludf.DUMMYFUNCTION("""COMPUTED_VALUE"""),"4GB")</f>
        <v>4GB</v>
      </c>
      <c r="Q619" s="29">
        <f t="shared" si="1"/>
        <v>340.31</v>
      </c>
      <c r="R619" s="28">
        <f t="shared" si="2"/>
        <v>2</v>
      </c>
      <c r="S619" s="29">
        <f t="shared" si="3"/>
        <v>680.62</v>
      </c>
      <c r="T619" s="28" t="str">
        <f>IFERROR(__xludf.DUMMYFUNCTION("PROPER(TRIM(
  LET(
    texto1, REGEXREPLACE(G619,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"),"Anabel Susana Villalpando Huerta")</f>
        <v>Anabel Susana Villalpando Huerta</v>
      </c>
      <c r="U619" s="28" t="str">
        <f t="shared" si="4"/>
        <v>b6a7e9ca-6e44-4a2d-b6ba-e7c65710b065</v>
      </c>
      <c r="V619" s="30" t="str">
        <f t="shared" si="5"/>
        <v>Tablet Mini 4GB</v>
      </c>
    </row>
    <row r="620" ht="15.75" customHeight="1">
      <c r="A620" s="36">
        <v>45516.0</v>
      </c>
      <c r="B620" s="2" t="s">
        <v>27</v>
      </c>
      <c r="C620" s="2" t="s">
        <v>500</v>
      </c>
      <c r="D620" s="7">
        <v>1916.11</v>
      </c>
      <c r="E620" s="2">
        <v>4.0</v>
      </c>
      <c r="F620" s="7">
        <v>7664.44</v>
      </c>
      <c r="G620" s="2" t="s">
        <v>2161</v>
      </c>
      <c r="H620" s="2" t="s">
        <v>2162</v>
      </c>
      <c r="I620" s="2" t="s">
        <v>2163</v>
      </c>
      <c r="K620" s="19" t="str">
        <f>IFERROR(__xludf.DUMMYFUNCTION("IF(ISBLANK(A620),
  """",
  IF(ISNUMBER(A620),
    TEXT(A620,""dd/mm/yyyy""),
    IF(
      REGEXMATCH(TRIM(A620),""^\d{1,2}/\d{1,2}/\d{4}$""),
      TRIM(A620),
      IFERROR(
        TEXT(DATEVALUE(SUBSTITUTE(SUBSTITUTE(TRIM(A620),""-"",""/""),""."",""/"&amp;""")),""dd/mm/yyyy""),
        TRIM(A620)
      )
    )
  )
)
"),"12/08/2024")</f>
        <v>12/08/2024</v>
      </c>
      <c r="L620" s="20">
        <v>45516.0</v>
      </c>
      <c r="M620" s="21" t="str">
        <f>IFERROR(__xludf.DUMMYFUNCTION("PROPER(TRIM(
  REGEXREPLACE(
    REGEXREPLACE(
      SUBSTITUTE(SUBSTITUTE(SUBSTITUTE(SUBSTITUTE(SUBSTITUTE(SUBSTITUTE(SUBSTITUTE(SUBSTITUTE(SUBSTITUTE(SUBSTITUTE(SUBSTITUTE(
        B620,""√©"",""é""),""√°"",""á""),""√±"",""ñ""),""√≥"",""ó""),""√â"",""é"&amp;"""),""√Å"",""á""),""√ç"",""í""),""√Ç"",""Í""),""√Â"",""é""),""√≠"",""í""),""√º"",""ú""),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20" s="22" t="str">
        <f>IFERROR(__xludf.DUMMYFUNCTION("SPLIT(
  TRIM(
    SUBSTITUTE(
      SUBSTITUTE(
        SUBSTITUTE(
          SUBSTITUTE(
            C620,
            ""√©"", ""é""
          ),
          ""√±"", ""ñ""
        ),
        ""√°"", ""á""
      ),
      ""√≥"", ""ó""
    )
  ),
  ""-""
)
"),"Teléfono")</f>
        <v>Teléfono</v>
      </c>
      <c r="O620" s="22" t="str">
        <f>IFERROR(__xludf.DUMMYFUNCTION("""COMPUTED_VALUE"""),"Gama alta")</f>
        <v>Gama alta</v>
      </c>
      <c r="P620" s="22" t="str">
        <f>IFERROR(__xludf.DUMMYFUNCTION("""COMPUTED_VALUE"""),"32GB")</f>
        <v>32GB</v>
      </c>
      <c r="Q620" s="23">
        <f t="shared" si="1"/>
        <v>1916.11</v>
      </c>
      <c r="R620" s="22">
        <f t="shared" si="2"/>
        <v>4</v>
      </c>
      <c r="S620" s="23">
        <f t="shared" si="3"/>
        <v>7664.44</v>
      </c>
      <c r="T620" s="22" t="str">
        <f>IFERROR(__xludf.DUMMYFUNCTION("PROPER(TRIM(
  LET(
    texto1, REGEXREPLACE(G620,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"),"Liliana Urías Velasco")</f>
        <v>Liliana Urías Velasco</v>
      </c>
      <c r="U620" s="22" t="str">
        <f t="shared" si="4"/>
        <v>eeed2640-7588-4324-ae74-fb40227005b9</v>
      </c>
      <c r="V620" s="24" t="str">
        <f t="shared" si="5"/>
        <v>Teléfono Gama alta 32GB</v>
      </c>
    </row>
    <row r="621" ht="15.75" customHeight="1">
      <c r="A621" s="6">
        <v>45579.0</v>
      </c>
      <c r="B621" s="2" t="s">
        <v>50</v>
      </c>
      <c r="C621" s="2" t="s">
        <v>311</v>
      </c>
      <c r="D621" s="7">
        <v>970.38</v>
      </c>
      <c r="E621" s="2">
        <v>5.0</v>
      </c>
      <c r="F621" s="7">
        <v>4851.9</v>
      </c>
      <c r="G621" s="2" t="s">
        <v>2164</v>
      </c>
      <c r="H621" s="2" t="s">
        <v>2165</v>
      </c>
      <c r="I621" s="2" t="s">
        <v>2166</v>
      </c>
      <c r="K621" s="25" t="str">
        <f>IFERROR(__xludf.DUMMYFUNCTION("IF(ISBLANK(A621),
  """",
  IF(ISNUMBER(A621),
    TEXT(A621,""dd/mm/yyyy""),
    IF(
      REGEXMATCH(TRIM(A621),""^\d{1,2}/\d{1,2}/\d{4}$""),
      TRIM(A621),
      IFERROR(
        TEXT(DATEVALUE(SUBSTITUTE(SUBSTITUTE(TRIM(A621),""-"",""/""),""."",""/"&amp;""")),""dd/mm/yyyy""),
        TRIM(A621)
      )
    )
  )
)
"),"14/10/2024")</f>
        <v>14/10/2024</v>
      </c>
      <c r="L621" s="26">
        <v>45579.0</v>
      </c>
      <c r="M621" s="27" t="str">
        <f>IFERROR(__xludf.DUMMYFUNCTION("PROPER(TRIM(
  REGEXREPLACE(
    REGEXREPLACE(
      SUBSTITUTE(SUBSTITUTE(SUBSTITUTE(SUBSTITUTE(SUBSTITUTE(SUBSTITUTE(SUBSTITUTE(SUBSTITUTE(SUBSTITUTE(SUBSTITUTE(SUBSTITUTE(
        B621,""√©"",""é""),""√°"",""á""),""√±"",""ñ""),""√≥"",""ó""),""√â"",""é"&amp;"""),""√Å"",""á""),""√ç"",""í""),""√Ç"",""Í""),""√Â"",""é""),""√≠"",""í""),""√º"",""ú""),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21" s="28" t="str">
        <f>IFERROR(__xludf.DUMMYFUNCTION("SPLIT(
  TRIM(
    SUBSTITUTE(
      SUBSTITUTE(
        SUBSTITUTE(
          SUBSTITUTE(
            C621,
            ""√©"", ""é""
          ),
          ""√±"", ""ñ""
        ),
        ""√°"", ""á""
      ),
      ""√≥"", ""ó""
    )
  ),
  ""-""
)
"),"Laptop")</f>
        <v>Laptop</v>
      </c>
      <c r="O621" s="28" t="str">
        <f>IFERROR(__xludf.DUMMYFUNCTION("""COMPUTED_VALUE"""),"Oficina")</f>
        <v>Oficina</v>
      </c>
      <c r="P621" s="28" t="str">
        <f>IFERROR(__xludf.DUMMYFUNCTION("""COMPUTED_VALUE"""),"4GB")</f>
        <v>4GB</v>
      </c>
      <c r="Q621" s="29">
        <f t="shared" si="1"/>
        <v>970.38</v>
      </c>
      <c r="R621" s="28">
        <f t="shared" si="2"/>
        <v>5</v>
      </c>
      <c r="S621" s="29">
        <f t="shared" si="3"/>
        <v>4851.9</v>
      </c>
      <c r="T621" s="28" t="str">
        <f>IFERROR(__xludf.DUMMYFUNCTION("PROPER(TRIM(
  LET(
    texto1, REGEXREPLACE(G621,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"),"Tania Soto Nieves")</f>
        <v>Tania Soto Nieves</v>
      </c>
      <c r="U621" s="28" t="str">
        <f t="shared" si="4"/>
        <v>af87cfff-afb0-4f85-888d-e5db29ae4766</v>
      </c>
      <c r="V621" s="30" t="str">
        <f t="shared" si="5"/>
        <v>Laptop Oficina 4GB</v>
      </c>
    </row>
    <row r="622" ht="15.75" customHeight="1">
      <c r="A622" s="36">
        <v>45547.0</v>
      </c>
      <c r="B622" s="2" t="s">
        <v>101</v>
      </c>
      <c r="C622" s="2" t="s">
        <v>196</v>
      </c>
      <c r="D622" s="7">
        <v>378.98</v>
      </c>
      <c r="E622" s="2">
        <v>1.0</v>
      </c>
      <c r="F622" s="7">
        <v>378.98</v>
      </c>
      <c r="G622" s="2" t="s">
        <v>2167</v>
      </c>
      <c r="H622" s="2" t="s">
        <v>2168</v>
      </c>
      <c r="I622" s="2" t="s">
        <v>2169</v>
      </c>
      <c r="K622" s="19" t="str">
        <f>IFERROR(__xludf.DUMMYFUNCTION("IF(ISBLANK(A622),
  """",
  IF(ISNUMBER(A622),
    TEXT(A622,""dd/mm/yyyy""),
    IF(
      REGEXMATCH(TRIM(A622),""^\d{1,2}/\d{1,2}/\d{4}$""),
      TRIM(A622),
      IFERROR(
        TEXT(DATEVALUE(SUBSTITUTE(SUBSTITUTE(TRIM(A622),""-"",""/""),""."",""/"&amp;""")),""dd/mm/yyyy""),
        TRIM(A622)
      )
    )
  )
)
"),"12/09/2024")</f>
        <v>12/09/2024</v>
      </c>
      <c r="L622" s="20">
        <v>45547.0</v>
      </c>
      <c r="M622" s="21" t="str">
        <f>IFERROR(__xludf.DUMMYFUNCTION("PROPER(TRIM(
  REGEXREPLACE(
    REGEXREPLACE(
      SUBSTITUTE(SUBSTITUTE(SUBSTITUTE(SUBSTITUTE(SUBSTITUTE(SUBSTITUTE(SUBSTITUTE(SUBSTITUTE(SUBSTITUTE(SUBSTITUTE(SUBSTITUTE(
        B622,""√©"",""é""),""√°"",""á""),""√±"",""ñ""),""√≥"",""ó""),""√â"",""é"&amp;"""),""√Å"",""á""),""√ç"",""í""),""√Ç"",""Í""),""√Â"",""é""),""√≠"",""í""),""√º"",""ú""),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22" s="22" t="str">
        <f>IFERROR(__xludf.DUMMYFUNCTION("SPLIT(
  TRIM(
    SUBSTITUTE(
      SUBSTITUTE(
        SUBSTITUTE(
          SUBSTITUTE(
            C622,
            ""√©"", ""é""
          ),
          ""√±"", ""ñ""
        ),
        ""√°"", ""á""
      ),
      ""√≥"", ""ó""
    )
  ),
  ""-""
)
"),"Auriculares")</f>
        <v>Auriculares</v>
      </c>
      <c r="O622" s="22" t="str">
        <f>IFERROR(__xludf.DUMMYFUNCTION("""COMPUTED_VALUE"""),"Cancelación de ruido")</f>
        <v>Cancelación de ruido</v>
      </c>
      <c r="P622" s="22" t="str">
        <f>IFERROR(__xludf.DUMMYFUNCTION("""COMPUTED_VALUE"""),"8GB")</f>
        <v>8GB</v>
      </c>
      <c r="Q622" s="23">
        <f t="shared" si="1"/>
        <v>378.98</v>
      </c>
      <c r="R622" s="22">
        <f t="shared" si="2"/>
        <v>1</v>
      </c>
      <c r="S622" s="23">
        <f t="shared" si="3"/>
        <v>378.98</v>
      </c>
      <c r="T622" s="22" t="str">
        <f>IFERROR(__xludf.DUMMYFUNCTION("PROPER(TRIM(
  LET(
    texto1, REGEXREPLACE(G622,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"),"Jonás Osorio")</f>
        <v>Jonás Osorio</v>
      </c>
      <c r="U622" s="22" t="str">
        <f t="shared" si="4"/>
        <v>7bfb5106-b10b-44e9-8093-4df0ba80e372</v>
      </c>
      <c r="V622" s="24" t="str">
        <f t="shared" si="5"/>
        <v>Auriculares Cancelación de ruido 8GB</v>
      </c>
    </row>
    <row r="623" ht="15.75" customHeight="1">
      <c r="A623" s="6">
        <v>45620.0</v>
      </c>
      <c r="B623" s="2" t="s">
        <v>16</v>
      </c>
      <c r="C623" s="2" t="s">
        <v>45</v>
      </c>
      <c r="D623" s="7">
        <v>2028.12</v>
      </c>
      <c r="E623" s="2">
        <v>5.0</v>
      </c>
      <c r="F623" s="7">
        <v>10140.6</v>
      </c>
      <c r="G623" s="2" t="s">
        <v>2170</v>
      </c>
      <c r="H623" s="2" t="s">
        <v>2171</v>
      </c>
      <c r="I623" s="2" t="s">
        <v>2172</v>
      </c>
      <c r="K623" s="25" t="str">
        <f>IFERROR(__xludf.DUMMYFUNCTION("IF(ISBLANK(A623),
  """",
  IF(ISNUMBER(A623),
    TEXT(A623,""dd/mm/yyyy""),
    IF(
      REGEXMATCH(TRIM(A623),""^\d{1,2}/\d{1,2}/\d{4}$""),
      TRIM(A623),
      IFERROR(
        TEXT(DATEVALUE(SUBSTITUTE(SUBSTITUTE(TRIM(A623),""-"",""/""),""."",""/"&amp;""")),""dd/mm/yyyy""),
        TRIM(A623)
      )
    )
  )
)
"),"24/11/2024")</f>
        <v>24/11/2024</v>
      </c>
      <c r="L623" s="26">
        <v>45620.0</v>
      </c>
      <c r="M623" s="27" t="str">
        <f>IFERROR(__xludf.DUMMYFUNCTION("PROPER(TRIM(
  REGEXREPLACE(
    REGEXREPLACE(
      SUBSTITUTE(SUBSTITUTE(SUBSTITUTE(SUBSTITUTE(SUBSTITUTE(SUBSTITUTE(SUBSTITUTE(SUBSTITUTE(SUBSTITUTE(SUBSTITUTE(SUBSTITUTE(
        B623,""√©"",""é""),""√°"",""á""),""√±"",""ñ""),""√≥"",""ó""),""√â"",""é"&amp;"""),""√Å"",""á""),""√ç"",""í""),""√Ç"",""Í""),""√Â"",""é""),""√≠"",""í""),""√º"",""ú""),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23" s="28" t="str">
        <f>IFERROR(__xludf.DUMMYFUNCTION("SPLIT(
  TRIM(
    SUBSTITUTE(
      SUBSTITUTE(
        SUBSTITUTE(
          SUBSTITUTE(
            C623,
            ""√©"", ""é""
          ),
          ""√±"", ""ñ""
        ),
        ""√°"", ""á""
      ),
      ""√≥"", ""ó""
    )
  ),
  ""-""
)
"),"Tablet")</f>
        <v>Tablet</v>
      </c>
      <c r="O623" s="28" t="str">
        <f>IFERROR(__xludf.DUMMYFUNCTION("""COMPUTED_VALUE"""),"Mini")</f>
        <v>Mini</v>
      </c>
      <c r="P623" s="28" t="str">
        <f>IFERROR(__xludf.DUMMYFUNCTION("""COMPUTED_VALUE"""),"4GB")</f>
        <v>4GB</v>
      </c>
      <c r="Q623" s="29">
        <f t="shared" si="1"/>
        <v>2028.12</v>
      </c>
      <c r="R623" s="28">
        <f t="shared" si="2"/>
        <v>5</v>
      </c>
      <c r="S623" s="29">
        <f t="shared" si="3"/>
        <v>10140.6</v>
      </c>
      <c r="T623" s="28" t="str">
        <f>IFERROR(__xludf.DUMMYFUNCTION("PROPER(TRIM(
  LET(
    texto1, REGEXREPLACE(G623,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"),"Alma Leonel Morales Anguiano")</f>
        <v>Alma Leonel Morales Anguiano</v>
      </c>
      <c r="U623" s="28" t="str">
        <f t="shared" si="4"/>
        <v>3f395849-b4c1-4e2b-9b2f-e88f10b94e05</v>
      </c>
      <c r="V623" s="30" t="str">
        <f t="shared" si="5"/>
        <v>Tablet Mini 4GB</v>
      </c>
    </row>
    <row r="624" ht="15.75" customHeight="1">
      <c r="A624" s="6">
        <v>45650.0</v>
      </c>
      <c r="B624" s="2" t="s">
        <v>50</v>
      </c>
      <c r="C624" s="2" t="s">
        <v>39</v>
      </c>
      <c r="D624" s="7">
        <v>988.44</v>
      </c>
      <c r="E624" s="2">
        <v>2.0</v>
      </c>
      <c r="F624" s="7">
        <v>1976.88</v>
      </c>
      <c r="G624" s="2" t="s">
        <v>2173</v>
      </c>
      <c r="H624" s="2" t="s">
        <v>2174</v>
      </c>
      <c r="I624" s="2" t="s">
        <v>2175</v>
      </c>
      <c r="K624" s="19" t="str">
        <f>IFERROR(__xludf.DUMMYFUNCTION("IF(ISBLANK(A624),
  """",
  IF(ISNUMBER(A624),
    TEXT(A624,""dd/mm/yyyy""),
    IF(
      REGEXMATCH(TRIM(A624),""^\d{1,2}/\d{1,2}/\d{4}$""),
      TRIM(A624),
      IFERROR(
        TEXT(DATEVALUE(SUBSTITUTE(SUBSTITUTE(TRIM(A624),""-"",""/""),""."",""/"&amp;""")),""dd/mm/yyyy""),
        TRIM(A624)
      )
    )
  )
)
"),"24/12/2024")</f>
        <v>24/12/2024</v>
      </c>
      <c r="L624" s="20">
        <v>45650.0</v>
      </c>
      <c r="M624" s="21" t="str">
        <f>IFERROR(__xludf.DUMMYFUNCTION("PROPER(TRIM(
  REGEXREPLACE(
    REGEXREPLACE(
      SUBSTITUTE(SUBSTITUTE(SUBSTITUTE(SUBSTITUTE(SUBSTITUTE(SUBSTITUTE(SUBSTITUTE(SUBSTITUTE(SUBSTITUTE(SUBSTITUTE(SUBSTITUTE(
        B624,""√©"",""é""),""√°"",""á""),""√±"",""ñ""),""√≥"",""ó""),""√â"",""é"&amp;"""),""√Å"",""á""),""√ç"",""í""),""√Ç"",""Í""),""√Â"",""é""),""√≠"",""í""),""√º"",""ú""),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24" s="22" t="str">
        <f>IFERROR(__xludf.DUMMYFUNCTION("SPLIT(
  TRIM(
    SUBSTITUTE(
      SUBSTITUTE(
        SUBSTITUTE(
          SUBSTITUTE(
            C624,
            ""√©"", ""é""
          ),
          ""√±"", ""ñ""
        ),
        ""√°"", ""á""
      ),
      ""√≥"", ""ó""
    )
  ),
  ""-""
)
"),"Teléfono")</f>
        <v>Teléfono</v>
      </c>
      <c r="O624" s="22" t="str">
        <f>IFERROR(__xludf.DUMMYFUNCTION("""COMPUTED_VALUE"""),"Gama alta")</f>
        <v>Gama alta</v>
      </c>
      <c r="P624" s="22" t="str">
        <f>IFERROR(__xludf.DUMMYFUNCTION("""COMPUTED_VALUE"""),"8GB")</f>
        <v>8GB</v>
      </c>
      <c r="Q624" s="23">
        <f t="shared" si="1"/>
        <v>988.44</v>
      </c>
      <c r="R624" s="22">
        <f t="shared" si="2"/>
        <v>2</v>
      </c>
      <c r="S624" s="23">
        <f t="shared" si="3"/>
        <v>1976.88</v>
      </c>
      <c r="T624" s="22" t="str">
        <f>IFERROR(__xludf.DUMMYFUNCTION("PROPER(TRIM(
  LET(
    texto1, REGEXREPLACE(G624,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"),"Jess Burgos Ballesteros")</f>
        <v>Jess Burgos Ballesteros</v>
      </c>
      <c r="U624" s="22" t="str">
        <f t="shared" si="4"/>
        <v>117eebda-32b4-42cc-95e1-dc2c259fffa6</v>
      </c>
      <c r="V624" s="24" t="str">
        <f t="shared" si="5"/>
        <v>Teléfono Gama alta 8GB</v>
      </c>
    </row>
    <row r="625" ht="15.75" customHeight="1">
      <c r="A625" s="6">
        <v>45611.0</v>
      </c>
      <c r="B625" s="2" t="s">
        <v>85</v>
      </c>
      <c r="C625" s="2" t="s">
        <v>33</v>
      </c>
      <c r="D625" s="7">
        <v>1832.97</v>
      </c>
      <c r="E625" s="2">
        <v>2.0</v>
      </c>
      <c r="F625" s="7">
        <v>3665.94</v>
      </c>
      <c r="G625" s="2" t="s">
        <v>2176</v>
      </c>
      <c r="H625" s="2" t="s">
        <v>2177</v>
      </c>
      <c r="I625" s="2" t="s">
        <v>2178</v>
      </c>
      <c r="K625" s="25" t="str">
        <f>IFERROR(__xludf.DUMMYFUNCTION("IF(ISBLANK(A625),
  """",
  IF(ISNUMBER(A625),
    TEXT(A625,""dd/mm/yyyy""),
    IF(
      REGEXMATCH(TRIM(A625),""^\d{1,2}/\d{1,2}/\d{4}$""),
      TRIM(A625),
      IFERROR(
        TEXT(DATEVALUE(SUBSTITUTE(SUBSTITUTE(TRIM(A625),""-"",""/""),""."",""/"&amp;""")),""dd/mm/yyyy""),
        TRIM(A625)
      )
    )
  )
)
"),"15/11/2024")</f>
        <v>15/11/2024</v>
      </c>
      <c r="L625" s="26">
        <v>45611.0</v>
      </c>
      <c r="M625" s="27" t="str">
        <f>IFERROR(__xludf.DUMMYFUNCTION("PROPER(TRIM(
  REGEXREPLACE(
    REGEXREPLACE(
      SUBSTITUTE(SUBSTITUTE(SUBSTITUTE(SUBSTITUTE(SUBSTITUTE(SUBSTITUTE(SUBSTITUTE(SUBSTITUTE(SUBSTITUTE(SUBSTITUTE(SUBSTITUTE(
        B625,""√©"",""é""),""√°"",""á""),""√±"",""ñ""),""√≥"",""ó""),""√â"",""é"&amp;"""),""√Å"",""á""),""√ç"",""í""),""√Ç"",""Í""),""√Â"",""é""),""√≠"",""í""),""√º"",""ú""),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25" s="28" t="str">
        <f>IFERROR(__xludf.DUMMYFUNCTION("SPLIT(
  TRIM(
    SUBSTITUTE(
      SUBSTITUTE(
        SUBSTITUTE(
          SUBSTITUTE(
            C625,
            ""√©"", ""é""
          ),
          ""√±"", ""ñ""
        ),
        ""√°"", ""á""
      ),
      ""√≥"", ""ó""
    )
  ),
  ""-""
)
"),"Teléfono")</f>
        <v>Teléfono</v>
      </c>
      <c r="O625" s="28" t="str">
        <f>IFERROR(__xludf.DUMMYFUNCTION("""COMPUTED_VALUE"""),"Gama alta")</f>
        <v>Gama alta</v>
      </c>
      <c r="P625" s="28" t="str">
        <f>IFERROR(__xludf.DUMMYFUNCTION("""COMPUTED_VALUE"""),"4GB")</f>
        <v>4GB</v>
      </c>
      <c r="Q625" s="29">
        <f t="shared" si="1"/>
        <v>1832.97</v>
      </c>
      <c r="R625" s="28">
        <f t="shared" si="2"/>
        <v>2</v>
      </c>
      <c r="S625" s="29">
        <f t="shared" si="3"/>
        <v>3665.94</v>
      </c>
      <c r="T625" s="28" t="str">
        <f>IFERROR(__xludf.DUMMYFUNCTION("PROPER(TRIM(
  LET(
    texto1, REGEXREPLACE(G625,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"),"Elena Delgado Menéndez")</f>
        <v>Elena Delgado Menéndez</v>
      </c>
      <c r="U625" s="28" t="str">
        <f t="shared" si="4"/>
        <v>8ad2a9d2-c3c0-4b9e-8d31-bc798c2a566c</v>
      </c>
      <c r="V625" s="30" t="str">
        <f t="shared" si="5"/>
        <v>Teléfono Gama alta 4GB</v>
      </c>
    </row>
    <row r="626" ht="15.75" customHeight="1">
      <c r="A626" s="6">
        <v>45645.0</v>
      </c>
      <c r="B626" s="2" t="s">
        <v>27</v>
      </c>
      <c r="C626" s="2" t="s">
        <v>65</v>
      </c>
      <c r="D626" s="7">
        <v>530.94</v>
      </c>
      <c r="E626" s="2">
        <v>5.0</v>
      </c>
      <c r="F626" s="7">
        <v>2654.7</v>
      </c>
      <c r="G626" s="2" t="s">
        <v>2179</v>
      </c>
      <c r="H626" s="2" t="s">
        <v>2180</v>
      </c>
      <c r="I626" s="2" t="s">
        <v>2181</v>
      </c>
      <c r="K626" s="19" t="str">
        <f>IFERROR(__xludf.DUMMYFUNCTION("IF(ISBLANK(A626),
  """",
  IF(ISNUMBER(A626),
    TEXT(A626,""dd/mm/yyyy""),
    IF(
      REGEXMATCH(TRIM(A626),""^\d{1,2}/\d{1,2}/\d{4}$""),
      TRIM(A626),
      IFERROR(
        TEXT(DATEVALUE(SUBSTITUTE(SUBSTITUTE(TRIM(A626),""-"",""/""),""."",""/"&amp;""")),""dd/mm/yyyy""),
        TRIM(A626)
      )
    )
  )
)
"),"19/12/2024")</f>
        <v>19/12/2024</v>
      </c>
      <c r="L626" s="20">
        <v>45645.0</v>
      </c>
      <c r="M626" s="21" t="str">
        <f>IFERROR(__xludf.DUMMYFUNCTION("PROPER(TRIM(
  REGEXREPLACE(
    REGEXREPLACE(
      SUBSTITUTE(SUBSTITUTE(SUBSTITUTE(SUBSTITUTE(SUBSTITUTE(SUBSTITUTE(SUBSTITUTE(SUBSTITUTE(SUBSTITUTE(SUBSTITUTE(SUBSTITUTE(
        B626,""√©"",""é""),""√°"",""á""),""√±"",""ñ""),""√≥"",""ó""),""√â"",""é"&amp;"""),""√Å"",""á""),""√ç"",""í""),""√Ç"",""Í""),""√Â"",""é""),""√≠"",""í""),""√º"",""ú""),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26" s="22" t="str">
        <f>IFERROR(__xludf.DUMMYFUNCTION("SPLIT(
  TRIM(
    SUBSTITUTE(
      SUBSTITUTE(
        SUBSTITUTE(
          SUBSTITUTE(
            C626,
            ""√©"", ""é""
          ),
          ""√±"", ""ñ""
        ),
        ""√°"", ""á""
      ),
      ""√≥"", ""ó""
    )
  ),
  ""-""
)
"),"Auriculares")</f>
        <v>Auriculares</v>
      </c>
      <c r="O626" s="22" t="str">
        <f>IFERROR(__xludf.DUMMYFUNCTION("""COMPUTED_VALUE"""),"Bluetooth")</f>
        <v>Bluetooth</v>
      </c>
      <c r="P626" s="22" t="str">
        <f>IFERROR(__xludf.DUMMYFUNCTION("""COMPUTED_VALUE"""),"16GB")</f>
        <v>16GB</v>
      </c>
      <c r="Q626" s="23">
        <f t="shared" si="1"/>
        <v>530.94</v>
      </c>
      <c r="R626" s="22">
        <f t="shared" si="2"/>
        <v>5</v>
      </c>
      <c r="S626" s="23">
        <f t="shared" si="3"/>
        <v>2654.7</v>
      </c>
      <c r="T626" s="22" t="str">
        <f>IFERROR(__xludf.DUMMYFUNCTION("PROPER(TRIM(
  LET(
    texto1, REGEXREPLACE(G626,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Enríquez")</f>
        <v>Vanesa Enríquez</v>
      </c>
      <c r="U626" s="22" t="str">
        <f t="shared" si="4"/>
        <v>c039c16a-b7e7-4616-8b5d-dbc120a30d24</v>
      </c>
      <c r="V626" s="24" t="str">
        <f t="shared" si="5"/>
        <v>Auriculares Bluetooth 16GB</v>
      </c>
    </row>
    <row r="627" ht="15.75" customHeight="1">
      <c r="A627" s="6">
        <v>45625.0</v>
      </c>
      <c r="B627" s="2" t="s">
        <v>101</v>
      </c>
      <c r="C627" s="2" t="s">
        <v>360</v>
      </c>
      <c r="D627" s="7">
        <v>2254.91</v>
      </c>
      <c r="E627" s="2">
        <v>4.0</v>
      </c>
      <c r="F627" s="7">
        <v>9019.64</v>
      </c>
      <c r="G627" s="2" t="s">
        <v>2182</v>
      </c>
      <c r="H627" s="2" t="s">
        <v>2183</v>
      </c>
      <c r="I627" s="2" t="s">
        <v>2184</v>
      </c>
      <c r="K627" s="25" t="str">
        <f>IFERROR(__xludf.DUMMYFUNCTION("IF(ISBLANK(A627),
  """",
  IF(ISNUMBER(A627),
    TEXT(A627,""dd/mm/yyyy""),
    IF(
      REGEXMATCH(TRIM(A627),""^\d{1,2}/\d{1,2}/\d{4}$""),
      TRIM(A627),
      IFERROR(
        TEXT(DATEVALUE(SUBSTITUTE(SUBSTITUTE(TRIM(A627),""-"",""/""),""."",""/"&amp;""")),""dd/mm/yyyy""),
        TRIM(A627)
      )
    )
  )
)
"),"29/11/2024")</f>
        <v>29/11/2024</v>
      </c>
      <c r="L627" s="26">
        <v>45625.0</v>
      </c>
      <c r="M627" s="27" t="str">
        <f>IFERROR(__xludf.DUMMYFUNCTION("PROPER(TRIM(
  REGEXREPLACE(
    REGEXREPLACE(
      SUBSTITUTE(SUBSTITUTE(SUBSTITUTE(SUBSTITUTE(SUBSTITUTE(SUBSTITUTE(SUBSTITUTE(SUBSTITUTE(SUBSTITUTE(SUBSTITUTE(SUBSTITUTE(
        B627,""√©"",""é""),""√°"",""á""),""√±"",""ñ""),""√≥"",""ó""),""√â"",""é"&amp;"""),""√Å"",""á""),""√ç"",""í""),""√Ç"",""Í""),""√Â"",""é""),""√≠"",""í""),""√º"",""ú""),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27" s="28" t="str">
        <f>IFERROR(__xludf.DUMMYFUNCTION("SPLIT(
  TRIM(
    SUBSTITUTE(
      SUBSTITUTE(
        SUBSTITUTE(
          SUBSTITUTE(
            C627,
            ""√©"", ""é""
          ),
          ""√±"", ""ñ""
        ),
        ""√°"", ""á""
      ),
      ""√≥"", ""ó""
    )
  ),
  ""-""
)
"),"Tablet")</f>
        <v>Tablet</v>
      </c>
      <c r="O627" s="28" t="str">
        <f>IFERROR(__xludf.DUMMYFUNCTION("""COMPUTED_VALUE"""),"Estándar")</f>
        <v>Estándar</v>
      </c>
      <c r="P627" s="28" t="str">
        <f>IFERROR(__xludf.DUMMYFUNCTION("""COMPUTED_VALUE"""),"8GB")</f>
        <v>8GB</v>
      </c>
      <c r="Q627" s="29">
        <f t="shared" si="1"/>
        <v>2254.91</v>
      </c>
      <c r="R627" s="28">
        <f t="shared" si="2"/>
        <v>4</v>
      </c>
      <c r="S627" s="29">
        <f t="shared" si="3"/>
        <v>9019.64</v>
      </c>
      <c r="T627" s="28" t="str">
        <f>IFERROR(__xludf.DUMMYFUNCTION("PROPER(TRIM(
  LET(
    texto1, REGEXREPLACE(G627,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"),"Marcela Linares")</f>
        <v>Marcela Linares</v>
      </c>
      <c r="U627" s="28" t="str">
        <f t="shared" si="4"/>
        <v>294b26f6-bf81-4c20-9d69-4b0d99e6fdc0</v>
      </c>
      <c r="V627" s="30" t="str">
        <f t="shared" si="5"/>
        <v>Tablet Estándar 8GB</v>
      </c>
    </row>
    <row r="628" ht="15.75" customHeight="1">
      <c r="A628" s="6">
        <v>45645.0</v>
      </c>
      <c r="B628" s="2" t="s">
        <v>27</v>
      </c>
      <c r="C628" s="2" t="s">
        <v>360</v>
      </c>
      <c r="D628" s="7">
        <v>127.35</v>
      </c>
      <c r="E628" s="2">
        <v>1.0</v>
      </c>
      <c r="F628" s="7">
        <v>127.35</v>
      </c>
      <c r="G628" s="2" t="s">
        <v>2185</v>
      </c>
      <c r="H628" s="2" t="s">
        <v>2186</v>
      </c>
      <c r="I628" s="2" t="s">
        <v>2187</v>
      </c>
      <c r="K628" s="19" t="str">
        <f>IFERROR(__xludf.DUMMYFUNCTION("IF(ISBLANK(A628),
  """",
  IF(ISNUMBER(A628),
    TEXT(A628,""dd/mm/yyyy""),
    IF(
      REGEXMATCH(TRIM(A628),""^\d{1,2}/\d{1,2}/\d{4}$""),
      TRIM(A628),
      IFERROR(
        TEXT(DATEVALUE(SUBSTITUTE(SUBSTITUTE(TRIM(A628),""-"",""/""),""."",""/"&amp;""")),""dd/mm/yyyy""),
        TRIM(A628)
      )
    )
  )
)
"),"19/12/2024")</f>
        <v>19/12/2024</v>
      </c>
      <c r="L628" s="20">
        <v>45645.0</v>
      </c>
      <c r="M628" s="21" t="str">
        <f>IFERROR(__xludf.DUMMYFUNCTION("PROPER(TRIM(
  REGEXREPLACE(
    REGEXREPLACE(
      SUBSTITUTE(SUBSTITUTE(SUBSTITUTE(SUBSTITUTE(SUBSTITUTE(SUBSTITUTE(SUBSTITUTE(SUBSTITUTE(SUBSTITUTE(SUBSTITUTE(SUBSTITUTE(
        B628,""√©"",""é""),""√°"",""á""),""√±"",""ñ""),""√≥"",""ó""),""√â"",""é"&amp;"""),""√Å"",""á""),""√ç"",""í""),""√Ç"",""Í""),""√Â"",""é""),""√≠"",""í""),""√º"",""ú""),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28" s="22" t="str">
        <f>IFERROR(__xludf.DUMMYFUNCTION("SPLIT(
  TRIM(
    SUBSTITUTE(
      SUBSTITUTE(
        SUBSTITUTE(
          SUBSTITUTE(
            C628,
            ""√©"", ""é""
          ),
          ""√±"", ""ñ""
        ),
        ""√°"", ""á""
      ),
      ""√≥"", ""ó""
    )
  ),
  ""-""
)
"),"Tablet")</f>
        <v>Tablet</v>
      </c>
      <c r="O628" s="22" t="str">
        <f>IFERROR(__xludf.DUMMYFUNCTION("""COMPUTED_VALUE"""),"Estándar")</f>
        <v>Estándar</v>
      </c>
      <c r="P628" s="22" t="str">
        <f>IFERROR(__xludf.DUMMYFUNCTION("""COMPUTED_VALUE"""),"8GB")</f>
        <v>8GB</v>
      </c>
      <c r="Q628" s="23">
        <f t="shared" si="1"/>
        <v>127.35</v>
      </c>
      <c r="R628" s="22">
        <f t="shared" si="2"/>
        <v>1</v>
      </c>
      <c r="S628" s="23">
        <f t="shared" si="3"/>
        <v>127.35</v>
      </c>
      <c r="T628" s="22" t="str">
        <f>IFERROR(__xludf.DUMMYFUNCTION("PROPER(TRIM(
  LET(
    texto1, REGEXREPLACE(G628,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"),"Mario Gilberto Tórrez")</f>
        <v>Mario Gilberto Tórrez</v>
      </c>
      <c r="U628" s="22" t="str">
        <f t="shared" si="4"/>
        <v>bea55d48-ca8e-4a5e-81da-22d3ae44e9a0</v>
      </c>
      <c r="V628" s="24" t="str">
        <f t="shared" si="5"/>
        <v>Tablet Estándar 8GB</v>
      </c>
    </row>
    <row r="629" ht="15.75" customHeight="1">
      <c r="A629" s="6">
        <v>45655.0</v>
      </c>
      <c r="B629" s="2" t="s">
        <v>50</v>
      </c>
      <c r="C629" s="2" t="s">
        <v>17</v>
      </c>
      <c r="D629" s="7">
        <v>732.27</v>
      </c>
      <c r="E629" s="2">
        <v>4.0</v>
      </c>
      <c r="F629" s="7">
        <v>2929.08</v>
      </c>
      <c r="G629" s="2" t="s">
        <v>2188</v>
      </c>
      <c r="H629" s="2" t="s">
        <v>2189</v>
      </c>
      <c r="I629" s="2" t="s">
        <v>2190</v>
      </c>
      <c r="K629" s="25" t="str">
        <f>IFERROR(__xludf.DUMMYFUNCTION("IF(ISBLANK(A629),
  """",
  IF(ISNUMBER(A629),
    TEXT(A629,""dd/mm/yyyy""),
    IF(
      REGEXMATCH(TRIM(A629),""^\d{1,2}/\d{1,2}/\d{4}$""),
      TRIM(A629),
      IFERROR(
        TEXT(DATEVALUE(SUBSTITUTE(SUBSTITUTE(TRIM(A629),""-"",""/""),""."",""/"&amp;""")),""dd/mm/yyyy""),
        TRIM(A629)
      )
    )
  )
)
"),"29/12/2024")</f>
        <v>29/12/2024</v>
      </c>
      <c r="L629" s="26">
        <v>45655.0</v>
      </c>
      <c r="M629" s="27" t="str">
        <f>IFERROR(__xludf.DUMMYFUNCTION("PROPER(TRIM(
  REGEXREPLACE(
    REGEXREPLACE(
      SUBSTITUTE(SUBSTITUTE(SUBSTITUTE(SUBSTITUTE(SUBSTITUTE(SUBSTITUTE(SUBSTITUTE(SUBSTITUTE(SUBSTITUTE(SUBSTITUTE(SUBSTITUTE(
        B629,""√©"",""é""),""√°"",""á""),""√±"",""ñ""),""√≥"",""ó""),""√â"",""é"&amp;"""),""√Å"",""á""),""√ç"",""í""),""√Ç"",""Í""),""√Â"",""é""),""√≠"",""í""),""√º"",""ú""),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29" s="28" t="str">
        <f>IFERROR(__xludf.DUMMYFUNCTION("SPLIT(
  TRIM(
    SUBSTITUTE(
      SUBSTITUTE(
        SUBSTITUTE(
          SUBSTITUTE(
            C629,
            ""√©"", ""é""
          ),
          ""√±"", ""ñ""
        ),
        ""√°"", ""á""
      ),
      ""√≥"", ""ó""
    )
  ),
  ""-""
)
"),"Auriculares")</f>
        <v>Auriculares</v>
      </c>
      <c r="O629" s="28" t="str">
        <f>IFERROR(__xludf.DUMMYFUNCTION("""COMPUTED_VALUE"""),"Bluetooth")</f>
        <v>Bluetooth</v>
      </c>
      <c r="P629" s="28" t="str">
        <f>IFERROR(__xludf.DUMMYFUNCTION("""COMPUTED_VALUE"""),"8GB")</f>
        <v>8GB</v>
      </c>
      <c r="Q629" s="29">
        <f t="shared" si="1"/>
        <v>732.27</v>
      </c>
      <c r="R629" s="28">
        <f t="shared" si="2"/>
        <v>4</v>
      </c>
      <c r="S629" s="29">
        <f t="shared" si="3"/>
        <v>2929.08</v>
      </c>
      <c r="T629" s="28" t="str">
        <f>IFERROR(__xludf.DUMMYFUNCTION("PROPER(TRIM(
  LET(
    texto1, REGEXREPLACE(G629,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"),"Jess Carreón")</f>
        <v>Jess Carreón</v>
      </c>
      <c r="U629" s="28" t="str">
        <f t="shared" si="4"/>
        <v>dc08f2b8-94f2-4889-8156-0e3c3724d0ff</v>
      </c>
      <c r="V629" s="30" t="str">
        <f t="shared" si="5"/>
        <v>Auriculares Bluetooth 8GB</v>
      </c>
    </row>
    <row r="630" ht="15.75" customHeight="1">
      <c r="A630" s="36">
        <v>45392.0</v>
      </c>
      <c r="B630" s="2" t="s">
        <v>50</v>
      </c>
      <c r="C630" s="2" t="s">
        <v>75</v>
      </c>
      <c r="D630" s="7">
        <v>2063.96</v>
      </c>
      <c r="E630" s="2">
        <v>2.0</v>
      </c>
      <c r="F630" s="7">
        <v>4127.92</v>
      </c>
      <c r="G630" s="2" t="s">
        <v>2191</v>
      </c>
      <c r="H630" s="2" t="s">
        <v>2192</v>
      </c>
      <c r="I630" s="2" t="s">
        <v>2193</v>
      </c>
      <c r="K630" s="19" t="str">
        <f>IFERROR(__xludf.DUMMYFUNCTION("IF(ISBLANK(A630),
  """",
  IF(ISNUMBER(A630),
    TEXT(A630,""dd/mm/yyyy""),
    IF(
      REGEXMATCH(TRIM(A630),""^\d{1,2}/\d{1,2}/\d{4}$""),
      TRIM(A630),
      IFERROR(
        TEXT(DATEVALUE(SUBSTITUTE(SUBSTITUTE(TRIM(A630),""-"",""/""),""."",""/"&amp;""")),""dd/mm/yyyy""),
        TRIM(A630)
      )
    )
  )
)
"),"10/04/2024")</f>
        <v>10/04/2024</v>
      </c>
      <c r="L630" s="20">
        <v>45392.0</v>
      </c>
      <c r="M630" s="21" t="str">
        <f>IFERROR(__xludf.DUMMYFUNCTION("PROPER(TRIM(
  REGEXREPLACE(
    REGEXREPLACE(
      SUBSTITUTE(SUBSTITUTE(SUBSTITUTE(SUBSTITUTE(SUBSTITUTE(SUBSTITUTE(SUBSTITUTE(SUBSTITUTE(SUBSTITUTE(SUBSTITUTE(SUBSTITUTE(
        B630,""√©"",""é""),""√°"",""á""),""√±"",""ñ""),""√≥"",""ó""),""√â"",""é"&amp;"""),""√Å"",""á""),""√ç"",""í""),""√Ç"",""Í""),""√Â"",""é""),""√≠"",""í""),""√º"",""ú""),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30" s="22" t="str">
        <f>IFERROR(__xludf.DUMMYFUNCTION("SPLIT(
  TRIM(
    SUBSTITUTE(
      SUBSTITUTE(
        SUBSTITUTE(
          SUBSTITUTE(
            C630,
            ""√©"", ""é""
          ),
          ""√±"", ""ñ""
        ),
        ""√°"", ""á""
      ),
      ""√≥"", ""ó""
    )
  ),
  ""-""
)
"),"Tablet")</f>
        <v>Tablet</v>
      </c>
      <c r="O630" s="22" t="str">
        <f>IFERROR(__xludf.DUMMYFUNCTION("""COMPUTED_VALUE"""),"Pro")</f>
        <v>Pro</v>
      </c>
      <c r="P630" s="22" t="str">
        <f>IFERROR(__xludf.DUMMYFUNCTION("""COMPUTED_VALUE"""),"4GB")</f>
        <v>4GB</v>
      </c>
      <c r="Q630" s="23">
        <f t="shared" si="1"/>
        <v>2063.96</v>
      </c>
      <c r="R630" s="22">
        <f t="shared" si="2"/>
        <v>2</v>
      </c>
      <c r="S630" s="23">
        <f t="shared" si="3"/>
        <v>4127.92</v>
      </c>
      <c r="T630" s="22" t="str">
        <f>IFERROR(__xludf.DUMMYFUNCTION("PROPER(TRIM(
  LET(
    texto1, REGEXREPLACE(G630,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"),"Juana Negrete")</f>
        <v>Juana Negrete</v>
      </c>
      <c r="U630" s="22" t="str">
        <f t="shared" si="4"/>
        <v>93708c46-9f11-459e-baaa-d1222d691d65</v>
      </c>
      <c r="V630" s="24" t="str">
        <f t="shared" si="5"/>
        <v>Tablet Pro 4GB</v>
      </c>
    </row>
    <row r="631" ht="15.75" customHeight="1">
      <c r="A631" s="6">
        <v>45651.0</v>
      </c>
      <c r="B631" s="2" t="s">
        <v>16</v>
      </c>
      <c r="C631" s="2" t="s">
        <v>152</v>
      </c>
      <c r="D631" s="7">
        <v>2271.98</v>
      </c>
      <c r="E631" s="2">
        <v>5.0</v>
      </c>
      <c r="F631" s="7">
        <v>11359.9</v>
      </c>
      <c r="G631" s="2" t="s">
        <v>2194</v>
      </c>
      <c r="H631" s="2" t="s">
        <v>2195</v>
      </c>
      <c r="I631" s="2" t="s">
        <v>2196</v>
      </c>
      <c r="K631" s="25" t="str">
        <f>IFERROR(__xludf.DUMMYFUNCTION("IF(ISBLANK(A631),
  """",
  IF(ISNUMBER(A631),
    TEXT(A631,""dd/mm/yyyy""),
    IF(
      REGEXMATCH(TRIM(A631),""^\d{1,2}/\d{1,2}/\d{4}$""),
      TRIM(A631),
      IFERROR(
        TEXT(DATEVALUE(SUBSTITUTE(SUBSTITUTE(TRIM(A631),""-"",""/""),""."",""/"&amp;""")),""dd/mm/yyyy""),
        TRIM(A631)
      )
    )
  )
)
"),"25/12/2024")</f>
        <v>25/12/2024</v>
      </c>
      <c r="L631" s="26">
        <v>45651.0</v>
      </c>
      <c r="M631" s="27" t="str">
        <f>IFERROR(__xludf.DUMMYFUNCTION("PROPER(TRIM(
  REGEXREPLACE(
    REGEXREPLACE(
      SUBSTITUTE(SUBSTITUTE(SUBSTITUTE(SUBSTITUTE(SUBSTITUTE(SUBSTITUTE(SUBSTITUTE(SUBSTITUTE(SUBSTITUTE(SUBSTITUTE(SUBSTITUTE(
        B631,""√©"",""é""),""√°"",""á""),""√±"",""ñ""),""√≥"",""ó""),""√â"",""é"&amp;"""),""√Å"",""á""),""√ç"",""í""),""√Ç"",""Í""),""√Â"",""é""),""√≠"",""í""),""√º"",""ú""),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31" s="28" t="str">
        <f>IFERROR(__xludf.DUMMYFUNCTION("SPLIT(
  TRIM(
    SUBSTITUTE(
      SUBSTITUTE(
        SUBSTITUTE(
          SUBSTITUTE(
            C631,
            ""√©"", ""é""
          ),
          ""√±"", ""ñ""
        ),
        ""√°"", ""á""
      ),
      ""√≥"", ""ó""
    )
  ),
  ""-""
)
"),"Teléfono")</f>
        <v>Teléfono</v>
      </c>
      <c r="O631" s="28" t="str">
        <f>IFERROR(__xludf.DUMMYFUNCTION("""COMPUTED_VALUE"""),"Gama baja")</f>
        <v>Gama baja</v>
      </c>
      <c r="P631" s="28" t="str">
        <f>IFERROR(__xludf.DUMMYFUNCTION("""COMPUTED_VALUE"""),"4GB")</f>
        <v>4GB</v>
      </c>
      <c r="Q631" s="29">
        <f t="shared" si="1"/>
        <v>2271.98</v>
      </c>
      <c r="R631" s="28">
        <f t="shared" si="2"/>
        <v>5</v>
      </c>
      <c r="S631" s="29">
        <f t="shared" si="3"/>
        <v>11359.9</v>
      </c>
      <c r="T631" s="28" t="str">
        <f>IFERROR(__xludf.DUMMYFUNCTION("PROPER(TRIM(
  LET(
    texto1, REGEXREPLACE(G631,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"),"Abelardo Ríos")</f>
        <v>Abelardo Ríos</v>
      </c>
      <c r="U631" s="28" t="str">
        <f t="shared" si="4"/>
        <v>99b0e8dd-7174-4559-a628-143ef6d46608</v>
      </c>
      <c r="V631" s="30" t="str">
        <f t="shared" si="5"/>
        <v>Teléfono Gama baja 4GB</v>
      </c>
    </row>
    <row r="632" ht="15.75" customHeight="1">
      <c r="A632" s="6">
        <v>45612.0</v>
      </c>
      <c r="B632" s="2" t="s">
        <v>38</v>
      </c>
      <c r="C632" s="2" t="s">
        <v>96</v>
      </c>
      <c r="D632" s="7">
        <v>627.26</v>
      </c>
      <c r="E632" s="2">
        <v>1.0</v>
      </c>
      <c r="F632" s="7">
        <v>627.26</v>
      </c>
      <c r="G632" s="2" t="s">
        <v>2197</v>
      </c>
      <c r="H632" s="2" t="s">
        <v>2198</v>
      </c>
      <c r="I632" s="2" t="s">
        <v>2199</v>
      </c>
      <c r="K632" s="19" t="str">
        <f>IFERROR(__xludf.DUMMYFUNCTION("IF(ISBLANK(A632),
  """",
  IF(ISNUMBER(A632),
    TEXT(A632,""dd/mm/yyyy""),
    IF(
      REGEXMATCH(TRIM(A632),""^\d{1,2}/\d{1,2}/\d{4}$""),
      TRIM(A632),
      IFERROR(
        TEXT(DATEVALUE(SUBSTITUTE(SUBSTITUTE(TRIM(A632),""-"",""/""),""."",""/"&amp;""")),""dd/mm/yyyy""),
        TRIM(A632)
      )
    )
  )
)
"),"16/11/2024")</f>
        <v>16/11/2024</v>
      </c>
      <c r="L632" s="20">
        <v>45612.0</v>
      </c>
      <c r="M632" s="21" t="str">
        <f>IFERROR(__xludf.DUMMYFUNCTION("PROPER(TRIM(
  REGEXREPLACE(
    REGEXREPLACE(
      SUBSTITUTE(SUBSTITUTE(SUBSTITUTE(SUBSTITUTE(SUBSTITUTE(SUBSTITUTE(SUBSTITUTE(SUBSTITUTE(SUBSTITUTE(SUBSTITUTE(SUBSTITUTE(
        B632,""√©"",""é""),""√°"",""á""),""√±"",""ñ""),""√≥"",""ó""),""√â"",""é"&amp;"""),""√Å"",""á""),""√ç"",""í""),""√Ç"",""Í""),""√Â"",""é""),""√≠"",""í""),""√º"",""ú""),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32" s="22" t="str">
        <f>IFERROR(__xludf.DUMMYFUNCTION("SPLIT(
  TRIM(
    SUBSTITUTE(
      SUBSTITUTE(
        SUBSTITUTE(
          SUBSTITUTE(
            C632,
            ""√©"", ""é""
          ),
          ""√±"", ""ñ""
        ),
        ""√°"", ""á""
      ),
      ""√≥"", ""ó""
    )
  ),
  ""-""
)
"),"Auriculares")</f>
        <v>Auriculares</v>
      </c>
      <c r="O632" s="22" t="str">
        <f>IFERROR(__xludf.DUMMYFUNCTION("""COMPUTED_VALUE"""),"Cancelación de ruido")</f>
        <v>Cancelación de ruido</v>
      </c>
      <c r="P632" s="22" t="str">
        <f>IFERROR(__xludf.DUMMYFUNCTION("""COMPUTED_VALUE"""),"4GB")</f>
        <v>4GB</v>
      </c>
      <c r="Q632" s="23">
        <f t="shared" si="1"/>
        <v>627.26</v>
      </c>
      <c r="R632" s="22">
        <f t="shared" si="2"/>
        <v>1</v>
      </c>
      <c r="S632" s="23">
        <f t="shared" si="3"/>
        <v>627.26</v>
      </c>
      <c r="T632" s="22" t="str">
        <f>IFERROR(__xludf.DUMMYFUNCTION("PROPER(TRIM(
  LET(
    texto1, REGEXREPLACE(G632,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"),"César Jimínez")</f>
        <v>César Jimínez</v>
      </c>
      <c r="U632" s="22" t="str">
        <f t="shared" si="4"/>
        <v>5b96a097-c481-4d3e-86e5-63c57b646a68</v>
      </c>
      <c r="V632" s="24" t="str">
        <f t="shared" si="5"/>
        <v>Auriculares Cancelación de ruido 4GB</v>
      </c>
    </row>
    <row r="633" ht="15.75" customHeight="1">
      <c r="A633" s="36">
        <v>45361.0</v>
      </c>
      <c r="B633" s="2" t="s">
        <v>85</v>
      </c>
      <c r="C633" s="2" t="s">
        <v>116</v>
      </c>
      <c r="D633" s="7">
        <v>2391.72</v>
      </c>
      <c r="E633" s="2">
        <v>1.0</v>
      </c>
      <c r="F633" s="7">
        <v>2391.72</v>
      </c>
      <c r="G633" s="2" t="s">
        <v>2200</v>
      </c>
      <c r="H633" s="2" t="s">
        <v>2201</v>
      </c>
      <c r="I633" s="2" t="s">
        <v>2202</v>
      </c>
      <c r="K633" s="25" t="str">
        <f>IFERROR(__xludf.DUMMYFUNCTION("IF(ISBLANK(A633),
  """",
  IF(ISNUMBER(A633),
    TEXT(A633,""dd/mm/yyyy""),
    IF(
      REGEXMATCH(TRIM(A633),""^\d{1,2}/\d{1,2}/\d{4}$""),
      TRIM(A633),
      IFERROR(
        TEXT(DATEVALUE(SUBSTITUTE(SUBSTITUTE(TRIM(A633),""-"",""/""),""."",""/"&amp;""")),""dd/mm/yyyy""),
        TRIM(A633)
      )
    )
  )
)
"),"10/03/2024")</f>
        <v>10/03/2024</v>
      </c>
      <c r="L633" s="26">
        <v>45361.0</v>
      </c>
      <c r="M633" s="27" t="str">
        <f>IFERROR(__xludf.DUMMYFUNCTION("PROPER(TRIM(
  REGEXREPLACE(
    REGEXREPLACE(
      SUBSTITUTE(SUBSTITUTE(SUBSTITUTE(SUBSTITUTE(SUBSTITUTE(SUBSTITUTE(SUBSTITUTE(SUBSTITUTE(SUBSTITUTE(SUBSTITUTE(SUBSTITUTE(
        B633,""√©"",""é""),""√°"",""á""),""√±"",""ñ""),""√≥"",""ó""),""√â"",""é"&amp;"""),""√Å"",""á""),""√ç"",""í""),""√Ç"",""Í""),""√Â"",""é""),""√≠"",""í""),""√º"",""ú""),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33" s="28" t="str">
        <f>IFERROR(__xludf.DUMMYFUNCTION("SPLIT(
  TRIM(
    SUBSTITUTE(
      SUBSTITUTE(
        SUBSTITUTE(
          SUBSTITUTE(
            C633,
            ""√©"", ""é""
          ),
          ""√±"", ""ñ""
        ),
        ""√°"", ""á""
      ),
      ""√≥"", ""ó""
    )
  ),
  ""-""
)
"),"Teléfono")</f>
        <v>Teléfono</v>
      </c>
      <c r="O633" s="28" t="str">
        <f>IFERROR(__xludf.DUMMYFUNCTION("""COMPUTED_VALUE"""),"Gama media")</f>
        <v>Gama media</v>
      </c>
      <c r="P633" s="28" t="str">
        <f>IFERROR(__xludf.DUMMYFUNCTION("""COMPUTED_VALUE"""),"4GB")</f>
        <v>4GB</v>
      </c>
      <c r="Q633" s="29">
        <f t="shared" si="1"/>
        <v>2391.72</v>
      </c>
      <c r="R633" s="28">
        <f t="shared" si="2"/>
        <v>1</v>
      </c>
      <c r="S633" s="29">
        <f t="shared" si="3"/>
        <v>2391.72</v>
      </c>
      <c r="T633" s="28" t="str">
        <f>IFERROR(__xludf.DUMMYFUNCTION("PROPER(TRIM(
  LET(
    texto1, REGEXREPLACE(G633,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María Hidalgo Razo")</f>
        <v>Ana María Hidalgo Razo</v>
      </c>
      <c r="U633" s="28" t="str">
        <f t="shared" si="4"/>
        <v>1c9a7d40-c4aa-47ee-b862-881e78aebdcd</v>
      </c>
      <c r="V633" s="30" t="str">
        <f t="shared" si="5"/>
        <v>Teléfono Gama media 4GB</v>
      </c>
    </row>
    <row r="634" ht="15.75" customHeight="1">
      <c r="A634" s="6">
        <v>45585.0</v>
      </c>
      <c r="B634" s="2" t="s">
        <v>85</v>
      </c>
      <c r="C634" s="2" t="s">
        <v>147</v>
      </c>
      <c r="D634" s="7">
        <v>318.76</v>
      </c>
      <c r="E634" s="2">
        <v>3.0</v>
      </c>
      <c r="F634" s="7">
        <v>956.28</v>
      </c>
      <c r="G634" s="2" t="s">
        <v>2203</v>
      </c>
      <c r="H634" s="2" t="s">
        <v>2204</v>
      </c>
      <c r="I634" s="2" t="s">
        <v>2205</v>
      </c>
      <c r="K634" s="19" t="str">
        <f>IFERROR(__xludf.DUMMYFUNCTION("IF(ISBLANK(A634),
  """",
  IF(ISNUMBER(A634),
    TEXT(A634,""dd/mm/yyyy""),
    IF(
      REGEXMATCH(TRIM(A634),""^\d{1,2}/\d{1,2}/\d{4}$""),
      TRIM(A634),
      IFERROR(
        TEXT(DATEVALUE(SUBSTITUTE(SUBSTITUTE(TRIM(A634),""-"",""/""),""."",""/"&amp;""")),""dd/mm/yyyy""),
        TRIM(A634)
      )
    )
  )
)
"),"20/10/2024")</f>
        <v>20/10/2024</v>
      </c>
      <c r="L634" s="20">
        <v>45585.0</v>
      </c>
      <c r="M634" s="21" t="str">
        <f>IFERROR(__xludf.DUMMYFUNCTION("PROPER(TRIM(
  REGEXREPLACE(
    REGEXREPLACE(
      SUBSTITUTE(SUBSTITUTE(SUBSTITUTE(SUBSTITUTE(SUBSTITUTE(SUBSTITUTE(SUBSTITUTE(SUBSTITUTE(SUBSTITUTE(SUBSTITUTE(SUBSTITUTE(
        B634,""√©"",""é""),""√°"",""á""),""√±"",""ñ""),""√≥"",""ó""),""√â"",""é"&amp;"""),""√Å"",""á""),""√ç"",""í""),""√Ç"",""Í""),""√Â"",""é""),""√≠"",""í""),""√º"",""ú""),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34" s="22" t="str">
        <f>IFERROR(__xludf.DUMMYFUNCTION("SPLIT(
  TRIM(
    SUBSTITUTE(
      SUBSTITUTE(
        SUBSTITUTE(
          SUBSTITUTE(
            C634,
            ""√©"", ""é""
          ),
          ""√±"", ""ñ""
        ),
        ""√°"", ""á""
      ),
      ""√≥"", ""ó""
    )
  ),
  ""-""
)
"),"Laptop")</f>
        <v>Laptop</v>
      </c>
      <c r="O634" s="22" t="str">
        <f>IFERROR(__xludf.DUMMYFUNCTION("""COMPUTED_VALUE"""),"Oficina")</f>
        <v>Oficina</v>
      </c>
      <c r="P634" s="22" t="str">
        <f>IFERROR(__xludf.DUMMYFUNCTION("""COMPUTED_VALUE"""),"16GB")</f>
        <v>16GB</v>
      </c>
      <c r="Q634" s="23">
        <f t="shared" si="1"/>
        <v>318.76</v>
      </c>
      <c r="R634" s="22">
        <f t="shared" si="2"/>
        <v>3</v>
      </c>
      <c r="S634" s="23">
        <f t="shared" si="3"/>
        <v>956.28</v>
      </c>
      <c r="T634" s="22" t="str">
        <f>IFERROR(__xludf.DUMMYFUNCTION("PROPER(TRIM(
  LET(
    texto1, REGEXREPLACE(G634,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"),"Guillermina Bañuelos Varela")</f>
        <v>Guillermina Bañuelos Varela</v>
      </c>
      <c r="U634" s="22" t="str">
        <f t="shared" si="4"/>
        <v>b87357bf-0adf-494c-9fb2-d5fb5810088e</v>
      </c>
      <c r="V634" s="24" t="str">
        <f t="shared" si="5"/>
        <v>Laptop Oficina 16GB</v>
      </c>
    </row>
    <row r="635" ht="15.75" customHeight="1">
      <c r="A635" s="6">
        <v>45612.0</v>
      </c>
      <c r="B635" s="2" t="s">
        <v>16</v>
      </c>
      <c r="C635" s="2" t="s">
        <v>452</v>
      </c>
      <c r="D635" s="7">
        <v>1375.44</v>
      </c>
      <c r="E635" s="2">
        <v>4.0</v>
      </c>
      <c r="F635" s="7">
        <v>5501.76</v>
      </c>
      <c r="G635" s="2" t="s">
        <v>2206</v>
      </c>
      <c r="H635" s="2" t="s">
        <v>2207</v>
      </c>
      <c r="I635" s="2" t="s">
        <v>2208</v>
      </c>
      <c r="K635" s="25" t="str">
        <f>IFERROR(__xludf.DUMMYFUNCTION("IF(ISBLANK(A635),
  """",
  IF(ISNUMBER(A635),
    TEXT(A635,""dd/mm/yyyy""),
    IF(
      REGEXMATCH(TRIM(A635),""^\d{1,2}/\d{1,2}/\d{4}$""),
      TRIM(A635),
      IFERROR(
        TEXT(DATEVALUE(SUBSTITUTE(SUBSTITUTE(TRIM(A635),""-"",""/""),""."",""/"&amp;""")),""dd/mm/yyyy""),
        TRIM(A635)
      )
    )
  )
)
"),"16/11/2024")</f>
        <v>16/11/2024</v>
      </c>
      <c r="L635" s="26">
        <v>45612.0</v>
      </c>
      <c r="M635" s="27" t="str">
        <f>IFERROR(__xludf.DUMMYFUNCTION("PROPER(TRIM(
  REGEXREPLACE(
    REGEXREPLACE(
      SUBSTITUTE(SUBSTITUTE(SUBSTITUTE(SUBSTITUTE(SUBSTITUTE(SUBSTITUTE(SUBSTITUTE(SUBSTITUTE(SUBSTITUTE(SUBSTITUTE(SUBSTITUTE(
        B635,""√©"",""é""),""√°"",""á""),""√±"",""ñ""),""√≥"",""ó""),""√â"",""é"&amp;"""),""√Å"",""á""),""√ç"",""í""),""√Ç"",""Í""),""√Â"",""é""),""√≠"",""í""),""√º"",""ú""),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35" s="28" t="str">
        <f>IFERROR(__xludf.DUMMYFUNCTION("SPLIT(
  TRIM(
    SUBSTITUTE(
      SUBSTITUTE(
        SUBSTITUTE(
          SUBSTITUTE(
            C635,
            ""√©"", ""é""
          ),
          ""√±"", ""ñ""
        ),
        ""√°"", ""á""
      ),
      ""√≥"", ""ó""
    )
  ),
  ""-""
)
"),"Teléfono")</f>
        <v>Teléfono</v>
      </c>
      <c r="O635" s="28" t="str">
        <f>IFERROR(__xludf.DUMMYFUNCTION("""COMPUTED_VALUE"""),"Gama media")</f>
        <v>Gama media</v>
      </c>
      <c r="P635" s="28" t="str">
        <f>IFERROR(__xludf.DUMMYFUNCTION("""COMPUTED_VALUE"""),"16GB")</f>
        <v>16GB</v>
      </c>
      <c r="Q635" s="29">
        <f t="shared" si="1"/>
        <v>1375.44</v>
      </c>
      <c r="R635" s="28">
        <f t="shared" si="2"/>
        <v>4</v>
      </c>
      <c r="S635" s="29">
        <f t="shared" si="3"/>
        <v>5501.76</v>
      </c>
      <c r="T635" s="28" t="str">
        <f>IFERROR(__xludf.DUMMYFUNCTION("PROPER(TRIM(
  LET(
    texto1, REGEXREPLACE(G635,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"),"Maximiliano Puga")</f>
        <v>Maximiliano Puga</v>
      </c>
      <c r="U635" s="28" t="str">
        <f t="shared" si="4"/>
        <v>89989cae-b728-4235-9a32-5fbf288f2094</v>
      </c>
      <c r="V635" s="30" t="str">
        <f t="shared" si="5"/>
        <v>Teléfono Gama media 16GB</v>
      </c>
    </row>
    <row r="636" ht="15.75" customHeight="1">
      <c r="A636" s="6">
        <v>45622.0</v>
      </c>
      <c r="B636" s="2" t="s">
        <v>16</v>
      </c>
      <c r="C636" s="2" t="s">
        <v>807</v>
      </c>
      <c r="D636" s="7">
        <v>488.25</v>
      </c>
      <c r="E636" s="2">
        <v>5.0</v>
      </c>
      <c r="F636" s="7">
        <v>2441.25</v>
      </c>
      <c r="G636" s="2" t="s">
        <v>2209</v>
      </c>
      <c r="H636" s="2" t="s">
        <v>2210</v>
      </c>
      <c r="I636" s="2" t="s">
        <v>2211</v>
      </c>
      <c r="K636" s="19" t="str">
        <f>IFERROR(__xludf.DUMMYFUNCTION("IF(ISBLANK(A636),
  """",
  IF(ISNUMBER(A636),
    TEXT(A636,""dd/mm/yyyy""),
    IF(
      REGEXMATCH(TRIM(A636),""^\d{1,2}/\d{1,2}/\d{4}$""),
      TRIM(A636),
      IFERROR(
        TEXT(DATEVALUE(SUBSTITUTE(SUBSTITUTE(TRIM(A636),""-"",""/""),""."",""/"&amp;""")),""dd/mm/yyyy""),
        TRIM(A636)
      )
    )
  )
)
"),"26/11/2024")</f>
        <v>26/11/2024</v>
      </c>
      <c r="L636" s="20">
        <v>45622.0</v>
      </c>
      <c r="M636" s="21" t="str">
        <f>IFERROR(__xludf.DUMMYFUNCTION("PROPER(TRIM(
  REGEXREPLACE(
    REGEXREPLACE(
      SUBSTITUTE(SUBSTITUTE(SUBSTITUTE(SUBSTITUTE(SUBSTITUTE(SUBSTITUTE(SUBSTITUTE(SUBSTITUTE(SUBSTITUTE(SUBSTITUTE(SUBSTITUTE(
        B636,""√©"",""é""),""√°"",""á""),""√±"",""ñ""),""√≥"",""ó""),""√â"",""é"&amp;"""),""√Å"",""á""),""√ç"",""í""),""√Ç"",""Í""),""√Â"",""é""),""√≠"",""í""),""√º"",""ú""),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36" s="22" t="str">
        <f>IFERROR(__xludf.DUMMYFUNCTION("SPLIT(
  TRIM(
    SUBSTITUTE(
      SUBSTITUTE(
        SUBSTITUTE(
          SUBSTITUTE(
            C636,
            ""√©"", ""é""
          ),
          ""√±"", ""ñ""
        ),
        ""√°"", ""á""
      ),
      ""√≥"", ""ó""
    )
  ),
  ""-""
)
"),"Auriculares")</f>
        <v>Auriculares</v>
      </c>
      <c r="O636" s="22" t="str">
        <f>IFERROR(__xludf.DUMMYFUNCTION("""COMPUTED_VALUE"""),"Con cable")</f>
        <v>Con cable</v>
      </c>
      <c r="P636" s="22" t="str">
        <f>IFERROR(__xludf.DUMMYFUNCTION("""COMPUTED_VALUE"""),"4GB")</f>
        <v>4GB</v>
      </c>
      <c r="Q636" s="23">
        <f t="shared" si="1"/>
        <v>488.25</v>
      </c>
      <c r="R636" s="22">
        <f t="shared" si="2"/>
        <v>5</v>
      </c>
      <c r="S636" s="23">
        <f t="shared" si="3"/>
        <v>2441.25</v>
      </c>
      <c r="T636" s="22" t="str">
        <f>IFERROR(__xludf.DUMMYFUNCTION("PROPER(TRIM(
  LET(
    texto1, REGEXREPLACE(G636,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"),"Juana Rangel")</f>
        <v>Juana Rangel</v>
      </c>
      <c r="U636" s="22" t="str">
        <f t="shared" si="4"/>
        <v>165472a7-d6ca-4fd8-9f05-0a98ddac11f5</v>
      </c>
      <c r="V636" s="24" t="str">
        <f t="shared" si="5"/>
        <v>Auriculares Con cable 4GB</v>
      </c>
    </row>
    <row r="637" ht="15.75" customHeight="1">
      <c r="A637" s="36">
        <v>45485.0</v>
      </c>
      <c r="B637" s="2" t="s">
        <v>85</v>
      </c>
      <c r="C637" s="2" t="s">
        <v>593</v>
      </c>
      <c r="D637" s="7">
        <v>1928.76</v>
      </c>
      <c r="E637" s="2">
        <v>2.0</v>
      </c>
      <c r="F637" s="7">
        <v>3857.52</v>
      </c>
      <c r="G637" s="2" t="s">
        <v>2212</v>
      </c>
      <c r="H637" s="2" t="s">
        <v>2213</v>
      </c>
      <c r="I637" s="2" t="s">
        <v>2214</v>
      </c>
      <c r="K637" s="25" t="str">
        <f>IFERROR(__xludf.DUMMYFUNCTION("IF(ISBLANK(A637),
  """",
  IF(ISNUMBER(A637),
    TEXT(A637,""dd/mm/yyyy""),
    IF(
      REGEXMATCH(TRIM(A637),""^\d{1,2}/\d{1,2}/\d{4}$""),
      TRIM(A637),
      IFERROR(
        TEXT(DATEVALUE(SUBSTITUTE(SUBSTITUTE(TRIM(A637),""-"",""/""),""."",""/"&amp;""")),""dd/mm/yyyy""),
        TRIM(A637)
      )
    )
  )
)
"),"12/07/2024")</f>
        <v>12/07/2024</v>
      </c>
      <c r="L637" s="26">
        <v>45485.0</v>
      </c>
      <c r="M637" s="27" t="str">
        <f>IFERROR(__xludf.DUMMYFUNCTION("PROPER(TRIM(
  REGEXREPLACE(
    REGEXREPLACE(
      SUBSTITUTE(SUBSTITUTE(SUBSTITUTE(SUBSTITUTE(SUBSTITUTE(SUBSTITUTE(SUBSTITUTE(SUBSTITUTE(SUBSTITUTE(SUBSTITUTE(SUBSTITUTE(
        B637,""√©"",""é""),""√°"",""á""),""√±"",""ñ""),""√≥"",""ó""),""√â"",""é"&amp;"""),""√Å"",""á""),""√ç"",""í""),""√Ç"",""Í""),""√Â"",""é""),""√≠"",""í""),""√º"",""ú""),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37" s="28" t="str">
        <f>IFERROR(__xludf.DUMMYFUNCTION("SPLIT(
  TRIM(
    SUBSTITUTE(
      SUBSTITUTE(
        SUBSTITUTE(
          SUBSTITUTE(
            C637,
            ""√©"", ""é""
          ),
          ""√±"", ""ñ""
        ),
        ""√°"", ""á""
      ),
      ""√≥"", ""ó""
    )
  ),
  ""-""
)
"),"Laptop")</f>
        <v>Laptop</v>
      </c>
      <c r="O637" s="28" t="str">
        <f>IFERROR(__xludf.DUMMYFUNCTION("""COMPUTED_VALUE"""),"Gaming")</f>
        <v>Gaming</v>
      </c>
      <c r="P637" s="28" t="str">
        <f>IFERROR(__xludf.DUMMYFUNCTION("""COMPUTED_VALUE"""),"16GB")</f>
        <v>16GB</v>
      </c>
      <c r="Q637" s="29">
        <f t="shared" si="1"/>
        <v>1928.76</v>
      </c>
      <c r="R637" s="28">
        <f t="shared" si="2"/>
        <v>2</v>
      </c>
      <c r="S637" s="29">
        <f t="shared" si="3"/>
        <v>3857.52</v>
      </c>
      <c r="T637" s="28" t="str">
        <f>IFERROR(__xludf.DUMMYFUNCTION("PROPER(TRIM(
  LET(
    texto1, REGEXREPLACE(G637,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"),"Eugenio Lourdes Portillo Olvera")</f>
        <v>Eugenio Lourdes Portillo Olvera</v>
      </c>
      <c r="U637" s="28" t="str">
        <f t="shared" si="4"/>
        <v>6a4f1549-65b1-4c76-9fc9-eb216605d11b</v>
      </c>
      <c r="V637" s="30" t="str">
        <f t="shared" si="5"/>
        <v>Laptop Gaming 16GB</v>
      </c>
    </row>
    <row r="638" ht="15.75" customHeight="1">
      <c r="A638" s="6">
        <v>45589.0</v>
      </c>
      <c r="B638" s="2" t="s">
        <v>38</v>
      </c>
      <c r="C638" s="2" t="s">
        <v>39</v>
      </c>
      <c r="D638" s="7">
        <v>1228.74</v>
      </c>
      <c r="E638" s="2">
        <v>2.0</v>
      </c>
      <c r="F638" s="7">
        <v>2457.48</v>
      </c>
      <c r="G638" s="2" t="s">
        <v>2215</v>
      </c>
      <c r="H638" s="2" t="s">
        <v>2216</v>
      </c>
      <c r="I638" s="2" t="s">
        <v>2217</v>
      </c>
      <c r="K638" s="19" t="str">
        <f>IFERROR(__xludf.DUMMYFUNCTION("IF(ISBLANK(A638),
  """",
  IF(ISNUMBER(A638),
    TEXT(A638,""dd/mm/yyyy""),
    IF(
      REGEXMATCH(TRIM(A638),""^\d{1,2}/\d{1,2}/\d{4}$""),
      TRIM(A638),
      IFERROR(
        TEXT(DATEVALUE(SUBSTITUTE(SUBSTITUTE(TRIM(A638),""-"",""/""),""."",""/"&amp;""")),""dd/mm/yyyy""),
        TRIM(A638)
      )
    )
  )
)
"),"24/10/2024")</f>
        <v>24/10/2024</v>
      </c>
      <c r="L638" s="20">
        <v>45589.0</v>
      </c>
      <c r="M638" s="21" t="str">
        <f>IFERROR(__xludf.DUMMYFUNCTION("PROPER(TRIM(
  REGEXREPLACE(
    REGEXREPLACE(
      SUBSTITUTE(SUBSTITUTE(SUBSTITUTE(SUBSTITUTE(SUBSTITUTE(SUBSTITUTE(SUBSTITUTE(SUBSTITUTE(SUBSTITUTE(SUBSTITUTE(SUBSTITUTE(
        B638,""√©"",""é""),""√°"",""á""),""√±"",""ñ""),""√≥"",""ó""),""√â"",""é"&amp;"""),""√Å"",""á""),""√ç"",""í""),""√Ç"",""Í""),""√Â"",""é""),""√≠"",""í""),""√º"",""ú""),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38" s="22" t="str">
        <f>IFERROR(__xludf.DUMMYFUNCTION("SPLIT(
  TRIM(
    SUBSTITUTE(
      SUBSTITUTE(
        SUBSTITUTE(
          SUBSTITUTE(
            C638,
            ""√©"", ""é""
          ),
          ""√±"", ""ñ""
        ),
        ""√°"", ""á""
      ),
      ""√≥"", ""ó""
    )
  ),
  ""-""
)
"),"Teléfono")</f>
        <v>Teléfono</v>
      </c>
      <c r="O638" s="22" t="str">
        <f>IFERROR(__xludf.DUMMYFUNCTION("""COMPUTED_VALUE"""),"Gama alta")</f>
        <v>Gama alta</v>
      </c>
      <c r="P638" s="22" t="str">
        <f>IFERROR(__xludf.DUMMYFUNCTION("""COMPUTED_VALUE"""),"8GB")</f>
        <v>8GB</v>
      </c>
      <c r="Q638" s="23">
        <f t="shared" si="1"/>
        <v>1228.74</v>
      </c>
      <c r="R638" s="22">
        <f t="shared" si="2"/>
        <v>2</v>
      </c>
      <c r="S638" s="23">
        <f t="shared" si="3"/>
        <v>2457.48</v>
      </c>
      <c r="T638" s="22" t="str">
        <f>IFERROR(__xludf.DUMMYFUNCTION("PROPER(TRIM(
  LET(
    texto1, REGEXREPLACE(G638,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"),"Dalia María Cristina Robledo Escobar")</f>
        <v>Dalia María Cristina Robledo Escobar</v>
      </c>
      <c r="U638" s="22" t="str">
        <f t="shared" si="4"/>
        <v>41cf07f1-c8b8-4719-8e87-4c6a66e4a90e</v>
      </c>
      <c r="V638" s="24" t="str">
        <f t="shared" si="5"/>
        <v>Teléfono Gama alta 8GB</v>
      </c>
    </row>
    <row r="639" ht="15.75" customHeight="1">
      <c r="A639" s="6">
        <v>45588.0</v>
      </c>
      <c r="B639" s="2" t="s">
        <v>27</v>
      </c>
      <c r="C639" s="2" t="s">
        <v>152</v>
      </c>
      <c r="D639" s="7">
        <v>2384.86</v>
      </c>
      <c r="E639" s="2">
        <v>4.0</v>
      </c>
      <c r="F639" s="7">
        <v>9539.44</v>
      </c>
      <c r="G639" s="2" t="s">
        <v>2218</v>
      </c>
      <c r="H639" s="2" t="s">
        <v>2219</v>
      </c>
      <c r="I639" s="2" t="s">
        <v>2220</v>
      </c>
      <c r="K639" s="25" t="str">
        <f>IFERROR(__xludf.DUMMYFUNCTION("IF(ISBLANK(A639),
  """",
  IF(ISNUMBER(A639),
    TEXT(A639,""dd/mm/yyyy""),
    IF(
      REGEXMATCH(TRIM(A639),""^\d{1,2}/\d{1,2}/\d{4}$""),
      TRIM(A639),
      IFERROR(
        TEXT(DATEVALUE(SUBSTITUTE(SUBSTITUTE(TRIM(A639),""-"",""/""),""."",""/"&amp;""")),""dd/mm/yyyy""),
        TRIM(A639)
      )
    )
  )
)
"),"23/10/2024")</f>
        <v>23/10/2024</v>
      </c>
      <c r="L639" s="26">
        <v>45588.0</v>
      </c>
      <c r="M639" s="27" t="str">
        <f>IFERROR(__xludf.DUMMYFUNCTION("PROPER(TRIM(
  REGEXREPLACE(
    REGEXREPLACE(
      SUBSTITUTE(SUBSTITUTE(SUBSTITUTE(SUBSTITUTE(SUBSTITUTE(SUBSTITUTE(SUBSTITUTE(SUBSTITUTE(SUBSTITUTE(SUBSTITUTE(SUBSTITUTE(
        B639,""√©"",""é""),""√°"",""á""),""√±"",""ñ""),""√≥"",""ó""),""√â"",""é"&amp;"""),""√Å"",""á""),""√ç"",""í""),""√Ç"",""Í""),""√Â"",""é""),""√≠"",""í""),""√º"",""ú""),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39" s="28" t="str">
        <f>IFERROR(__xludf.DUMMYFUNCTION("SPLIT(
  TRIM(
    SUBSTITUTE(
      SUBSTITUTE(
        SUBSTITUTE(
          SUBSTITUTE(
            C639,
            ""√©"", ""é""
          ),
          ""√±"", ""ñ""
        ),
        ""√°"", ""á""
      ),
      ""√≥"", ""ó""
    )
  ),
  ""-""
)
"),"Teléfono")</f>
        <v>Teléfono</v>
      </c>
      <c r="O639" s="28" t="str">
        <f>IFERROR(__xludf.DUMMYFUNCTION("""COMPUTED_VALUE"""),"Gama baja")</f>
        <v>Gama baja</v>
      </c>
      <c r="P639" s="28" t="str">
        <f>IFERROR(__xludf.DUMMYFUNCTION("""COMPUTED_VALUE"""),"4GB")</f>
        <v>4GB</v>
      </c>
      <c r="Q639" s="29">
        <f t="shared" si="1"/>
        <v>2384.86</v>
      </c>
      <c r="R639" s="28">
        <f t="shared" si="2"/>
        <v>4</v>
      </c>
      <c r="S639" s="29">
        <f t="shared" si="3"/>
        <v>9539.44</v>
      </c>
      <c r="T639" s="28" t="str">
        <f>IFERROR(__xludf.DUMMYFUNCTION("PROPER(TRIM(
  LET(
    texto1, REGEXREPLACE(G639,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"),"Emiliano Liliana Olivares Bañuelos")</f>
        <v>Emiliano Liliana Olivares Bañuelos</v>
      </c>
      <c r="U639" s="28" t="str">
        <f t="shared" si="4"/>
        <v>5118c46e-3697-423d-b0f6-bcb15c09e38d</v>
      </c>
      <c r="V639" s="30" t="str">
        <f t="shared" si="5"/>
        <v>Teléfono Gama baja 4GB</v>
      </c>
    </row>
    <row r="640" ht="15.75" customHeight="1">
      <c r="A640" s="6">
        <v>45580.0</v>
      </c>
      <c r="B640" s="2" t="s">
        <v>38</v>
      </c>
      <c r="C640" s="2" t="s">
        <v>55</v>
      </c>
      <c r="D640" s="7">
        <v>2332.8</v>
      </c>
      <c r="E640" s="2">
        <v>1.0</v>
      </c>
      <c r="F640" s="7">
        <v>2332.8</v>
      </c>
      <c r="G640" s="2" t="s">
        <v>2221</v>
      </c>
      <c r="H640" s="2" t="s">
        <v>2222</v>
      </c>
      <c r="I640" s="2" t="s">
        <v>2223</v>
      </c>
      <c r="K640" s="19" t="str">
        <f>IFERROR(__xludf.DUMMYFUNCTION("IF(ISBLANK(A640),
  """",
  IF(ISNUMBER(A640),
    TEXT(A640,""dd/mm/yyyy""),
    IF(
      REGEXMATCH(TRIM(A640),""^\d{1,2}/\d{1,2}/\d{4}$""),
      TRIM(A640),
      IFERROR(
        TEXT(DATEVALUE(SUBSTITUTE(SUBSTITUTE(TRIM(A640),""-"",""/""),""."",""/"&amp;""")),""dd/mm/yyyy""),
        TRIM(A640)
      )
    )
  )
)
"),"15/10/2024")</f>
        <v>15/10/2024</v>
      </c>
      <c r="L640" s="20">
        <v>45580.0</v>
      </c>
      <c r="M640" s="21" t="str">
        <f>IFERROR(__xludf.DUMMYFUNCTION("PROPER(TRIM(
  REGEXREPLACE(
    REGEXREPLACE(
      SUBSTITUTE(SUBSTITUTE(SUBSTITUTE(SUBSTITUTE(SUBSTITUTE(SUBSTITUTE(SUBSTITUTE(SUBSTITUTE(SUBSTITUTE(SUBSTITUTE(SUBSTITUTE(
        B640,""√©"",""é""),""√°"",""á""),""√±"",""ñ""),""√≥"",""ó""),""√â"",""é"&amp;"""),""√Å"",""á""),""√ç"",""í""),""√Ç"",""Í""),""√Â"",""é""),""√≠"",""í""),""√º"",""ú""),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40" s="22" t="str">
        <f>IFERROR(__xludf.DUMMYFUNCTION("SPLIT(
  TRIM(
    SUBSTITUTE(
      SUBSTITUTE(
        SUBSTITUTE(
          SUBSTITUTE(
            C640,
            ""√©"", ""é""
          ),
          ""√±"", ""ñ""
        ),
        ""√°"", ""á""
      ),
      ""√≥"", ""ó""
    )
  ),
  ""-""
)
"),"Laptop")</f>
        <v>Laptop</v>
      </c>
      <c r="O640" s="22" t="str">
        <f>IFERROR(__xludf.DUMMYFUNCTION("""COMPUTED_VALUE"""),"Ultraliviana")</f>
        <v>Ultraliviana</v>
      </c>
      <c r="P640" s="22" t="str">
        <f>IFERROR(__xludf.DUMMYFUNCTION("""COMPUTED_VALUE"""),"16GB")</f>
        <v>16GB</v>
      </c>
      <c r="Q640" s="23">
        <f t="shared" si="1"/>
        <v>2332.8</v>
      </c>
      <c r="R640" s="22">
        <f t="shared" si="2"/>
        <v>1</v>
      </c>
      <c r="S640" s="23">
        <f t="shared" si="3"/>
        <v>2332.8</v>
      </c>
      <c r="T640" s="22" t="str">
        <f>IFERROR(__xludf.DUMMYFUNCTION("PROPER(TRIM(
  LET(
    texto1, REGEXREPLACE(G640,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"),"Camilo Partida")</f>
        <v>Camilo Partida</v>
      </c>
      <c r="U640" s="22" t="str">
        <f t="shared" si="4"/>
        <v>c2384374-01f4-4848-97cd-a1327649abfe</v>
      </c>
      <c r="V640" s="24" t="str">
        <f t="shared" si="5"/>
        <v>Laptop Ultraliviana 16GB</v>
      </c>
    </row>
    <row r="641" ht="15.75" customHeight="1">
      <c r="A641" s="6">
        <v>45583.0</v>
      </c>
      <c r="B641" s="2" t="s">
        <v>85</v>
      </c>
      <c r="C641" s="2" t="s">
        <v>397</v>
      </c>
      <c r="D641" s="32"/>
      <c r="E641" s="2">
        <v>4.0</v>
      </c>
      <c r="F641" s="7">
        <v>6259.84</v>
      </c>
      <c r="G641" s="2" t="s">
        <v>2224</v>
      </c>
      <c r="H641" s="2" t="s">
        <v>2225</v>
      </c>
      <c r="I641" s="2" t="s">
        <v>2226</v>
      </c>
      <c r="K641" s="25" t="str">
        <f>IFERROR(__xludf.DUMMYFUNCTION("IF(ISBLANK(A641),
  """",
  IF(ISNUMBER(A641),
    TEXT(A641,""dd/mm/yyyy""),
    IF(
      REGEXMATCH(TRIM(A641),""^\d{1,2}/\d{1,2}/\d{4}$""),
      TRIM(A641),
      IFERROR(
        TEXT(DATEVALUE(SUBSTITUTE(SUBSTITUTE(TRIM(A641),""-"",""/""),""."",""/"&amp;""")),""dd/mm/yyyy""),
        TRIM(A641)
      )
    )
  )
)
"),"18/10/2024")</f>
        <v>18/10/2024</v>
      </c>
      <c r="L641" s="26">
        <v>45583.0</v>
      </c>
      <c r="M641" s="27" t="str">
        <f>IFERROR(__xludf.DUMMYFUNCTION("PROPER(TRIM(
  REGEXREPLACE(
    REGEXREPLACE(
      SUBSTITUTE(SUBSTITUTE(SUBSTITUTE(SUBSTITUTE(SUBSTITUTE(SUBSTITUTE(SUBSTITUTE(SUBSTITUTE(SUBSTITUTE(SUBSTITUTE(SUBSTITUTE(
        B641,""√©"",""é""),""√°"",""á""),""√±"",""ñ""),""√≥"",""ó""),""√â"",""é"&amp;"""),""√Å"",""á""),""√ç"",""í""),""√Ç"",""Í""),""√Â"",""é""),""√≠"",""í""),""√º"",""ú""),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41" s="28" t="str">
        <f>IFERROR(__xludf.DUMMYFUNCTION("SPLIT(
  TRIM(
    SUBSTITUTE(
      SUBSTITUTE(
        SUBSTITUTE(
          SUBSTITUTE(
            C641,
            ""√©"", ""é""
          ),
          ""√±"", ""ñ""
        ),
        ""√°"", ""á""
      ),
      ""√≥"", ""ó""
    )
  ),
  ""-""
)
"),"Teléfono")</f>
        <v>Teléfono</v>
      </c>
      <c r="O641" s="28" t="str">
        <f>IFERROR(__xludf.DUMMYFUNCTION("""COMPUTED_VALUE"""),"Gama media")</f>
        <v>Gama media</v>
      </c>
      <c r="P641" s="28" t="str">
        <f>IFERROR(__xludf.DUMMYFUNCTION("""COMPUTED_VALUE"""),"32GB")</f>
        <v>32GB</v>
      </c>
      <c r="Q641" s="34" t="str">
        <f t="shared" si="1"/>
        <v>0</v>
      </c>
      <c r="R641" s="28">
        <f t="shared" si="2"/>
        <v>4</v>
      </c>
      <c r="S641" s="29">
        <f t="shared" si="3"/>
        <v>6259.84</v>
      </c>
      <c r="T641" s="28" t="str">
        <f>IFERROR(__xludf.DUMMYFUNCTION("PROPER(TRIM(
  LET(
    texto1, REGEXREPLACE(G641,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Esteban Quintero")</f>
        <v>Cristina Esteban Quintero</v>
      </c>
      <c r="U641" s="28" t="str">
        <f t="shared" si="4"/>
        <v>fa85138f-7fb2-499a-acc2-02957ef92673</v>
      </c>
      <c r="V641" s="30" t="str">
        <f t="shared" si="5"/>
        <v>Teléfono Gama media 32GB</v>
      </c>
    </row>
    <row r="642" ht="15.75" customHeight="1">
      <c r="A642" s="6">
        <v>45578.0</v>
      </c>
      <c r="B642" s="2" t="s">
        <v>85</v>
      </c>
      <c r="C642" s="2" t="s">
        <v>172</v>
      </c>
      <c r="D642" s="7">
        <v>1274.8</v>
      </c>
      <c r="E642" s="2">
        <v>5.0</v>
      </c>
      <c r="F642" s="7">
        <v>6374.0</v>
      </c>
      <c r="G642" s="2" t="s">
        <v>2227</v>
      </c>
      <c r="H642" s="2" t="s">
        <v>2228</v>
      </c>
      <c r="I642" s="2" t="s">
        <v>2229</v>
      </c>
      <c r="K642" s="19" t="str">
        <f>IFERROR(__xludf.DUMMYFUNCTION("IF(ISBLANK(A642),
  """",
  IF(ISNUMBER(A642),
    TEXT(A642,""dd/mm/yyyy""),
    IF(
      REGEXMATCH(TRIM(A642),""^\d{1,2}/\d{1,2}/\d{4}$""),
      TRIM(A642),
      IFERROR(
        TEXT(DATEVALUE(SUBSTITUTE(SUBSTITUTE(TRIM(A642),""-"",""/""),""."",""/"&amp;""")),""dd/mm/yyyy""),
        TRIM(A642)
      )
    )
  )
)
"),"13/10/2024")</f>
        <v>13/10/2024</v>
      </c>
      <c r="L642" s="20">
        <v>45578.0</v>
      </c>
      <c r="M642" s="21" t="str">
        <f>IFERROR(__xludf.DUMMYFUNCTION("PROPER(TRIM(
  REGEXREPLACE(
    REGEXREPLACE(
      SUBSTITUTE(SUBSTITUTE(SUBSTITUTE(SUBSTITUTE(SUBSTITUTE(SUBSTITUTE(SUBSTITUTE(SUBSTITUTE(SUBSTITUTE(SUBSTITUTE(SUBSTITUTE(
        B642,""√©"",""é""),""√°"",""á""),""√±"",""ñ""),""√≥"",""ó""),""√â"",""é"&amp;"""),""√Å"",""á""),""√ç"",""í""),""√Ç"",""Í""),""√Â"",""é""),""√≠"",""í""),""√º"",""ú""),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42" s="22" t="str">
        <f>IFERROR(__xludf.DUMMYFUNCTION("SPLIT(
  TRIM(
    SUBSTITUTE(
      SUBSTITUTE(
        SUBSTITUTE(
          SUBSTITUTE(
            C642,
            ""√©"", ""é""
          ),
          ""√±"", ""ñ""
        ),
        ""√°"", ""á""
      ),
      ""√≥"", ""ó""
    )
  ),
  ""-""
)
"),"Laptop")</f>
        <v>Laptop</v>
      </c>
      <c r="O642" s="22" t="str">
        <f>IFERROR(__xludf.DUMMYFUNCTION("""COMPUTED_VALUE"""),"Oficina")</f>
        <v>Oficina</v>
      </c>
      <c r="P642" s="22" t="str">
        <f>IFERROR(__xludf.DUMMYFUNCTION("""COMPUTED_VALUE"""),"8GB")</f>
        <v>8GB</v>
      </c>
      <c r="Q642" s="23">
        <f t="shared" si="1"/>
        <v>1274.8</v>
      </c>
      <c r="R642" s="22">
        <f t="shared" si="2"/>
        <v>5</v>
      </c>
      <c r="S642" s="23">
        <f t="shared" si="3"/>
        <v>6374</v>
      </c>
      <c r="T642" s="22" t="str">
        <f>IFERROR(__xludf.DUMMYFUNCTION("PROPER(TRIM(
  LET(
    texto1, REGEXREPLACE(G642,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 Camila Guardado")</f>
        <v>Luis Camila Guardado</v>
      </c>
      <c r="U642" s="22" t="str">
        <f t="shared" si="4"/>
        <v>dca19bf4-3f5f-484c-bfdb-75c9ded28858</v>
      </c>
      <c r="V642" s="24" t="str">
        <f t="shared" si="5"/>
        <v>Laptop Oficina 8GB</v>
      </c>
    </row>
    <row r="643" ht="15.75" customHeight="1">
      <c r="A643" s="36">
        <v>45638.0</v>
      </c>
      <c r="B643" s="2" t="s">
        <v>85</v>
      </c>
      <c r="C643" s="2" t="s">
        <v>80</v>
      </c>
      <c r="D643" s="7">
        <v>181.16</v>
      </c>
      <c r="E643" s="2">
        <v>4.0</v>
      </c>
      <c r="F643" s="7">
        <v>724.64</v>
      </c>
      <c r="G643" s="2" t="s">
        <v>2230</v>
      </c>
      <c r="H643" s="2" t="s">
        <v>2231</v>
      </c>
      <c r="I643" s="2" t="s">
        <v>2232</v>
      </c>
      <c r="K643" s="25" t="str">
        <f>IFERROR(__xludf.DUMMYFUNCTION("IF(ISBLANK(A643),
  """",
  IF(ISNUMBER(A643),
    TEXT(A643,""dd/mm/yyyy""),
    IF(
      REGEXMATCH(TRIM(A643),""^\d{1,2}/\d{1,2}/\d{4}$""),
      TRIM(A643),
      IFERROR(
        TEXT(DATEVALUE(SUBSTITUTE(SUBSTITUTE(TRIM(A643),""-"",""/""),""."",""/"&amp;""")),""dd/mm/yyyy""),
        TRIM(A643)
      )
    )
  )
)
"),"12/12/2024")</f>
        <v>12/12/2024</v>
      </c>
      <c r="L643" s="26">
        <v>45638.0</v>
      </c>
      <c r="M643" s="27" t="str">
        <f>IFERROR(__xludf.DUMMYFUNCTION("PROPER(TRIM(
  REGEXREPLACE(
    REGEXREPLACE(
      SUBSTITUTE(SUBSTITUTE(SUBSTITUTE(SUBSTITUTE(SUBSTITUTE(SUBSTITUTE(SUBSTITUTE(SUBSTITUTE(SUBSTITUTE(SUBSTITUTE(SUBSTITUTE(
        B643,""√©"",""é""),""√°"",""á""),""√±"",""ñ""),""√≥"",""ó""),""√â"",""é"&amp;"""),""√Å"",""á""),""√ç"",""í""),""√Ç"",""Í""),""√Â"",""é""),""√≠"",""í""),""√º"",""ú""),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43" s="28" t="str">
        <f>IFERROR(__xludf.DUMMYFUNCTION("SPLIT(
  TRIM(
    SUBSTITUTE(
      SUBSTITUTE(
        SUBSTITUTE(
          SUBSTITUTE(
            C643,
            ""√©"", ""é""
          ),
          ""√±"", ""ñ""
        ),
        ""√°"", ""á""
      ),
      ""√≥"", ""ó""
    )
  ),
  ""-""
)
"),"Teléfono")</f>
        <v>Teléfono</v>
      </c>
      <c r="O643" s="28" t="str">
        <f>IFERROR(__xludf.DUMMYFUNCTION("""COMPUTED_VALUE"""),"Gama baja")</f>
        <v>Gama baja</v>
      </c>
      <c r="P643" s="28" t="str">
        <f>IFERROR(__xludf.DUMMYFUNCTION("""COMPUTED_VALUE"""),"16GB")</f>
        <v>16GB</v>
      </c>
      <c r="Q643" s="29">
        <f t="shared" si="1"/>
        <v>181.16</v>
      </c>
      <c r="R643" s="28">
        <f t="shared" si="2"/>
        <v>4</v>
      </c>
      <c r="S643" s="29">
        <f t="shared" si="3"/>
        <v>724.64</v>
      </c>
      <c r="T643" s="28" t="str">
        <f>IFERROR(__xludf.DUMMYFUNCTION("PROPER(TRIM(
  LET(
    texto1, REGEXREPLACE(G643,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"),"Juan Carlos Teresa Girón Sosa")</f>
        <v>Juan Carlos Teresa Girón Sosa</v>
      </c>
      <c r="U643" s="28" t="str">
        <f t="shared" si="4"/>
        <v>c52c3f64-0bf6-4119-ab4d-0c0c46049424</v>
      </c>
      <c r="V643" s="30" t="str">
        <f t="shared" si="5"/>
        <v>Teléfono Gama baja 16GB</v>
      </c>
    </row>
    <row r="644" ht="15.75" customHeight="1">
      <c r="A644" s="6">
        <v>45621.0</v>
      </c>
      <c r="B644" s="2" t="s">
        <v>50</v>
      </c>
      <c r="C644" s="2" t="s">
        <v>369</v>
      </c>
      <c r="D644" s="7">
        <v>110.53</v>
      </c>
      <c r="E644" s="2">
        <v>5.0</v>
      </c>
      <c r="F644" s="7">
        <v>552.65</v>
      </c>
      <c r="G644" s="2" t="s">
        <v>2233</v>
      </c>
      <c r="H644" s="2" t="s">
        <v>2234</v>
      </c>
      <c r="I644" s="2" t="s">
        <v>2235</v>
      </c>
      <c r="K644" s="19" t="str">
        <f>IFERROR(__xludf.DUMMYFUNCTION("IF(ISBLANK(A644),
  """",
  IF(ISNUMBER(A644),
    TEXT(A644,""dd/mm/yyyy""),
    IF(
      REGEXMATCH(TRIM(A644),""^\d{1,2}/\d{1,2}/\d{4}$""),
      TRIM(A644),
      IFERROR(
        TEXT(DATEVALUE(SUBSTITUTE(SUBSTITUTE(TRIM(A644),""-"",""/""),""."",""/"&amp;""")),""dd/mm/yyyy""),
        TRIM(A644)
      )
    )
  )
)
"),"25/11/2024")</f>
        <v>25/11/2024</v>
      </c>
      <c r="L644" s="20">
        <v>45621.0</v>
      </c>
      <c r="M644" s="21" t="str">
        <f>IFERROR(__xludf.DUMMYFUNCTION("PROPER(TRIM(
  REGEXREPLACE(
    REGEXREPLACE(
      SUBSTITUTE(SUBSTITUTE(SUBSTITUTE(SUBSTITUTE(SUBSTITUTE(SUBSTITUTE(SUBSTITUTE(SUBSTITUTE(SUBSTITUTE(SUBSTITUTE(SUBSTITUTE(
        B644,""√©"",""é""),""√°"",""á""),""√±"",""ñ""),""√≥"",""ó""),""√â"",""é"&amp;"""),""√Å"",""á""),""√ç"",""í""),""√Ç"",""Í""),""√Â"",""é""),""√≠"",""í""),""√º"",""ú""),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44" s="22" t="str">
        <f>IFERROR(__xludf.DUMMYFUNCTION("SPLIT(
  TRIM(
    SUBSTITUTE(
      SUBSTITUTE(
        SUBSTITUTE(
          SUBSTITUTE(
            C644,
            ""√©"", ""é""
          ),
          ""√±"", ""ñ""
        ),
        ""√°"", ""á""
      ),
      ""√≥"", ""ó""
    )
  ),
  ""-""
)
"),"Tablet")</f>
        <v>Tablet</v>
      </c>
      <c r="O644" s="22" t="str">
        <f>IFERROR(__xludf.DUMMYFUNCTION("""COMPUTED_VALUE"""),"Pro")</f>
        <v>Pro</v>
      </c>
      <c r="P644" s="22" t="str">
        <f>IFERROR(__xludf.DUMMYFUNCTION("""COMPUTED_VALUE"""),"16GB")</f>
        <v>16GB</v>
      </c>
      <c r="Q644" s="23">
        <f t="shared" si="1"/>
        <v>110.53</v>
      </c>
      <c r="R644" s="22">
        <f t="shared" si="2"/>
        <v>5</v>
      </c>
      <c r="S644" s="23">
        <f t="shared" si="3"/>
        <v>552.65</v>
      </c>
      <c r="T644" s="22" t="str">
        <f>IFERROR(__xludf.DUMMYFUNCTION("PROPER(TRIM(
  LET(
    texto1, REGEXREPLACE(G644,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"),"Alberto Calvillo")</f>
        <v>Alberto Calvillo</v>
      </c>
      <c r="U644" s="22" t="str">
        <f t="shared" si="4"/>
        <v>ac1d0457-8737-4d32-adc3-08dc6711b75b</v>
      </c>
      <c r="V644" s="24" t="str">
        <f t="shared" si="5"/>
        <v>Tablet Pro 16GB</v>
      </c>
    </row>
    <row r="645" ht="15.75" customHeight="1">
      <c r="A645" s="6">
        <v>45645.0</v>
      </c>
      <c r="B645" s="2" t="s">
        <v>101</v>
      </c>
      <c r="C645" s="2" t="s">
        <v>452</v>
      </c>
      <c r="D645" s="7">
        <v>1008.28</v>
      </c>
      <c r="E645" s="2">
        <v>5.0</v>
      </c>
      <c r="F645" s="7">
        <v>5041.4</v>
      </c>
      <c r="G645" s="2" t="s">
        <v>2236</v>
      </c>
      <c r="H645" s="2" t="s">
        <v>2237</v>
      </c>
      <c r="I645" s="2" t="s">
        <v>2238</v>
      </c>
      <c r="K645" s="25" t="str">
        <f>IFERROR(__xludf.DUMMYFUNCTION("IF(ISBLANK(A645),
  """",
  IF(ISNUMBER(A645),
    TEXT(A645,""dd/mm/yyyy""),
    IF(
      REGEXMATCH(TRIM(A645),""^\d{1,2}/\d{1,2}/\d{4}$""),
      TRIM(A645),
      IFERROR(
        TEXT(DATEVALUE(SUBSTITUTE(SUBSTITUTE(TRIM(A645),""-"",""/""),""."",""/"&amp;""")),""dd/mm/yyyy""),
        TRIM(A645)
      )
    )
  )
)
"),"19/12/2024")</f>
        <v>19/12/2024</v>
      </c>
      <c r="L645" s="26">
        <v>45645.0</v>
      </c>
      <c r="M645" s="27" t="str">
        <f>IFERROR(__xludf.DUMMYFUNCTION("PROPER(TRIM(
  REGEXREPLACE(
    REGEXREPLACE(
      SUBSTITUTE(SUBSTITUTE(SUBSTITUTE(SUBSTITUTE(SUBSTITUTE(SUBSTITUTE(SUBSTITUTE(SUBSTITUTE(SUBSTITUTE(SUBSTITUTE(SUBSTITUTE(
        B645,""√©"",""é""),""√°"",""á""),""√±"",""ñ""),""√≥"",""ó""),""√â"",""é"&amp;"""),""√Å"",""á""),""√ç"",""í""),""√Ç"",""Í""),""√Â"",""é""),""√≠"",""í""),""√º"",""ú""),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45" s="28" t="str">
        <f>IFERROR(__xludf.DUMMYFUNCTION("SPLIT(
  TRIM(
    SUBSTITUTE(
      SUBSTITUTE(
        SUBSTITUTE(
          SUBSTITUTE(
            C645,
            ""√©"", ""é""
          ),
          ""√±"", ""ñ""
        ),
        ""√°"", ""á""
      ),
      ""√≥"", ""ó""
    )
  ),
  ""-""
)
"),"Teléfono")</f>
        <v>Teléfono</v>
      </c>
      <c r="O645" s="28" t="str">
        <f>IFERROR(__xludf.DUMMYFUNCTION("""COMPUTED_VALUE"""),"Gama media")</f>
        <v>Gama media</v>
      </c>
      <c r="P645" s="28" t="str">
        <f>IFERROR(__xludf.DUMMYFUNCTION("""COMPUTED_VALUE"""),"16GB")</f>
        <v>16GB</v>
      </c>
      <c r="Q645" s="29">
        <f t="shared" si="1"/>
        <v>1008.28</v>
      </c>
      <c r="R645" s="28">
        <f t="shared" si="2"/>
        <v>5</v>
      </c>
      <c r="S645" s="29">
        <f t="shared" si="3"/>
        <v>5041.4</v>
      </c>
      <c r="T645" s="28" t="str">
        <f>IFERROR(__xludf.DUMMYFUNCTION("PROPER(TRIM(
  LET(
    texto1, REGEXREPLACE(G645,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"),"Clara Echeverría")</f>
        <v>Clara Echeverría</v>
      </c>
      <c r="U645" s="28" t="str">
        <f t="shared" si="4"/>
        <v>d6c6c3cb-6cf5-40a9-b8d5-65640f8dab1c</v>
      </c>
      <c r="V645" s="30" t="str">
        <f t="shared" si="5"/>
        <v>Teléfono Gama media 16GB</v>
      </c>
    </row>
    <row r="646" ht="15.75" customHeight="1">
      <c r="A646" s="6">
        <v>45596.0</v>
      </c>
      <c r="B646" s="2" t="s">
        <v>38</v>
      </c>
      <c r="C646" s="2" t="s">
        <v>86</v>
      </c>
      <c r="D646" s="7">
        <v>1758.16</v>
      </c>
      <c r="E646" s="2">
        <v>5.0</v>
      </c>
      <c r="F646" s="7">
        <v>8790.8</v>
      </c>
      <c r="G646" s="2" t="s">
        <v>2239</v>
      </c>
      <c r="H646" s="2" t="s">
        <v>2240</v>
      </c>
      <c r="I646" s="2" t="s">
        <v>2241</v>
      </c>
      <c r="K646" s="19" t="str">
        <f>IFERROR(__xludf.DUMMYFUNCTION("IF(ISBLANK(A646),
  """",
  IF(ISNUMBER(A646),
    TEXT(A646,""dd/mm/yyyy""),
    IF(
      REGEXMATCH(TRIM(A646),""^\d{1,2}/\d{1,2}/\d{4}$""),
      TRIM(A646),
      IFERROR(
        TEXT(DATEVALUE(SUBSTITUTE(SUBSTITUTE(TRIM(A646),""-"",""/""),""."",""/"&amp;""")),""dd/mm/yyyy""),
        TRIM(A646)
      )
    )
  )
)
"),"31/10/2024")</f>
        <v>31/10/2024</v>
      </c>
      <c r="L646" s="20">
        <v>45596.0</v>
      </c>
      <c r="M646" s="21" t="str">
        <f>IFERROR(__xludf.DUMMYFUNCTION("PROPER(TRIM(
  REGEXREPLACE(
    REGEXREPLACE(
      SUBSTITUTE(SUBSTITUTE(SUBSTITUTE(SUBSTITUTE(SUBSTITUTE(SUBSTITUTE(SUBSTITUTE(SUBSTITUTE(SUBSTITUTE(SUBSTITUTE(SUBSTITUTE(
        B646,""√©"",""é""),""√°"",""á""),""√±"",""ñ""),""√≥"",""ó""),""√â"",""é"&amp;"""),""√Å"",""á""),""√ç"",""í""),""√Ç"",""Í""),""√Â"",""é""),""√≠"",""í""),""√º"",""ú""),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46" s="22" t="str">
        <f>IFERROR(__xludf.DUMMYFUNCTION("SPLIT(
  TRIM(
    SUBSTITUTE(
      SUBSTITUTE(
        SUBSTITUTE(
          SUBSTITUTE(
            C646,
            ""√©"", ""é""
          ),
          ""√±"", ""ñ""
        ),
        ""√°"", ""á""
      ),
      ""√≥"", ""ó""
    )
  ),
  ""-""
)
"),"Tablet")</f>
        <v>Tablet</v>
      </c>
      <c r="O646" s="22" t="str">
        <f>IFERROR(__xludf.DUMMYFUNCTION("""COMPUTED_VALUE"""),"Pro")</f>
        <v>Pro</v>
      </c>
      <c r="P646" s="22" t="str">
        <f>IFERROR(__xludf.DUMMYFUNCTION("""COMPUTED_VALUE"""),"32GB")</f>
        <v>32GB</v>
      </c>
      <c r="Q646" s="23">
        <f t="shared" si="1"/>
        <v>1758.16</v>
      </c>
      <c r="R646" s="22">
        <f t="shared" si="2"/>
        <v>5</v>
      </c>
      <c r="S646" s="23">
        <f t="shared" si="3"/>
        <v>8790.8</v>
      </c>
      <c r="T646" s="22" t="str">
        <f>IFERROR(__xludf.DUMMYFUNCTION("PROPER(TRIM(
  LET(
    texto1, REGEXREPLACE(G646,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"),"Hermelinda Mota")</f>
        <v>Hermelinda Mota</v>
      </c>
      <c r="U646" s="22" t="str">
        <f t="shared" si="4"/>
        <v>46378c72-4067-4729-b1e5-3d39203ab930</v>
      </c>
      <c r="V646" s="24" t="str">
        <f t="shared" si="5"/>
        <v>Tablet Pro 32GB</v>
      </c>
    </row>
    <row r="647" ht="15.75" customHeight="1">
      <c r="A647" s="36">
        <v>45361.0</v>
      </c>
      <c r="B647" s="2" t="s">
        <v>27</v>
      </c>
      <c r="C647" s="2" t="s">
        <v>181</v>
      </c>
      <c r="D647" s="7">
        <v>548.67</v>
      </c>
      <c r="E647" s="2">
        <v>2.0</v>
      </c>
      <c r="F647" s="7">
        <v>1097.34</v>
      </c>
      <c r="G647" s="2" t="s">
        <v>2242</v>
      </c>
      <c r="H647" s="2" t="s">
        <v>2243</v>
      </c>
      <c r="I647" s="2" t="s">
        <v>2244</v>
      </c>
      <c r="K647" s="25" t="str">
        <f>IFERROR(__xludf.DUMMYFUNCTION("IF(ISBLANK(A647),
  """",
  IF(ISNUMBER(A647),
    TEXT(A647,""dd/mm/yyyy""),
    IF(
      REGEXMATCH(TRIM(A647),""^\d{1,2}/\d{1,2}/\d{4}$""),
      TRIM(A647),
      IFERROR(
        TEXT(DATEVALUE(SUBSTITUTE(SUBSTITUTE(TRIM(A647),""-"",""/""),""."",""/"&amp;""")),""dd/mm/yyyy""),
        TRIM(A647)
      )
    )
  )
)
"),"10/03/2024")</f>
        <v>10/03/2024</v>
      </c>
      <c r="L647" s="26">
        <v>45361.0</v>
      </c>
      <c r="M647" s="27" t="str">
        <f>IFERROR(__xludf.DUMMYFUNCTION("PROPER(TRIM(
  REGEXREPLACE(
    REGEXREPLACE(
      SUBSTITUTE(SUBSTITUTE(SUBSTITUTE(SUBSTITUTE(SUBSTITUTE(SUBSTITUTE(SUBSTITUTE(SUBSTITUTE(SUBSTITUTE(SUBSTITUTE(SUBSTITUTE(
        B647,""√©"",""é""),""√°"",""á""),""√±"",""ñ""),""√≥"",""ó""),""√â"",""é"&amp;"""),""√Å"",""á""),""√ç"",""í""),""√Ç"",""Í""),""√Â"",""é""),""√≠"",""í""),""√º"",""ú""),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47" s="28" t="str">
        <f>IFERROR(__xludf.DUMMYFUNCTION("SPLIT(
  TRIM(
    SUBSTITUTE(
      SUBSTITUTE(
        SUBSTITUTE(
          SUBSTITUTE(
            C647,
            ""√©"", ""é""
          ),
          ""√±"", ""ñ""
        ),
        ""√°"", ""á""
      ),
      ""√≥"", ""ó""
    )
  ),
  ""-""
)
"),"Laptop")</f>
        <v>Laptop</v>
      </c>
      <c r="O647" s="28" t="str">
        <f>IFERROR(__xludf.DUMMYFUNCTION("""COMPUTED_VALUE"""),"Ultraliviana")</f>
        <v>Ultraliviana</v>
      </c>
      <c r="P647" s="28" t="str">
        <f>IFERROR(__xludf.DUMMYFUNCTION("""COMPUTED_VALUE"""),"4GB")</f>
        <v>4GB</v>
      </c>
      <c r="Q647" s="29">
        <f t="shared" si="1"/>
        <v>548.67</v>
      </c>
      <c r="R647" s="28">
        <f t="shared" si="2"/>
        <v>2</v>
      </c>
      <c r="S647" s="29">
        <f t="shared" si="3"/>
        <v>1097.34</v>
      </c>
      <c r="T647" s="28" t="str">
        <f>IFERROR(__xludf.DUMMYFUNCTION("PROPER(TRIM(
  LET(
    texto1, REGEXREPLACE(G647,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"),"Patricia Santana")</f>
        <v>Patricia Santana</v>
      </c>
      <c r="U647" s="28" t="str">
        <f t="shared" si="4"/>
        <v>4f50dcb6-7cbd-478c-baf6-9689eb8eab31</v>
      </c>
      <c r="V647" s="30" t="str">
        <f t="shared" si="5"/>
        <v>Laptop Ultraliviana 4GB</v>
      </c>
    </row>
    <row r="648" ht="15.75" customHeight="1">
      <c r="A648" s="36">
        <v>45301.0</v>
      </c>
      <c r="B648" s="2" t="s">
        <v>27</v>
      </c>
      <c r="C648" s="2" t="s">
        <v>201</v>
      </c>
      <c r="D648" s="7">
        <v>664.18</v>
      </c>
      <c r="E648" s="2">
        <v>2.0</v>
      </c>
      <c r="F648" s="7">
        <v>1328.36</v>
      </c>
      <c r="G648" s="2" t="s">
        <v>2246</v>
      </c>
      <c r="H648" s="2" t="s">
        <v>2247</v>
      </c>
      <c r="I648" s="2" t="s">
        <v>2248</v>
      </c>
      <c r="K648" s="19" t="str">
        <f>IFERROR(__xludf.DUMMYFUNCTION("IF(ISBLANK(A648),
  """",
  IF(ISNUMBER(A648),
    TEXT(A648,""dd/mm/yyyy""),
    IF(
      REGEXMATCH(TRIM(A648),""^\d{1,2}/\d{1,2}/\d{4}$""),
      TRIM(A648),
      IFERROR(
        TEXT(DATEVALUE(SUBSTITUTE(SUBSTITUTE(TRIM(A648),""-"",""/""),""."",""/"&amp;""")),""dd/mm/yyyy""),
        TRIM(A648)
      )
    )
  )
)
"),"10/01/2024")</f>
        <v>10/01/2024</v>
      </c>
      <c r="L648" s="20">
        <v>45301.0</v>
      </c>
      <c r="M648" s="21" t="str">
        <f>IFERROR(__xludf.DUMMYFUNCTION("PROPER(TRIM(
  REGEXREPLACE(
    REGEXREPLACE(
      SUBSTITUTE(SUBSTITUTE(SUBSTITUTE(SUBSTITUTE(SUBSTITUTE(SUBSTITUTE(SUBSTITUTE(SUBSTITUTE(SUBSTITUTE(SUBSTITUTE(SUBSTITUTE(
        B648,""√©"",""é""),""√°"",""á""),""√±"",""ñ""),""√≥"",""ó""),""√â"",""é"&amp;"""),""√Å"",""á""),""√ç"",""í""),""√Ç"",""Í""),""√Â"",""é""),""√≠"",""í""),""√º"",""ú""),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48" s="22" t="str">
        <f>IFERROR(__xludf.DUMMYFUNCTION("SPLIT(
  TRIM(
    SUBSTITUTE(
      SUBSTITUTE(
        SUBSTITUTE(
          SUBSTITUTE(
            C648,
            ""√©"", ""é""
          ),
          ""√±"", ""ñ""
        ),
        ""√°"", ""á""
      ),
      ""√≥"", ""ó""
    )
  ),
  ""-""
)
"),"Laptop")</f>
        <v>Laptop</v>
      </c>
      <c r="O648" s="22" t="str">
        <f>IFERROR(__xludf.DUMMYFUNCTION("""COMPUTED_VALUE"""),"Gaming")</f>
        <v>Gaming</v>
      </c>
      <c r="P648" s="22" t="str">
        <f>IFERROR(__xludf.DUMMYFUNCTION("""COMPUTED_VALUE"""),"4GB")</f>
        <v>4GB</v>
      </c>
      <c r="Q648" s="23">
        <f t="shared" si="1"/>
        <v>664.18</v>
      </c>
      <c r="R648" s="22">
        <f t="shared" si="2"/>
        <v>2</v>
      </c>
      <c r="S648" s="23">
        <f t="shared" si="3"/>
        <v>1328.36</v>
      </c>
      <c r="T648" s="22" t="str">
        <f>IFERROR(__xludf.DUMMYFUNCTION("PROPER(TRIM(
  LET(
    texto1, REGEXREPLACE(G648,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"),"Alfredo Lerma")</f>
        <v>Alfredo Lerma</v>
      </c>
      <c r="U648" s="22" t="str">
        <f t="shared" si="4"/>
        <v>c757a287-6f17-4368-b595-ae2d6879f392</v>
      </c>
      <c r="V648" s="24" t="str">
        <f t="shared" si="5"/>
        <v>Laptop Gaming 4GB</v>
      </c>
    </row>
    <row r="649" ht="15.75" customHeight="1">
      <c r="A649" s="6">
        <v>45621.0</v>
      </c>
      <c r="B649" s="2" t="s">
        <v>27</v>
      </c>
      <c r="C649" s="2" t="s">
        <v>348</v>
      </c>
      <c r="D649" s="7">
        <v>1453.6</v>
      </c>
      <c r="E649" s="2">
        <v>4.0</v>
      </c>
      <c r="F649" s="7">
        <v>5814.4</v>
      </c>
      <c r="G649" s="2" t="s">
        <v>2249</v>
      </c>
      <c r="H649" s="2" t="s">
        <v>2250</v>
      </c>
      <c r="I649" s="2" t="s">
        <v>2251</v>
      </c>
      <c r="K649" s="25" t="str">
        <f>IFERROR(__xludf.DUMMYFUNCTION("IF(ISBLANK(A649),
  """",
  IF(ISNUMBER(A649),
    TEXT(A649,""dd/mm/yyyy""),
    IF(
      REGEXMATCH(TRIM(A649),""^\d{1,2}/\d{1,2}/\d{4}$""),
      TRIM(A649),
      IFERROR(
        TEXT(DATEVALUE(SUBSTITUTE(SUBSTITUTE(TRIM(A649),""-"",""/""),""."",""/"&amp;""")),""dd/mm/yyyy""),
        TRIM(A649)
      )
    )
  )
)
"),"25/11/2024")</f>
        <v>25/11/2024</v>
      </c>
      <c r="L649" s="26">
        <v>45621.0</v>
      </c>
      <c r="M649" s="27" t="str">
        <f>IFERROR(__xludf.DUMMYFUNCTION("PROPER(TRIM(
  REGEXREPLACE(
    REGEXREPLACE(
      SUBSTITUTE(SUBSTITUTE(SUBSTITUTE(SUBSTITUTE(SUBSTITUTE(SUBSTITUTE(SUBSTITUTE(SUBSTITUTE(SUBSTITUTE(SUBSTITUTE(SUBSTITUTE(
        B649,""√©"",""é""),""√°"",""á""),""√±"",""ñ""),""√≥"",""ó""),""√â"",""é"&amp;"""),""√Å"",""á""),""√ç"",""í""),""√Ç"",""Í""),""√Â"",""é""),""√≠"",""í""),""√º"",""ú""),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49" s="28" t="str">
        <f>IFERROR(__xludf.DUMMYFUNCTION("SPLIT(
  TRIM(
    SUBSTITUTE(
      SUBSTITUTE(
        SUBSTITUTE(
          SUBSTITUTE(
            C649,
            ""√©"", ""é""
          ),
          ""√±"", ""ñ""
        ),
        ""√°"", ""á""
      ),
      ""√≥"", ""ó""
    )
  ),
  ""-""
)
"),"Teléfono")</f>
        <v>Teléfono</v>
      </c>
      <c r="O649" s="28" t="str">
        <f>IFERROR(__xludf.DUMMYFUNCTION("""COMPUTED_VALUE"""),"Gama media")</f>
        <v>Gama media</v>
      </c>
      <c r="P649" s="28" t="str">
        <f>IFERROR(__xludf.DUMMYFUNCTION("""COMPUTED_VALUE"""),"8GB")</f>
        <v>8GB</v>
      </c>
      <c r="Q649" s="29">
        <f t="shared" si="1"/>
        <v>1453.6</v>
      </c>
      <c r="R649" s="28">
        <f t="shared" si="2"/>
        <v>4</v>
      </c>
      <c r="S649" s="29">
        <f t="shared" si="3"/>
        <v>5814.4</v>
      </c>
      <c r="T649" s="28" t="str">
        <f>IFERROR(__xludf.DUMMYFUNCTION("PROPER(TRIM(
  LET(
    texto1, REGEXREPLACE(G649,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"),"Patricio Abigail Meza")</f>
        <v>Patricio Abigail Meza</v>
      </c>
      <c r="U649" s="28" t="str">
        <f t="shared" si="4"/>
        <v>8a373805-0041-447e-8540-70bded3c26c5</v>
      </c>
      <c r="V649" s="30" t="str">
        <f t="shared" si="5"/>
        <v>Teléfono Gama media 8GB</v>
      </c>
    </row>
    <row r="650" ht="15.75" customHeight="1">
      <c r="A650" s="6">
        <v>45614.0</v>
      </c>
      <c r="B650" s="2" t="s">
        <v>16</v>
      </c>
      <c r="C650" s="2" t="s">
        <v>91</v>
      </c>
      <c r="D650" s="7">
        <v>2191.24</v>
      </c>
      <c r="E650" s="2">
        <v>5.0</v>
      </c>
      <c r="F650" s="7">
        <v>10956.2</v>
      </c>
      <c r="G650" s="2" t="s">
        <v>2252</v>
      </c>
      <c r="H650" s="2" t="s">
        <v>2253</v>
      </c>
      <c r="I650" s="2" t="s">
        <v>2254</v>
      </c>
      <c r="K650" s="19" t="str">
        <f>IFERROR(__xludf.DUMMYFUNCTION("IF(ISBLANK(A650),
  """",
  IF(ISNUMBER(A650),
    TEXT(A650,""dd/mm/yyyy""),
    IF(
      REGEXMATCH(TRIM(A650),""^\d{1,2}/\d{1,2}/\d{4}$""),
      TRIM(A650),
      IFERROR(
        TEXT(DATEVALUE(SUBSTITUTE(SUBSTITUTE(TRIM(A650),""-"",""/""),""."",""/"&amp;""")),""dd/mm/yyyy""),
        TRIM(A650)
      )
    )
  )
)
"),"18/11/2024")</f>
        <v>18/11/2024</v>
      </c>
      <c r="L650" s="20">
        <v>45614.0</v>
      </c>
      <c r="M650" s="21" t="str">
        <f>IFERROR(__xludf.DUMMYFUNCTION("PROPER(TRIM(
  REGEXREPLACE(
    REGEXREPLACE(
      SUBSTITUTE(SUBSTITUTE(SUBSTITUTE(SUBSTITUTE(SUBSTITUTE(SUBSTITUTE(SUBSTITUTE(SUBSTITUTE(SUBSTITUTE(SUBSTITUTE(SUBSTITUTE(
        B650,""√©"",""é""),""√°"",""á""),""√±"",""ñ""),""√≥"",""ó""),""√â"",""é"&amp;"""),""√Å"",""á""),""√ç"",""í""),""√Ç"",""Í""),""√Â"",""é""),""√≠"",""í""),""√º"",""ú""),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50" s="22" t="str">
        <f>IFERROR(__xludf.DUMMYFUNCTION("SPLIT(
  TRIM(
    SUBSTITUTE(
      SUBSTITUTE(
        SUBSTITUTE(
          SUBSTITUTE(
            C650,
            ""√©"", ""é""
          ),
          ""√±"", ""ñ""
        ),
        ""√°"", ""á""
      ),
      ""√≥"", ""ó""
    )
  ),
  ""-""
)
"),"Tablet")</f>
        <v>Tablet</v>
      </c>
      <c r="O650" s="22" t="str">
        <f>IFERROR(__xludf.DUMMYFUNCTION("""COMPUTED_VALUE"""),"Mini")</f>
        <v>Mini</v>
      </c>
      <c r="P650" s="22" t="str">
        <f>IFERROR(__xludf.DUMMYFUNCTION("""COMPUTED_VALUE"""),"32GB")</f>
        <v>32GB</v>
      </c>
      <c r="Q650" s="23">
        <f t="shared" si="1"/>
        <v>2191.24</v>
      </c>
      <c r="R650" s="22">
        <f t="shared" si="2"/>
        <v>5</v>
      </c>
      <c r="S650" s="23">
        <f t="shared" si="3"/>
        <v>10956.2</v>
      </c>
      <c r="T650" s="22" t="str">
        <f>IFERROR(__xludf.DUMMYFUNCTION("PROPER(TRIM(
  LET(
    texto1, REGEXREPLACE(G650,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"),"Wilfrido Mariana Rivero Martínez")</f>
        <v>Wilfrido Mariana Rivero Martínez</v>
      </c>
      <c r="U650" s="22" t="str">
        <f t="shared" si="4"/>
        <v>efd76242-e0b5-4aca-8c44-84ce7f553f97</v>
      </c>
      <c r="V650" s="24" t="str">
        <f t="shared" si="5"/>
        <v>Tablet Mini 32GB</v>
      </c>
    </row>
    <row r="651" ht="15.75" customHeight="1">
      <c r="A651" s="6">
        <v>45579.0</v>
      </c>
      <c r="B651" s="2" t="s">
        <v>38</v>
      </c>
      <c r="C651" s="2" t="s">
        <v>226</v>
      </c>
      <c r="D651" s="7">
        <v>2101.48</v>
      </c>
      <c r="E651" s="2">
        <v>2.0</v>
      </c>
      <c r="F651" s="7">
        <v>4202.96</v>
      </c>
      <c r="G651" s="2" t="s">
        <v>2255</v>
      </c>
      <c r="H651" s="2" t="s">
        <v>2256</v>
      </c>
      <c r="I651" s="2" t="s">
        <v>2257</v>
      </c>
      <c r="K651" s="25" t="str">
        <f>IFERROR(__xludf.DUMMYFUNCTION("IF(ISBLANK(A651),
  """",
  IF(ISNUMBER(A651),
    TEXT(A651,""dd/mm/yyyy""),
    IF(
      REGEXMATCH(TRIM(A651),""^\d{1,2}/\d{1,2}/\d{4}$""),
      TRIM(A651),
      IFERROR(
        TEXT(DATEVALUE(SUBSTITUTE(SUBSTITUTE(TRIM(A651),""-"",""/""),""."",""/"&amp;""")),""dd/mm/yyyy""),
        TRIM(A651)
      )
    )
  )
)
"),"14/10/2024")</f>
        <v>14/10/2024</v>
      </c>
      <c r="L651" s="26">
        <v>45579.0</v>
      </c>
      <c r="M651" s="27" t="str">
        <f>IFERROR(__xludf.DUMMYFUNCTION("PROPER(TRIM(
  REGEXREPLACE(
    REGEXREPLACE(
      SUBSTITUTE(SUBSTITUTE(SUBSTITUTE(SUBSTITUTE(SUBSTITUTE(SUBSTITUTE(SUBSTITUTE(SUBSTITUTE(SUBSTITUTE(SUBSTITUTE(SUBSTITUTE(
        B651,""√©"",""é""),""√°"",""á""),""√±"",""ñ""),""√≥"",""ó""),""√â"",""é"&amp;"""),""√Å"",""á""),""√ç"",""í""),""√Ç"",""Í""),""√Â"",""é""),""√≠"",""í""),""√º"",""ú""),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51" s="28" t="str">
        <f>IFERROR(__xludf.DUMMYFUNCTION("SPLIT(
  TRIM(
    SUBSTITUTE(
      SUBSTITUTE(
        SUBSTITUTE(
          SUBSTITUTE(
            C651,
            ""√©"", ""é""
          ),
          ""√±"", ""ñ""
        ),
        ""√°"", ""á""
      ),
      ""√≥"", ""ó""
    )
  ),
  ""-""
)
"),"Tablet")</f>
        <v>Tablet</v>
      </c>
      <c r="O651" s="28" t="str">
        <f>IFERROR(__xludf.DUMMYFUNCTION("""COMPUTED_VALUE"""),"Mini")</f>
        <v>Mini</v>
      </c>
      <c r="P651" s="28" t="str">
        <f>IFERROR(__xludf.DUMMYFUNCTION("""COMPUTED_VALUE"""),"16GB")</f>
        <v>16GB</v>
      </c>
      <c r="Q651" s="29">
        <f t="shared" si="1"/>
        <v>2101.48</v>
      </c>
      <c r="R651" s="28">
        <f t="shared" si="2"/>
        <v>2</v>
      </c>
      <c r="S651" s="29">
        <f t="shared" si="3"/>
        <v>4202.96</v>
      </c>
      <c r="T651" s="28" t="str">
        <f>IFERROR(__xludf.DUMMYFUNCTION("PROPER(TRIM(
  LET(
    texto1, REGEXREPLACE(G651,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"),"Leticia Luevano Mayorga")</f>
        <v>Leticia Luevano Mayorga</v>
      </c>
      <c r="U651" s="28" t="str">
        <f t="shared" si="4"/>
        <v>f0548b33-86eb-4b3f-a1f4-cef9f9f11955</v>
      </c>
      <c r="V651" s="30" t="str">
        <f t="shared" si="5"/>
        <v>Tablet Mini 16GB</v>
      </c>
    </row>
    <row r="652" ht="15.75" customHeight="1">
      <c r="A652" s="6">
        <v>45651.0</v>
      </c>
      <c r="B652" s="2" t="s">
        <v>38</v>
      </c>
      <c r="C652" s="2" t="s">
        <v>39</v>
      </c>
      <c r="D652" s="7">
        <v>2461.45</v>
      </c>
      <c r="E652" s="2">
        <v>4.0</v>
      </c>
      <c r="F652" s="7">
        <v>9845.8</v>
      </c>
      <c r="G652" s="2" t="s">
        <v>2258</v>
      </c>
      <c r="H652" s="2" t="s">
        <v>2259</v>
      </c>
      <c r="I652" s="2" t="s">
        <v>2260</v>
      </c>
      <c r="K652" s="19" t="str">
        <f>IFERROR(__xludf.DUMMYFUNCTION("IF(ISBLANK(A652),
  """",
  IF(ISNUMBER(A652),
    TEXT(A652,""dd/mm/yyyy""),
    IF(
      REGEXMATCH(TRIM(A652),""^\d{1,2}/\d{1,2}/\d{4}$""),
      TRIM(A652),
      IFERROR(
        TEXT(DATEVALUE(SUBSTITUTE(SUBSTITUTE(TRIM(A652),""-"",""/""),""."",""/"&amp;""")),""dd/mm/yyyy""),
        TRIM(A652)
      )
    )
  )
)
"),"25/12/2024")</f>
        <v>25/12/2024</v>
      </c>
      <c r="L652" s="20">
        <v>45651.0</v>
      </c>
      <c r="M652" s="21" t="str">
        <f>IFERROR(__xludf.DUMMYFUNCTION("PROPER(TRIM(
  REGEXREPLACE(
    REGEXREPLACE(
      SUBSTITUTE(SUBSTITUTE(SUBSTITUTE(SUBSTITUTE(SUBSTITUTE(SUBSTITUTE(SUBSTITUTE(SUBSTITUTE(SUBSTITUTE(SUBSTITUTE(SUBSTITUTE(
        B652,""√©"",""é""),""√°"",""á""),""√±"",""ñ""),""√≥"",""ó""),""√â"",""é"&amp;"""),""√Å"",""á""),""√ç"",""í""),""√Ç"",""Í""),""√Â"",""é""),""√≠"",""í""),""√º"",""ú""),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52" s="22" t="str">
        <f>IFERROR(__xludf.DUMMYFUNCTION("SPLIT(
  TRIM(
    SUBSTITUTE(
      SUBSTITUTE(
        SUBSTITUTE(
          SUBSTITUTE(
            C652,
            ""√©"", ""é""
          ),
          ""√±"", ""ñ""
        ),
        ""√°"", ""á""
      ),
      ""√≥"", ""ó""
    )
  ),
  ""-""
)
"),"Teléfono")</f>
        <v>Teléfono</v>
      </c>
      <c r="O652" s="22" t="str">
        <f>IFERROR(__xludf.DUMMYFUNCTION("""COMPUTED_VALUE"""),"Gama alta")</f>
        <v>Gama alta</v>
      </c>
      <c r="P652" s="22" t="str">
        <f>IFERROR(__xludf.DUMMYFUNCTION("""COMPUTED_VALUE"""),"8GB")</f>
        <v>8GB</v>
      </c>
      <c r="Q652" s="23">
        <f t="shared" si="1"/>
        <v>2461.45</v>
      </c>
      <c r="R652" s="22">
        <f t="shared" si="2"/>
        <v>4</v>
      </c>
      <c r="S652" s="23">
        <f t="shared" si="3"/>
        <v>9845.8</v>
      </c>
      <c r="T652" s="22" t="str">
        <f>IFERROR(__xludf.DUMMYFUNCTION("PROPER(TRIM(
  LET(
    texto1, REGEXREPLACE(G652,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"),"Scar Ulloa Valdivia")</f>
        <v>Scar Ulloa Valdivia</v>
      </c>
      <c r="U652" s="22" t="str">
        <f t="shared" si="4"/>
        <v>5150f58c-f863-4f35-bdd4-d6cfc1a1ef10</v>
      </c>
      <c r="V652" s="24" t="str">
        <f t="shared" si="5"/>
        <v>Teléfono Gama alta 8GB</v>
      </c>
    </row>
    <row r="653" ht="15.75" customHeight="1">
      <c r="A653" s="6">
        <v>45583.0</v>
      </c>
      <c r="B653" s="2" t="s">
        <v>27</v>
      </c>
      <c r="C653" s="2" t="s">
        <v>235</v>
      </c>
      <c r="D653" s="7">
        <v>1972.43</v>
      </c>
      <c r="E653" s="2">
        <v>5.0</v>
      </c>
      <c r="F653" s="7">
        <v>9862.15</v>
      </c>
      <c r="G653" s="2" t="s">
        <v>2261</v>
      </c>
      <c r="H653" s="2" t="s">
        <v>2262</v>
      </c>
      <c r="I653" s="2" t="s">
        <v>2263</v>
      </c>
      <c r="K653" s="25" t="str">
        <f>IFERROR(__xludf.DUMMYFUNCTION("IF(ISBLANK(A653),
  """",
  IF(ISNUMBER(A653),
    TEXT(A653,""dd/mm/yyyy""),
    IF(
      REGEXMATCH(TRIM(A653),""^\d{1,2}/\d{1,2}/\d{4}$""),
      TRIM(A653),
      IFERROR(
        TEXT(DATEVALUE(SUBSTITUTE(SUBSTITUTE(TRIM(A653),""-"",""/""),""."",""/"&amp;""")),""dd/mm/yyyy""),
        TRIM(A653)
      )
    )
  )
)
"),"18/10/2024")</f>
        <v>18/10/2024</v>
      </c>
      <c r="L653" s="26">
        <v>45583.0</v>
      </c>
      <c r="M653" s="27" t="str">
        <f>IFERROR(__xludf.DUMMYFUNCTION("PROPER(TRIM(
  REGEXREPLACE(
    REGEXREPLACE(
      SUBSTITUTE(SUBSTITUTE(SUBSTITUTE(SUBSTITUTE(SUBSTITUTE(SUBSTITUTE(SUBSTITUTE(SUBSTITUTE(SUBSTITUTE(SUBSTITUTE(SUBSTITUTE(
        B653,""√©"",""é""),""√°"",""á""),""√±"",""ñ""),""√≥"",""ó""),""√â"",""é"&amp;"""),""√Å"",""á""),""√ç"",""í""),""√Ç"",""Í""),""√Â"",""é""),""√≠"",""í""),""√º"",""ú""),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53" s="28" t="str">
        <f>IFERROR(__xludf.DUMMYFUNCTION("SPLIT(
  TRIM(
    SUBSTITUTE(
      SUBSTITUTE(
        SUBSTITUTE(
          SUBSTITUTE(
            C653,
            ""√©"", ""é""
          ),
          ""√±"", ""ñ""
        ),
        ""√°"", ""á""
      ),
      ""√≥"", ""ó""
    )
  ),
  ""-""
)
"),"Tablet")</f>
        <v>Tablet</v>
      </c>
      <c r="O653" s="28" t="str">
        <f>IFERROR(__xludf.DUMMYFUNCTION("""COMPUTED_VALUE"""),"Estándar")</f>
        <v>Estándar</v>
      </c>
      <c r="P653" s="28" t="str">
        <f>IFERROR(__xludf.DUMMYFUNCTION("""COMPUTED_VALUE"""),"4GB")</f>
        <v>4GB</v>
      </c>
      <c r="Q653" s="29">
        <f t="shared" si="1"/>
        <v>1972.43</v>
      </c>
      <c r="R653" s="28">
        <f t="shared" si="2"/>
        <v>5</v>
      </c>
      <c r="S653" s="29">
        <f t="shared" si="3"/>
        <v>9862.15</v>
      </c>
      <c r="T653" s="28" t="str">
        <f>IFERROR(__xludf.DUMMYFUNCTION("PROPER(TRIM(
  LET(
    texto1, REGEXREPLACE(G653,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"),"Estefanía Modesto Lebrón Figueroa")</f>
        <v>Estefanía Modesto Lebrón Figueroa</v>
      </c>
      <c r="U653" s="28" t="str">
        <f t="shared" si="4"/>
        <v>13dacdaa-eb35-4a33-acaf-5c98625d9304</v>
      </c>
      <c r="V653" s="30" t="str">
        <f t="shared" si="5"/>
        <v>Tablet Estándar 4GB</v>
      </c>
    </row>
    <row r="654" ht="15.75" customHeight="1">
      <c r="A654" s="36">
        <v>45607.0</v>
      </c>
      <c r="B654" s="2" t="s">
        <v>16</v>
      </c>
      <c r="C654" s="2" t="s">
        <v>172</v>
      </c>
      <c r="D654" s="7">
        <v>214.86</v>
      </c>
      <c r="E654" s="2">
        <v>5.0</v>
      </c>
      <c r="F654" s="7">
        <v>1074.3</v>
      </c>
      <c r="G654" s="2" t="s">
        <v>2264</v>
      </c>
      <c r="H654" s="2" t="s">
        <v>2265</v>
      </c>
      <c r="I654" s="2" t="s">
        <v>2266</v>
      </c>
      <c r="K654" s="19" t="str">
        <f>IFERROR(__xludf.DUMMYFUNCTION("IF(ISBLANK(A654),
  """",
  IF(ISNUMBER(A654),
    TEXT(A654,""dd/mm/yyyy""),
    IF(
      REGEXMATCH(TRIM(A654),""^\d{1,2}/\d{1,2}/\d{4}$""),
      TRIM(A654),
      IFERROR(
        TEXT(DATEVALUE(SUBSTITUTE(SUBSTITUTE(TRIM(A654),""-"",""/""),""."",""/"&amp;""")),""dd/mm/yyyy""),
        TRIM(A654)
      )
    )
  )
)
"),"11/11/2024")</f>
        <v>11/11/2024</v>
      </c>
      <c r="L654" s="20">
        <v>45607.0</v>
      </c>
      <c r="M654" s="21" t="str">
        <f>IFERROR(__xludf.DUMMYFUNCTION("PROPER(TRIM(
  REGEXREPLACE(
    REGEXREPLACE(
      SUBSTITUTE(SUBSTITUTE(SUBSTITUTE(SUBSTITUTE(SUBSTITUTE(SUBSTITUTE(SUBSTITUTE(SUBSTITUTE(SUBSTITUTE(SUBSTITUTE(SUBSTITUTE(
        B654,""√©"",""é""),""√°"",""á""),""√±"",""ñ""),""√≥"",""ó""),""√â"",""é"&amp;"""),""√Å"",""á""),""√ç"",""í""),""√Ç"",""Í""),""√Â"",""é""),""√≠"",""í""),""√º"",""ú""),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54" s="22" t="str">
        <f>IFERROR(__xludf.DUMMYFUNCTION("SPLIT(
  TRIM(
    SUBSTITUTE(
      SUBSTITUTE(
        SUBSTITUTE(
          SUBSTITUTE(
            C654,
            ""√©"", ""é""
          ),
          ""√±"", ""ñ""
        ),
        ""√°"", ""á""
      ),
      ""√≥"", ""ó""
    )
  ),
  ""-""
)
"),"Laptop")</f>
        <v>Laptop</v>
      </c>
      <c r="O654" s="22" t="str">
        <f>IFERROR(__xludf.DUMMYFUNCTION("""COMPUTED_VALUE"""),"Oficina")</f>
        <v>Oficina</v>
      </c>
      <c r="P654" s="22" t="str">
        <f>IFERROR(__xludf.DUMMYFUNCTION("""COMPUTED_VALUE"""),"8GB")</f>
        <v>8GB</v>
      </c>
      <c r="Q654" s="23">
        <f t="shared" si="1"/>
        <v>214.86</v>
      </c>
      <c r="R654" s="22">
        <f t="shared" si="2"/>
        <v>5</v>
      </c>
      <c r="S654" s="23">
        <f t="shared" si="3"/>
        <v>1074.3</v>
      </c>
      <c r="T654" s="22" t="str">
        <f>IFERROR(__xludf.DUMMYFUNCTION("PROPER(TRIM(
  LET(
    texto1, REGEXREPLACE(G654,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"),"Socorro Arcelia Alejandro")</f>
        <v>Socorro Arcelia Alejandro</v>
      </c>
      <c r="U654" s="22" t="str">
        <f t="shared" si="4"/>
        <v>892ddf8c-3dff-4e70-bc34-fe5c8d39a78f</v>
      </c>
      <c r="V654" s="24" t="str">
        <f t="shared" si="5"/>
        <v>Laptop Oficina 8GB</v>
      </c>
    </row>
    <row r="655" ht="15.75" customHeight="1">
      <c r="A655" s="6">
        <v>45581.0</v>
      </c>
      <c r="B655" s="2" t="s">
        <v>27</v>
      </c>
      <c r="C655" s="2" t="s">
        <v>1015</v>
      </c>
      <c r="D655" s="7">
        <v>397.5</v>
      </c>
      <c r="E655" s="2">
        <v>2.0</v>
      </c>
      <c r="F655" s="7">
        <v>795.0</v>
      </c>
      <c r="G655" s="2" t="s">
        <v>2267</v>
      </c>
      <c r="H655" s="2" t="s">
        <v>2268</v>
      </c>
      <c r="I655" s="2" t="s">
        <v>2269</v>
      </c>
      <c r="K655" s="25" t="str">
        <f>IFERROR(__xludf.DUMMYFUNCTION("IF(ISBLANK(A655),
  """",
  IF(ISNUMBER(A655),
    TEXT(A655,""dd/mm/yyyy""),
    IF(
      REGEXMATCH(TRIM(A655),""^\d{1,2}/\d{1,2}/\d{4}$""),
      TRIM(A655),
      IFERROR(
        TEXT(DATEVALUE(SUBSTITUTE(SUBSTITUTE(TRIM(A655),""-"",""/""),""."",""/"&amp;""")),""dd/mm/yyyy""),
        TRIM(A655)
      )
    )
  )
)
"),"16/10/2024")</f>
        <v>16/10/2024</v>
      </c>
      <c r="L655" s="26">
        <v>45581.0</v>
      </c>
      <c r="M655" s="27" t="str">
        <f>IFERROR(__xludf.DUMMYFUNCTION("PROPER(TRIM(
  REGEXREPLACE(
    REGEXREPLACE(
      SUBSTITUTE(SUBSTITUTE(SUBSTITUTE(SUBSTITUTE(SUBSTITUTE(SUBSTITUTE(SUBSTITUTE(SUBSTITUTE(SUBSTITUTE(SUBSTITUTE(SUBSTITUTE(
        B655,""√©"",""é""),""√°"",""á""),""√±"",""ñ""),""√≥"",""ó""),""√â"",""é"&amp;"""),""√Å"",""á""),""√ç"",""í""),""√Ç"",""Í""),""√Â"",""é""),""√≠"",""í""),""√º"",""ú""),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55" s="28" t="str">
        <f>IFERROR(__xludf.DUMMYFUNCTION("SPLIT(
  TRIM(
    SUBSTITUTE(
      SUBSTITUTE(
        SUBSTITUTE(
          SUBSTITUTE(
            C655,
            ""√©"", ""é""
          ),
          ""√±"", ""ñ""
        ),
        ""√°"", ""á""
      ),
      ""√≥"", ""ó""
    )
  ),
  ""-""
)
"),"Auriculares")</f>
        <v>Auriculares</v>
      </c>
      <c r="O655" s="28" t="str">
        <f>IFERROR(__xludf.DUMMYFUNCTION("""COMPUTED_VALUE"""),"Bluetooth")</f>
        <v>Bluetooth</v>
      </c>
      <c r="P655" s="28" t="str">
        <f>IFERROR(__xludf.DUMMYFUNCTION("""COMPUTED_VALUE"""),"32GB")</f>
        <v>32GB</v>
      </c>
      <c r="Q655" s="29">
        <f t="shared" si="1"/>
        <v>397.5</v>
      </c>
      <c r="R655" s="28">
        <f t="shared" si="2"/>
        <v>2</v>
      </c>
      <c r="S655" s="29">
        <f t="shared" si="3"/>
        <v>795</v>
      </c>
      <c r="T655" s="28" t="str">
        <f>IFERROR(__xludf.DUMMYFUNCTION("PROPER(TRIM(
  LET(
    texto1, REGEXREPLACE(G655,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"),"Víctor Jaramillo")</f>
        <v>Víctor Jaramillo</v>
      </c>
      <c r="U655" s="28" t="str">
        <f t="shared" si="4"/>
        <v>cb4fece9-bf8f-4e7d-8218-b9d826729e46</v>
      </c>
      <c r="V655" s="30" t="str">
        <f t="shared" si="5"/>
        <v>Auriculares Bluetooth 32GB</v>
      </c>
    </row>
    <row r="656" ht="15.75" customHeight="1">
      <c r="A656" s="36">
        <v>45608.0</v>
      </c>
      <c r="B656" s="2" t="s">
        <v>85</v>
      </c>
      <c r="C656" s="2" t="s">
        <v>181</v>
      </c>
      <c r="D656" s="7">
        <v>1673.73</v>
      </c>
      <c r="E656" s="2">
        <v>1.0</v>
      </c>
      <c r="F656" s="7">
        <v>1673.73</v>
      </c>
      <c r="G656" s="2" t="s">
        <v>2270</v>
      </c>
      <c r="H656" s="2" t="s">
        <v>2271</v>
      </c>
      <c r="I656" s="2" t="s">
        <v>2272</v>
      </c>
      <c r="K656" s="19" t="str">
        <f>IFERROR(__xludf.DUMMYFUNCTION("IF(ISBLANK(A656),
  """",
  IF(ISNUMBER(A656),
    TEXT(A656,""dd/mm/yyyy""),
    IF(
      REGEXMATCH(TRIM(A656),""^\d{1,2}/\d{1,2}/\d{4}$""),
      TRIM(A656),
      IFERROR(
        TEXT(DATEVALUE(SUBSTITUTE(SUBSTITUTE(TRIM(A656),""-"",""/""),""."",""/"&amp;""")),""dd/mm/yyyy""),
        TRIM(A656)
      )
    )
  )
)
"),"12/11/2024")</f>
        <v>12/11/2024</v>
      </c>
      <c r="L656" s="20">
        <v>45608.0</v>
      </c>
      <c r="M656" s="21" t="str">
        <f>IFERROR(__xludf.DUMMYFUNCTION("PROPER(TRIM(
  REGEXREPLACE(
    REGEXREPLACE(
      SUBSTITUTE(SUBSTITUTE(SUBSTITUTE(SUBSTITUTE(SUBSTITUTE(SUBSTITUTE(SUBSTITUTE(SUBSTITUTE(SUBSTITUTE(SUBSTITUTE(SUBSTITUTE(
        B656,""√©"",""é""),""√°"",""á""),""√±"",""ñ""),""√≥"",""ó""),""√â"",""é"&amp;"""),""√Å"",""á""),""√ç"",""í""),""√Ç"",""Í""),""√Â"",""é""),""√≠"",""í""),""√º"",""ú""),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56" s="22" t="str">
        <f>IFERROR(__xludf.DUMMYFUNCTION("SPLIT(
  TRIM(
    SUBSTITUTE(
      SUBSTITUTE(
        SUBSTITUTE(
          SUBSTITUTE(
            C656,
            ""√©"", ""é""
          ),
          ""√±"", ""ñ""
        ),
        ""√°"", ""á""
      ),
      ""√≥"", ""ó""
    )
  ),
  ""-""
)
"),"Laptop")</f>
        <v>Laptop</v>
      </c>
      <c r="O656" s="22" t="str">
        <f>IFERROR(__xludf.DUMMYFUNCTION("""COMPUTED_VALUE"""),"Ultraliviana")</f>
        <v>Ultraliviana</v>
      </c>
      <c r="P656" s="22" t="str">
        <f>IFERROR(__xludf.DUMMYFUNCTION("""COMPUTED_VALUE"""),"4GB")</f>
        <v>4GB</v>
      </c>
      <c r="Q656" s="23">
        <f t="shared" si="1"/>
        <v>1673.73</v>
      </c>
      <c r="R656" s="22">
        <f t="shared" si="2"/>
        <v>1</v>
      </c>
      <c r="S656" s="23">
        <f t="shared" si="3"/>
        <v>1673.73</v>
      </c>
      <c r="T656" s="22" t="str">
        <f>IFERROR(__xludf.DUMMYFUNCTION("PROPER(TRIM(
  LET(
    texto1, REGEXREPLACE(G656,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"),"Julia Nájera")</f>
        <v>Julia Nájera</v>
      </c>
      <c r="U656" s="22" t="str">
        <f t="shared" si="4"/>
        <v>7a847fe9-f974-4d38-9d3a-114f4c95ca6c</v>
      </c>
      <c r="V656" s="24" t="str">
        <f t="shared" si="5"/>
        <v>Laptop Ultraliviana 4GB</v>
      </c>
    </row>
    <row r="657" ht="15.75" customHeight="1">
      <c r="A657" s="36">
        <v>45483.0</v>
      </c>
      <c r="B657" s="2" t="s">
        <v>50</v>
      </c>
      <c r="C657" s="2" t="s">
        <v>80</v>
      </c>
      <c r="D657" s="7">
        <v>1395.95</v>
      </c>
      <c r="E657" s="2">
        <v>3.0</v>
      </c>
      <c r="F657" s="7">
        <v>4187.85</v>
      </c>
      <c r="G657" s="2" t="s">
        <v>2273</v>
      </c>
      <c r="H657" s="2" t="s">
        <v>2274</v>
      </c>
      <c r="I657" s="2" t="s">
        <v>2275</v>
      </c>
      <c r="K657" s="25" t="str">
        <f>IFERROR(__xludf.DUMMYFUNCTION("IF(ISBLANK(A657),
  """",
  IF(ISNUMBER(A657),
    TEXT(A657,""dd/mm/yyyy""),
    IF(
      REGEXMATCH(TRIM(A657),""^\d{1,2}/\d{1,2}/\d{4}$""),
      TRIM(A657),
      IFERROR(
        TEXT(DATEVALUE(SUBSTITUTE(SUBSTITUTE(TRIM(A657),""-"",""/""),""."",""/"&amp;""")),""dd/mm/yyyy""),
        TRIM(A657)
      )
    )
  )
)
"),"10/07/2024")</f>
        <v>10/07/2024</v>
      </c>
      <c r="L657" s="26">
        <v>45483.0</v>
      </c>
      <c r="M657" s="27" t="str">
        <f>IFERROR(__xludf.DUMMYFUNCTION("PROPER(TRIM(
  REGEXREPLACE(
    REGEXREPLACE(
      SUBSTITUTE(SUBSTITUTE(SUBSTITUTE(SUBSTITUTE(SUBSTITUTE(SUBSTITUTE(SUBSTITUTE(SUBSTITUTE(SUBSTITUTE(SUBSTITUTE(SUBSTITUTE(
        B657,""√©"",""é""),""√°"",""á""),""√±"",""ñ""),""√≥"",""ó""),""√â"",""é"&amp;"""),""√Å"",""á""),""√ç"",""í""),""√Ç"",""Í""),""√Â"",""é""),""√≠"",""í""),""√º"",""ú""),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57" s="28" t="str">
        <f>IFERROR(__xludf.DUMMYFUNCTION("SPLIT(
  TRIM(
    SUBSTITUTE(
      SUBSTITUTE(
        SUBSTITUTE(
          SUBSTITUTE(
            C657,
            ""√©"", ""é""
          ),
          ""√±"", ""ñ""
        ),
        ""√°"", ""á""
      ),
      ""√≥"", ""ó""
    )
  ),
  ""-""
)
"),"Teléfono")</f>
        <v>Teléfono</v>
      </c>
      <c r="O657" s="28" t="str">
        <f>IFERROR(__xludf.DUMMYFUNCTION("""COMPUTED_VALUE"""),"Gama baja")</f>
        <v>Gama baja</v>
      </c>
      <c r="P657" s="28" t="str">
        <f>IFERROR(__xludf.DUMMYFUNCTION("""COMPUTED_VALUE"""),"16GB")</f>
        <v>16GB</v>
      </c>
      <c r="Q657" s="29">
        <f t="shared" si="1"/>
        <v>1395.95</v>
      </c>
      <c r="R657" s="28">
        <f t="shared" si="2"/>
        <v>3</v>
      </c>
      <c r="S657" s="29">
        <f t="shared" si="3"/>
        <v>4187.85</v>
      </c>
      <c r="T657" s="28" t="str">
        <f>IFERROR(__xludf.DUMMYFUNCTION("PROPER(TRIM(
  LET(
    texto1, REGEXREPLACE(G657,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"),"Ramón Reyes")</f>
        <v>Ramón Reyes</v>
      </c>
      <c r="U657" s="28" t="str">
        <f t="shared" si="4"/>
        <v>26797519-98dd-42f4-8c83-b6e7fadde63a</v>
      </c>
      <c r="V657" s="30" t="str">
        <f t="shared" si="5"/>
        <v>Teléfono Gama baja 16GB</v>
      </c>
    </row>
    <row r="658" ht="15.75" customHeight="1">
      <c r="A658" s="6">
        <v>45652.0</v>
      </c>
      <c r="B658" s="2" t="s">
        <v>85</v>
      </c>
      <c r="C658" s="2" t="s">
        <v>698</v>
      </c>
      <c r="D658" s="7">
        <v>2140.33</v>
      </c>
      <c r="E658" s="2">
        <v>5.0</v>
      </c>
      <c r="F658" s="7">
        <v>10701.65</v>
      </c>
      <c r="G658" s="2" t="s">
        <v>2276</v>
      </c>
      <c r="H658" s="2" t="s">
        <v>2277</v>
      </c>
      <c r="I658" s="2" t="s">
        <v>2278</v>
      </c>
      <c r="K658" s="19" t="str">
        <f>IFERROR(__xludf.DUMMYFUNCTION("IF(ISBLANK(A658),
  """",
  IF(ISNUMBER(A658),
    TEXT(A658,""dd/mm/yyyy""),
    IF(
      REGEXMATCH(TRIM(A658),""^\d{1,2}/\d{1,2}/\d{4}$""),
      TRIM(A658),
      IFERROR(
        TEXT(DATEVALUE(SUBSTITUTE(SUBSTITUTE(TRIM(A658),""-"",""/""),""."",""/"&amp;""")),""dd/mm/yyyy""),
        TRIM(A658)
      )
    )
  )
)
"),"26/12/2024")</f>
        <v>26/12/2024</v>
      </c>
      <c r="L658" s="20">
        <v>45652.0</v>
      </c>
      <c r="M658" s="21" t="str">
        <f>IFERROR(__xludf.DUMMYFUNCTION("PROPER(TRIM(
  REGEXREPLACE(
    REGEXREPLACE(
      SUBSTITUTE(SUBSTITUTE(SUBSTITUTE(SUBSTITUTE(SUBSTITUTE(SUBSTITUTE(SUBSTITUTE(SUBSTITUTE(SUBSTITUTE(SUBSTITUTE(SUBSTITUTE(
        B658,""√©"",""é""),""√°"",""á""),""√±"",""ñ""),""√≥"",""ó""),""√â"",""é"&amp;"""),""√Å"",""á""),""√ç"",""í""),""√Ç"",""Í""),""√Â"",""é""),""√≠"",""í""),""√º"",""ú""),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58" s="22" t="str">
        <f>IFERROR(__xludf.DUMMYFUNCTION("SPLIT(
  TRIM(
    SUBSTITUTE(
      SUBSTITUTE(
        SUBSTITUTE(
          SUBSTITUTE(
            C658,
            ""√©"", ""é""
          ),
          ""√±"", ""ñ""
        ),
        ""√°"", ""á""
      ),
      ""√≥"", ""ó""
    )
  ),
  ""-""
)
"),"Laptop")</f>
        <v>Laptop</v>
      </c>
      <c r="O658" s="22" t="str">
        <f>IFERROR(__xludf.DUMMYFUNCTION("""COMPUTED_VALUE"""),"Ultraliviana")</f>
        <v>Ultraliviana</v>
      </c>
      <c r="P658" s="22" t="str">
        <f>IFERROR(__xludf.DUMMYFUNCTION("""COMPUTED_VALUE"""),"8GB")</f>
        <v>8GB</v>
      </c>
      <c r="Q658" s="23">
        <f t="shared" si="1"/>
        <v>2140.33</v>
      </c>
      <c r="R658" s="22">
        <f t="shared" si="2"/>
        <v>5</v>
      </c>
      <c r="S658" s="23">
        <f t="shared" si="3"/>
        <v>10701.65</v>
      </c>
      <c r="T658" s="22" t="str">
        <f>IFERROR(__xludf.DUMMYFUNCTION("PROPER(TRIM(
  LET(
    texto1, REGEXREPLACE(G658,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Brito")</f>
        <v>Carmen Brito</v>
      </c>
      <c r="U658" s="22" t="str">
        <f t="shared" si="4"/>
        <v>d035d687-44b0-4ce5-a8c5-2c6ad05a14b6</v>
      </c>
      <c r="V658" s="24" t="str">
        <f t="shared" si="5"/>
        <v>Laptop Ultraliviana 8GB</v>
      </c>
    </row>
    <row r="659" ht="15.75" customHeight="1">
      <c r="A659" s="36">
        <v>45485.0</v>
      </c>
      <c r="B659" s="2" t="s">
        <v>101</v>
      </c>
      <c r="C659" s="2" t="s">
        <v>116</v>
      </c>
      <c r="D659" s="7">
        <v>2167.21</v>
      </c>
      <c r="E659" s="2">
        <v>2.0</v>
      </c>
      <c r="F659" s="7">
        <v>4334.42</v>
      </c>
      <c r="G659" s="2" t="s">
        <v>2279</v>
      </c>
      <c r="H659" s="2" t="s">
        <v>2280</v>
      </c>
      <c r="I659" s="2" t="s">
        <v>2281</v>
      </c>
      <c r="K659" s="25" t="str">
        <f>IFERROR(__xludf.DUMMYFUNCTION("IF(ISBLANK(A659),
  """",
  IF(ISNUMBER(A659),
    TEXT(A659,""dd/mm/yyyy""),
    IF(
      REGEXMATCH(TRIM(A659),""^\d{1,2}/\d{1,2}/\d{4}$""),
      TRIM(A659),
      IFERROR(
        TEXT(DATEVALUE(SUBSTITUTE(SUBSTITUTE(TRIM(A659),""-"",""/""),""."",""/"&amp;""")),""dd/mm/yyyy""),
        TRIM(A659)
      )
    )
  )
)
"),"12/07/2024")</f>
        <v>12/07/2024</v>
      </c>
      <c r="L659" s="26">
        <v>45485.0</v>
      </c>
      <c r="M659" s="27" t="str">
        <f>IFERROR(__xludf.DUMMYFUNCTION("PROPER(TRIM(
  REGEXREPLACE(
    REGEXREPLACE(
      SUBSTITUTE(SUBSTITUTE(SUBSTITUTE(SUBSTITUTE(SUBSTITUTE(SUBSTITUTE(SUBSTITUTE(SUBSTITUTE(SUBSTITUTE(SUBSTITUTE(SUBSTITUTE(
        B659,""√©"",""é""),""√°"",""á""),""√±"",""ñ""),""√≥"",""ó""),""√â"",""é"&amp;"""),""√Å"",""á""),""√ç"",""í""),""√Ç"",""Í""),""√Â"",""é""),""√≠"",""í""),""√º"",""ú""),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59" s="28" t="str">
        <f>IFERROR(__xludf.DUMMYFUNCTION("SPLIT(
  TRIM(
    SUBSTITUTE(
      SUBSTITUTE(
        SUBSTITUTE(
          SUBSTITUTE(
            C659,
            ""√©"", ""é""
          ),
          ""√±"", ""ñ""
        ),
        ""√°"", ""á""
      ),
      ""√≥"", ""ó""
    )
  ),
  ""-""
)
"),"Teléfono")</f>
        <v>Teléfono</v>
      </c>
      <c r="O659" s="28" t="str">
        <f>IFERROR(__xludf.DUMMYFUNCTION("""COMPUTED_VALUE"""),"Gama media")</f>
        <v>Gama media</v>
      </c>
      <c r="P659" s="28" t="str">
        <f>IFERROR(__xludf.DUMMYFUNCTION("""COMPUTED_VALUE"""),"4GB")</f>
        <v>4GB</v>
      </c>
      <c r="Q659" s="29">
        <f t="shared" si="1"/>
        <v>2167.21</v>
      </c>
      <c r="R659" s="28">
        <f t="shared" si="2"/>
        <v>2</v>
      </c>
      <c r="S659" s="29">
        <f t="shared" si="3"/>
        <v>4334.42</v>
      </c>
      <c r="T659" s="28" t="str">
        <f>IFERROR(__xludf.DUMMYFUNCTION("PROPER(TRIM(
  LET(
    texto1, REGEXREPLACE(G659,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 Bernabé Osorio")</f>
        <v>Jos Bernabé Osorio</v>
      </c>
      <c r="U659" s="28" t="str">
        <f t="shared" si="4"/>
        <v>61f84332-1ec2-4e0d-a005-9d6532dfe8b6</v>
      </c>
      <c r="V659" s="30" t="str">
        <f t="shared" si="5"/>
        <v>Teléfono Gama media 4GB</v>
      </c>
    </row>
    <row r="660" ht="15.75" customHeight="1">
      <c r="A660" s="6">
        <v>45614.0</v>
      </c>
      <c r="B660" s="2" t="s">
        <v>16</v>
      </c>
      <c r="C660" s="2" t="s">
        <v>452</v>
      </c>
      <c r="D660" s="7">
        <v>276.58</v>
      </c>
      <c r="E660" s="2">
        <v>1.0</v>
      </c>
      <c r="F660" s="7">
        <v>276.58</v>
      </c>
      <c r="G660" s="2" t="s">
        <v>2282</v>
      </c>
      <c r="H660" s="2" t="s">
        <v>2283</v>
      </c>
      <c r="I660" s="2" t="s">
        <v>2284</v>
      </c>
      <c r="K660" s="19" t="str">
        <f>IFERROR(__xludf.DUMMYFUNCTION("IF(ISBLANK(A660),
  """",
  IF(ISNUMBER(A660),
    TEXT(A660,""dd/mm/yyyy""),
    IF(
      REGEXMATCH(TRIM(A660),""^\d{1,2}/\d{1,2}/\d{4}$""),
      TRIM(A660),
      IFERROR(
        TEXT(DATEVALUE(SUBSTITUTE(SUBSTITUTE(TRIM(A660),""-"",""/""),""."",""/"&amp;""")),""dd/mm/yyyy""),
        TRIM(A660)
      )
    )
  )
)
"),"18/11/2024")</f>
        <v>18/11/2024</v>
      </c>
      <c r="L660" s="20">
        <v>45614.0</v>
      </c>
      <c r="M660" s="21" t="str">
        <f>IFERROR(__xludf.DUMMYFUNCTION("PROPER(TRIM(
  REGEXREPLACE(
    REGEXREPLACE(
      SUBSTITUTE(SUBSTITUTE(SUBSTITUTE(SUBSTITUTE(SUBSTITUTE(SUBSTITUTE(SUBSTITUTE(SUBSTITUTE(SUBSTITUTE(SUBSTITUTE(SUBSTITUTE(
        B660,""√©"",""é""),""√°"",""á""),""√±"",""ñ""),""√≥"",""ó""),""√â"",""é"&amp;"""),""√Å"",""á""),""√ç"",""í""),""√Ç"",""Í""),""√Â"",""é""),""√≠"",""í""),""√º"",""ú""),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60" s="22" t="str">
        <f>IFERROR(__xludf.DUMMYFUNCTION("SPLIT(
  TRIM(
    SUBSTITUTE(
      SUBSTITUTE(
        SUBSTITUTE(
          SUBSTITUTE(
            C660,
            ""√©"", ""é""
          ),
          ""√±"", ""ñ""
        ),
        ""√°"", ""á""
      ),
      ""√≥"", ""ó""
    )
  ),
  ""-""
)
"),"Teléfono")</f>
        <v>Teléfono</v>
      </c>
      <c r="O660" s="22" t="str">
        <f>IFERROR(__xludf.DUMMYFUNCTION("""COMPUTED_VALUE"""),"Gama media")</f>
        <v>Gama media</v>
      </c>
      <c r="P660" s="22" t="str">
        <f>IFERROR(__xludf.DUMMYFUNCTION("""COMPUTED_VALUE"""),"16GB")</f>
        <v>16GB</v>
      </c>
      <c r="Q660" s="23">
        <f t="shared" si="1"/>
        <v>276.58</v>
      </c>
      <c r="R660" s="22">
        <f t="shared" si="2"/>
        <v>1</v>
      </c>
      <c r="S660" s="23">
        <f t="shared" si="3"/>
        <v>276.58</v>
      </c>
      <c r="T660" s="22" t="str">
        <f>IFERROR(__xludf.DUMMYFUNCTION("PROPER(TRIM(
  LET(
    texto1, REGEXREPLACE(G660,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"),"Sara Jorge Alvarez")</f>
        <v>Sara Jorge Alvarez</v>
      </c>
      <c r="U660" s="22" t="str">
        <f t="shared" si="4"/>
        <v>74aa1913-0ff5-4bb1-b6ab-0793b04293d5</v>
      </c>
      <c r="V660" s="24" t="str">
        <f t="shared" si="5"/>
        <v>Teléfono Gama media 16GB</v>
      </c>
    </row>
    <row r="661" ht="15.75" customHeight="1">
      <c r="A661" s="6">
        <v>45621.0</v>
      </c>
      <c r="B661" s="2" t="s">
        <v>27</v>
      </c>
      <c r="C661" s="2" t="s">
        <v>17</v>
      </c>
      <c r="D661" s="7">
        <v>2062.25</v>
      </c>
      <c r="E661" s="2">
        <v>3.0</v>
      </c>
      <c r="F661" s="7">
        <v>6186.75</v>
      </c>
      <c r="G661" s="2" t="s">
        <v>2285</v>
      </c>
      <c r="H661" s="2" t="s">
        <v>2286</v>
      </c>
      <c r="I661" s="2" t="s">
        <v>2287</v>
      </c>
      <c r="K661" s="25" t="str">
        <f>IFERROR(__xludf.DUMMYFUNCTION("IF(ISBLANK(A661),
  """",
  IF(ISNUMBER(A661),
    TEXT(A661,""dd/mm/yyyy""),
    IF(
      REGEXMATCH(TRIM(A661),""^\d{1,2}/\d{1,2}/\d{4}$""),
      TRIM(A661),
      IFERROR(
        TEXT(DATEVALUE(SUBSTITUTE(SUBSTITUTE(TRIM(A661),""-"",""/""),""."",""/"&amp;""")),""dd/mm/yyyy""),
        TRIM(A661)
      )
    )
  )
)
"),"25/11/2024")</f>
        <v>25/11/2024</v>
      </c>
      <c r="L661" s="26">
        <v>45621.0</v>
      </c>
      <c r="M661" s="27" t="str">
        <f>IFERROR(__xludf.DUMMYFUNCTION("PROPER(TRIM(
  REGEXREPLACE(
    REGEXREPLACE(
      SUBSTITUTE(SUBSTITUTE(SUBSTITUTE(SUBSTITUTE(SUBSTITUTE(SUBSTITUTE(SUBSTITUTE(SUBSTITUTE(SUBSTITUTE(SUBSTITUTE(SUBSTITUTE(
        B661,""√©"",""é""),""√°"",""á""),""√±"",""ñ""),""√≥"",""ó""),""√â"",""é"&amp;"""),""√Å"",""á""),""√ç"",""í""),""√Ç"",""Í""),""√Â"",""é""),""√≠"",""í""),""√º"",""ú""),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61" s="28" t="str">
        <f>IFERROR(__xludf.DUMMYFUNCTION("SPLIT(
  TRIM(
    SUBSTITUTE(
      SUBSTITUTE(
        SUBSTITUTE(
          SUBSTITUTE(
            C661,
            ""√©"", ""é""
          ),
          ""√±"", ""ñ""
        ),
        ""√°"", ""á""
      ),
      ""√≥"", ""ó""
    )
  ),
  ""-""
)
"),"Auriculares")</f>
        <v>Auriculares</v>
      </c>
      <c r="O661" s="28" t="str">
        <f>IFERROR(__xludf.DUMMYFUNCTION("""COMPUTED_VALUE"""),"Bluetooth")</f>
        <v>Bluetooth</v>
      </c>
      <c r="P661" s="28" t="str">
        <f>IFERROR(__xludf.DUMMYFUNCTION("""COMPUTED_VALUE"""),"8GB")</f>
        <v>8GB</v>
      </c>
      <c r="Q661" s="29">
        <f t="shared" si="1"/>
        <v>2062.25</v>
      </c>
      <c r="R661" s="28">
        <f t="shared" si="2"/>
        <v>3</v>
      </c>
      <c r="S661" s="29">
        <f t="shared" si="3"/>
        <v>6186.75</v>
      </c>
      <c r="T661" s="28" t="str">
        <f>IFERROR(__xludf.DUMMYFUNCTION("PROPER(TRIM(
  LET(
    texto1, REGEXREPLACE(G661,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Renato Ochoa Aguilera")</f>
        <v>María Renato Ochoa Aguilera</v>
      </c>
      <c r="U661" s="28" t="str">
        <f t="shared" si="4"/>
        <v>aeae3ab8-cc1b-48bb-8dc8-c1ece4d21277</v>
      </c>
      <c r="V661" s="30" t="str">
        <f t="shared" si="5"/>
        <v>Auriculares Bluetooth 8GB</v>
      </c>
    </row>
    <row r="662" ht="15.75" customHeight="1">
      <c r="A662" s="6">
        <v>45594.0</v>
      </c>
      <c r="B662" s="2" t="s">
        <v>793</v>
      </c>
      <c r="C662" s="2" t="s">
        <v>593</v>
      </c>
      <c r="D662" s="7">
        <v>2343.81</v>
      </c>
      <c r="E662" s="2">
        <v>4.0</v>
      </c>
      <c r="F662" s="7">
        <v>9375.24</v>
      </c>
      <c r="G662" s="2" t="s">
        <v>2288</v>
      </c>
      <c r="H662" s="2" t="s">
        <v>2289</v>
      </c>
      <c r="I662" s="2" t="s">
        <v>2290</v>
      </c>
      <c r="K662" s="19" t="str">
        <f>IFERROR(__xludf.DUMMYFUNCTION("IF(ISBLANK(A662),
  """",
  IF(ISNUMBER(A662),
    TEXT(A662,""dd/mm/yyyy""),
    IF(
      REGEXMATCH(TRIM(A662),""^\d{1,2}/\d{1,2}/\d{4}$""),
      TRIM(A662),
      IFERROR(
        TEXT(DATEVALUE(SUBSTITUTE(SUBSTITUTE(TRIM(A662),""-"",""/""),""."",""/"&amp;""")),""dd/mm/yyyy""),
        TRIM(A662)
      )
    )
  )
)
"),"29/10/2024")</f>
        <v>29/10/2024</v>
      </c>
      <c r="L662" s="20">
        <v>45594.0</v>
      </c>
      <c r="M662" s="21" t="str">
        <f>IFERROR(__xludf.DUMMYFUNCTION("PROPER(TRIM(
  REGEXREPLACE(
    REGEXREPLACE(
      SUBSTITUTE(SUBSTITUTE(SUBSTITUTE(SUBSTITUTE(SUBSTITUTE(SUBSTITUTE(SUBSTITUTE(SUBSTITUTE(SUBSTITUTE(SUBSTITUTE(SUBSTITUTE(
        B662,""√©"",""é""),""√°"",""á""),""√±"",""ñ""),""√≥"",""ó""),""√â"",""é"&amp;"""),""√Å"",""á""),""√ç"",""í""),""√Ç"",""Í""),""√Â"",""é""),""√≠"",""í""),""√º"",""ú""),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62" s="22" t="str">
        <f>IFERROR(__xludf.DUMMYFUNCTION("SPLIT(
  TRIM(
    SUBSTITUTE(
      SUBSTITUTE(
        SUBSTITUTE(
          SUBSTITUTE(
            C662,
            ""√©"", ""é""
          ),
          ""√±"", ""ñ""
        ),
        ""√°"", ""á""
      ),
      ""√≥"", ""ó""
    )
  ),
  ""-""
)
"),"Laptop")</f>
        <v>Laptop</v>
      </c>
      <c r="O662" s="22" t="str">
        <f>IFERROR(__xludf.DUMMYFUNCTION("""COMPUTED_VALUE"""),"Gaming")</f>
        <v>Gaming</v>
      </c>
      <c r="P662" s="22" t="str">
        <f>IFERROR(__xludf.DUMMYFUNCTION("""COMPUTED_VALUE"""),"16GB")</f>
        <v>16GB</v>
      </c>
      <c r="Q662" s="23">
        <f t="shared" si="1"/>
        <v>2343.81</v>
      </c>
      <c r="R662" s="22">
        <f t="shared" si="2"/>
        <v>4</v>
      </c>
      <c r="S662" s="23">
        <f t="shared" si="3"/>
        <v>9375.24</v>
      </c>
      <c r="T662" s="22" t="str">
        <f>IFERROR(__xludf.DUMMYFUNCTION("PROPER(TRIM(
  LET(
    texto1, REGEXREPLACE(G662,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"),"Elvia Pulido Brito")</f>
        <v>Elvia Pulido Brito</v>
      </c>
      <c r="U662" s="22" t="str">
        <f t="shared" si="4"/>
        <v>261825fa-a4ad-4a21-a7ab-e2b644eaa67a</v>
      </c>
      <c r="V662" s="24" t="str">
        <f t="shared" si="5"/>
        <v>Laptop Gaming 16GB</v>
      </c>
    </row>
    <row r="663" ht="15.75" customHeight="1">
      <c r="A663" s="6">
        <v>45612.0</v>
      </c>
      <c r="B663" s="2" t="s">
        <v>85</v>
      </c>
      <c r="C663" s="2" t="s">
        <v>96</v>
      </c>
      <c r="D663" s="7">
        <v>1397.49</v>
      </c>
      <c r="E663" s="2">
        <v>3.0</v>
      </c>
      <c r="F663" s="7">
        <v>4192.47</v>
      </c>
      <c r="G663" s="2" t="s">
        <v>2291</v>
      </c>
      <c r="H663" s="2" t="s">
        <v>2292</v>
      </c>
      <c r="I663" s="2" t="s">
        <v>2293</v>
      </c>
      <c r="K663" s="25" t="str">
        <f>IFERROR(__xludf.DUMMYFUNCTION("IF(ISBLANK(A663),
  """",
  IF(ISNUMBER(A663),
    TEXT(A663,""dd/mm/yyyy""),
    IF(
      REGEXMATCH(TRIM(A663),""^\d{1,2}/\d{1,2}/\d{4}$""),
      TRIM(A663),
      IFERROR(
        TEXT(DATEVALUE(SUBSTITUTE(SUBSTITUTE(TRIM(A663),""-"",""/""),""."",""/"&amp;""")),""dd/mm/yyyy""),
        TRIM(A663)
      )
    )
  )
)
"),"16/11/2024")</f>
        <v>16/11/2024</v>
      </c>
      <c r="L663" s="26">
        <v>45612.0</v>
      </c>
      <c r="M663" s="27" t="str">
        <f>IFERROR(__xludf.DUMMYFUNCTION("PROPER(TRIM(
  REGEXREPLACE(
    REGEXREPLACE(
      SUBSTITUTE(SUBSTITUTE(SUBSTITUTE(SUBSTITUTE(SUBSTITUTE(SUBSTITUTE(SUBSTITUTE(SUBSTITUTE(SUBSTITUTE(SUBSTITUTE(SUBSTITUTE(
        B663,""√©"",""é""),""√°"",""á""),""√±"",""ñ""),""√≥"",""ó""),""√â"",""é"&amp;"""),""√Å"",""á""),""√ç"",""í""),""√Ç"",""Í""),""√Â"",""é""),""√≠"",""í""),""√º"",""ú""),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63" s="28" t="str">
        <f>IFERROR(__xludf.DUMMYFUNCTION("SPLIT(
  TRIM(
    SUBSTITUTE(
      SUBSTITUTE(
        SUBSTITUTE(
          SUBSTITUTE(
            C663,
            ""√©"", ""é""
          ),
          ""√±"", ""ñ""
        ),
        ""√°"", ""á""
      ),
      ""√≥"", ""ó""
    )
  ),
  ""-""
)
"),"Auriculares")</f>
        <v>Auriculares</v>
      </c>
      <c r="O663" s="28" t="str">
        <f>IFERROR(__xludf.DUMMYFUNCTION("""COMPUTED_VALUE"""),"Cancelación de ruido")</f>
        <v>Cancelación de ruido</v>
      </c>
      <c r="P663" s="28" t="str">
        <f>IFERROR(__xludf.DUMMYFUNCTION("""COMPUTED_VALUE"""),"4GB")</f>
        <v>4GB</v>
      </c>
      <c r="Q663" s="29">
        <f t="shared" si="1"/>
        <v>1397.49</v>
      </c>
      <c r="R663" s="28">
        <f t="shared" si="2"/>
        <v>3</v>
      </c>
      <c r="S663" s="29">
        <f t="shared" si="3"/>
        <v>4192.47</v>
      </c>
      <c r="T663" s="28" t="str">
        <f>IFERROR(__xludf.DUMMYFUNCTION("PROPER(TRIM(
  LET(
    texto1, REGEXREPLACE(G663,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"),"Miguel Granados Oquendo")</f>
        <v>Miguel Granados Oquendo</v>
      </c>
      <c r="U663" s="28" t="str">
        <f t="shared" si="4"/>
        <v>3cad7de1-68ae-4cc7-b586-20c1f7e16a6f</v>
      </c>
      <c r="V663" s="30" t="str">
        <f t="shared" si="5"/>
        <v>Auriculares Cancelación de ruido 4GB</v>
      </c>
    </row>
    <row r="664" ht="15.75" customHeight="1">
      <c r="A664" s="6">
        <v>45611.0</v>
      </c>
      <c r="B664" s="2" t="s">
        <v>85</v>
      </c>
      <c r="C664" s="2" t="s">
        <v>235</v>
      </c>
      <c r="D664" s="7">
        <v>1159.32</v>
      </c>
      <c r="E664" s="2">
        <v>5.0</v>
      </c>
      <c r="F664" s="7">
        <v>5796.6</v>
      </c>
      <c r="G664" s="2" t="s">
        <v>2294</v>
      </c>
      <c r="H664" s="2" t="s">
        <v>2295</v>
      </c>
      <c r="I664" s="2" t="s">
        <v>2296</v>
      </c>
      <c r="K664" s="19" t="str">
        <f>IFERROR(__xludf.DUMMYFUNCTION("IF(ISBLANK(A664),
  """",
  IF(ISNUMBER(A664),
    TEXT(A664,""dd/mm/yyyy""),
    IF(
      REGEXMATCH(TRIM(A664),""^\d{1,2}/\d{1,2}/\d{4}$""),
      TRIM(A664),
      IFERROR(
        TEXT(DATEVALUE(SUBSTITUTE(SUBSTITUTE(TRIM(A664),""-"",""/""),""."",""/"&amp;""")),""dd/mm/yyyy""),
        TRIM(A664)
      )
    )
  )
)
"),"15/11/2024")</f>
        <v>15/11/2024</v>
      </c>
      <c r="L664" s="20">
        <v>45611.0</v>
      </c>
      <c r="M664" s="21" t="str">
        <f>IFERROR(__xludf.DUMMYFUNCTION("PROPER(TRIM(
  REGEXREPLACE(
    REGEXREPLACE(
      SUBSTITUTE(SUBSTITUTE(SUBSTITUTE(SUBSTITUTE(SUBSTITUTE(SUBSTITUTE(SUBSTITUTE(SUBSTITUTE(SUBSTITUTE(SUBSTITUTE(SUBSTITUTE(
        B664,""√©"",""é""),""√°"",""á""),""√±"",""ñ""),""√≥"",""ó""),""√â"",""é"&amp;"""),""√Å"",""á""),""√ç"",""í""),""√Ç"",""Í""),""√Â"",""é""),""√≠"",""í""),""√º"",""ú""),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64" s="22" t="str">
        <f>IFERROR(__xludf.DUMMYFUNCTION("SPLIT(
  TRIM(
    SUBSTITUTE(
      SUBSTITUTE(
        SUBSTITUTE(
          SUBSTITUTE(
            C664,
            ""√©"", ""é""
          ),
          ""√±"", ""ñ""
        ),
        ""√°"", ""á""
      ),
      ""√≥"", ""ó""
    )
  ),
  ""-""
)
"),"Tablet")</f>
        <v>Tablet</v>
      </c>
      <c r="O664" s="22" t="str">
        <f>IFERROR(__xludf.DUMMYFUNCTION("""COMPUTED_VALUE"""),"Estándar")</f>
        <v>Estándar</v>
      </c>
      <c r="P664" s="22" t="str">
        <f>IFERROR(__xludf.DUMMYFUNCTION("""COMPUTED_VALUE"""),"4GB")</f>
        <v>4GB</v>
      </c>
      <c r="Q664" s="23">
        <f t="shared" si="1"/>
        <v>1159.32</v>
      </c>
      <c r="R664" s="22">
        <f t="shared" si="2"/>
        <v>5</v>
      </c>
      <c r="S664" s="23">
        <f t="shared" si="3"/>
        <v>5796.6</v>
      </c>
      <c r="T664" s="22" t="str">
        <f>IFERROR(__xludf.DUMMYFUNCTION("PROPER(TRIM(
  LET(
    texto1, REGEXREPLACE(G664,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"),"Rubén Cecilia Zarate")</f>
        <v>Rubén Cecilia Zarate</v>
      </c>
      <c r="U664" s="22" t="str">
        <f t="shared" si="4"/>
        <v>9376962f-fb7b-4390-9eee-6e8d5c685697</v>
      </c>
      <c r="V664" s="24" t="str">
        <f t="shared" si="5"/>
        <v>Tablet Estándar 4GB</v>
      </c>
    </row>
    <row r="665" ht="15.75" customHeight="1">
      <c r="A665" s="6">
        <v>45648.0</v>
      </c>
      <c r="B665" s="2" t="s">
        <v>130</v>
      </c>
      <c r="C665" s="2" t="s">
        <v>55</v>
      </c>
      <c r="D665" s="7">
        <v>1717.67</v>
      </c>
      <c r="E665" s="2">
        <v>4.0</v>
      </c>
      <c r="F665" s="7">
        <v>6870.68</v>
      </c>
      <c r="G665" s="2" t="s">
        <v>2297</v>
      </c>
      <c r="H665" s="2" t="s">
        <v>2298</v>
      </c>
      <c r="I665" s="2" t="s">
        <v>2299</v>
      </c>
      <c r="K665" s="25" t="str">
        <f>IFERROR(__xludf.DUMMYFUNCTION("IF(ISBLANK(A665),
  """",
  IF(ISNUMBER(A665),
    TEXT(A665,""dd/mm/yyyy""),
    IF(
      REGEXMATCH(TRIM(A665),""^\d{1,2}/\d{1,2}/\d{4}$""),
      TRIM(A665),
      IFERROR(
        TEXT(DATEVALUE(SUBSTITUTE(SUBSTITUTE(TRIM(A665),""-"",""/""),""."",""/"&amp;""")),""dd/mm/yyyy""),
        TRIM(A665)
      )
    )
  )
)
"),"22/12/2024")</f>
        <v>22/12/2024</v>
      </c>
      <c r="L665" s="26">
        <v>45648.0</v>
      </c>
      <c r="M665" s="27" t="str">
        <f>IFERROR(__xludf.DUMMYFUNCTION("PROPER(TRIM(
  REGEXREPLACE(
    REGEXREPLACE(
      SUBSTITUTE(SUBSTITUTE(SUBSTITUTE(SUBSTITUTE(SUBSTITUTE(SUBSTITUTE(SUBSTITUTE(SUBSTITUTE(SUBSTITUTE(SUBSTITUTE(SUBSTITUTE(
        B665,""√©"",""é""),""√°"",""á""),""√±"",""ñ""),""√≥"",""ó""),""√â"",""é"&amp;"""),""√Å"",""á""),""√ç"",""í""),""√Ç"",""Í""),""√Â"",""é""),""√≠"",""í""),""√º"",""ú""),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65" s="28" t="str">
        <f>IFERROR(__xludf.DUMMYFUNCTION("SPLIT(
  TRIM(
    SUBSTITUTE(
      SUBSTITUTE(
        SUBSTITUTE(
          SUBSTITUTE(
            C665,
            ""√©"", ""é""
          ),
          ""√±"", ""ñ""
        ),
        ""√°"", ""á""
      ),
      ""√≥"", ""ó""
    )
  ),
  ""-""
)
"),"Laptop")</f>
        <v>Laptop</v>
      </c>
      <c r="O665" s="28" t="str">
        <f>IFERROR(__xludf.DUMMYFUNCTION("""COMPUTED_VALUE"""),"Ultraliviana")</f>
        <v>Ultraliviana</v>
      </c>
      <c r="P665" s="28" t="str">
        <f>IFERROR(__xludf.DUMMYFUNCTION("""COMPUTED_VALUE"""),"16GB")</f>
        <v>16GB</v>
      </c>
      <c r="Q665" s="29">
        <f t="shared" si="1"/>
        <v>1717.67</v>
      </c>
      <c r="R665" s="28">
        <f t="shared" si="2"/>
        <v>4</v>
      </c>
      <c r="S665" s="29">
        <f t="shared" si="3"/>
        <v>6870.68</v>
      </c>
      <c r="T665" s="28" t="str">
        <f>IFERROR(__xludf.DUMMYFUNCTION("PROPER(TRIM(
  LET(
    texto1, REGEXREPLACE(G665,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"),"Amanda José Eduardo Rolón")</f>
        <v>Amanda José Eduardo Rolón</v>
      </c>
      <c r="U665" s="28" t="str">
        <f t="shared" si="4"/>
        <v>a73cd6f4-c471-4e0a-9570-af0860e0c5d1</v>
      </c>
      <c r="V665" s="30" t="str">
        <f t="shared" si="5"/>
        <v>Laptop Ultraliviana 16GB</v>
      </c>
    </row>
    <row r="666" ht="15.75" customHeight="1">
      <c r="A666" s="6">
        <v>45591.0</v>
      </c>
      <c r="B666" s="2" t="s">
        <v>38</v>
      </c>
      <c r="C666" s="2" t="s">
        <v>39</v>
      </c>
      <c r="D666" s="7">
        <v>611.99</v>
      </c>
      <c r="E666" s="2">
        <v>2.0</v>
      </c>
      <c r="F666" s="7">
        <v>1223.98</v>
      </c>
      <c r="G666" s="2" t="s">
        <v>2300</v>
      </c>
      <c r="H666" s="2" t="s">
        <v>2301</v>
      </c>
      <c r="I666" s="2" t="s">
        <v>2302</v>
      </c>
      <c r="K666" s="19" t="str">
        <f>IFERROR(__xludf.DUMMYFUNCTION("IF(ISBLANK(A666),
  """",
  IF(ISNUMBER(A666),
    TEXT(A666,""dd/mm/yyyy""),
    IF(
      REGEXMATCH(TRIM(A666),""^\d{1,2}/\d{1,2}/\d{4}$""),
      TRIM(A666),
      IFERROR(
        TEXT(DATEVALUE(SUBSTITUTE(SUBSTITUTE(TRIM(A666),""-"",""/""),""."",""/"&amp;""")),""dd/mm/yyyy""),
        TRIM(A666)
      )
    )
  )
)
"),"26/10/2024")</f>
        <v>26/10/2024</v>
      </c>
      <c r="L666" s="20">
        <v>45591.0</v>
      </c>
      <c r="M666" s="21" t="str">
        <f>IFERROR(__xludf.DUMMYFUNCTION("PROPER(TRIM(
  REGEXREPLACE(
    REGEXREPLACE(
      SUBSTITUTE(SUBSTITUTE(SUBSTITUTE(SUBSTITUTE(SUBSTITUTE(SUBSTITUTE(SUBSTITUTE(SUBSTITUTE(SUBSTITUTE(SUBSTITUTE(SUBSTITUTE(
        B666,""√©"",""é""),""√°"",""á""),""√±"",""ñ""),""√≥"",""ó""),""√â"",""é"&amp;"""),""√Å"",""á""),""√ç"",""í""),""√Ç"",""Í""),""√Â"",""é""),""√≠"",""í""),""√º"",""ú""),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66" s="22" t="str">
        <f>IFERROR(__xludf.DUMMYFUNCTION("SPLIT(
  TRIM(
    SUBSTITUTE(
      SUBSTITUTE(
        SUBSTITUTE(
          SUBSTITUTE(
            C666,
            ""√©"", ""é""
          ),
          ""√±"", ""ñ""
        ),
        ""√°"", ""á""
      ),
      ""√≥"", ""ó""
    )
  ),
  ""-""
)
"),"Teléfono")</f>
        <v>Teléfono</v>
      </c>
      <c r="O666" s="22" t="str">
        <f>IFERROR(__xludf.DUMMYFUNCTION("""COMPUTED_VALUE"""),"Gama alta")</f>
        <v>Gama alta</v>
      </c>
      <c r="P666" s="22" t="str">
        <f>IFERROR(__xludf.DUMMYFUNCTION("""COMPUTED_VALUE"""),"8GB")</f>
        <v>8GB</v>
      </c>
      <c r="Q666" s="23">
        <f t="shared" si="1"/>
        <v>611.99</v>
      </c>
      <c r="R666" s="22">
        <f t="shared" si="2"/>
        <v>2</v>
      </c>
      <c r="S666" s="23">
        <f t="shared" si="3"/>
        <v>1223.98</v>
      </c>
      <c r="T666" s="22" t="str">
        <f>IFERROR(__xludf.DUMMYFUNCTION("PROPER(TRIM(
  LET(
    texto1, REGEXREPLACE(G666,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"),"Espartaco Godoy Fuentes")</f>
        <v>Espartaco Godoy Fuentes</v>
      </c>
      <c r="U666" s="22" t="str">
        <f t="shared" si="4"/>
        <v>ec823a46-e1bb-48d2-a563-9abba872b426</v>
      </c>
      <c r="V666" s="24" t="str">
        <f t="shared" si="5"/>
        <v>Teléfono Gama alta 8GB</v>
      </c>
    </row>
    <row r="667" ht="15.75" customHeight="1">
      <c r="A667" s="36">
        <v>45302.0</v>
      </c>
      <c r="B667" s="2" t="s">
        <v>27</v>
      </c>
      <c r="C667" s="2" t="s">
        <v>360</v>
      </c>
      <c r="D667" s="7">
        <v>1865.37</v>
      </c>
      <c r="E667" s="2">
        <v>1.0</v>
      </c>
      <c r="F667" s="7">
        <v>1865.37</v>
      </c>
      <c r="G667" s="2" t="s">
        <v>2303</v>
      </c>
      <c r="H667" s="2" t="s">
        <v>2304</v>
      </c>
      <c r="I667" s="2" t="s">
        <v>2305</v>
      </c>
      <c r="K667" s="25" t="str">
        <f>IFERROR(__xludf.DUMMYFUNCTION("IF(ISBLANK(A667),
  """",
  IF(ISNUMBER(A667),
    TEXT(A667,""dd/mm/yyyy""),
    IF(
      REGEXMATCH(TRIM(A667),""^\d{1,2}/\d{1,2}/\d{4}$""),
      TRIM(A667),
      IFERROR(
        TEXT(DATEVALUE(SUBSTITUTE(SUBSTITUTE(TRIM(A667),""-"",""/""),""."",""/"&amp;""")),""dd/mm/yyyy""),
        TRIM(A667)
      )
    )
  )
)
"),"11/01/2024")</f>
        <v>11/01/2024</v>
      </c>
      <c r="L667" s="26">
        <v>45302.0</v>
      </c>
      <c r="M667" s="27" t="str">
        <f>IFERROR(__xludf.DUMMYFUNCTION("PROPER(TRIM(
  REGEXREPLACE(
    REGEXREPLACE(
      SUBSTITUTE(SUBSTITUTE(SUBSTITUTE(SUBSTITUTE(SUBSTITUTE(SUBSTITUTE(SUBSTITUTE(SUBSTITUTE(SUBSTITUTE(SUBSTITUTE(SUBSTITUTE(
        B667,""√©"",""é""),""√°"",""á""),""√±"",""ñ""),""√≥"",""ó""),""√â"",""é"&amp;"""),""√Å"",""á""),""√ç"",""í""),""√Ç"",""Í""),""√Â"",""é""),""√≠"",""í""),""√º"",""ú""),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67" s="28" t="str">
        <f>IFERROR(__xludf.DUMMYFUNCTION("SPLIT(
  TRIM(
    SUBSTITUTE(
      SUBSTITUTE(
        SUBSTITUTE(
          SUBSTITUTE(
            C667,
            ""√©"", ""é""
          ),
          ""√±"", ""ñ""
        ),
        ""√°"", ""á""
      ),
      ""√≥"", ""ó""
    )
  ),
  ""-""
)
"),"Tablet")</f>
        <v>Tablet</v>
      </c>
      <c r="O667" s="28" t="str">
        <f>IFERROR(__xludf.DUMMYFUNCTION("""COMPUTED_VALUE"""),"Estándar")</f>
        <v>Estándar</v>
      </c>
      <c r="P667" s="28" t="str">
        <f>IFERROR(__xludf.DUMMYFUNCTION("""COMPUTED_VALUE"""),"8GB")</f>
        <v>8GB</v>
      </c>
      <c r="Q667" s="29">
        <f t="shared" si="1"/>
        <v>1865.37</v>
      </c>
      <c r="R667" s="28">
        <f t="shared" si="2"/>
        <v>1</v>
      </c>
      <c r="S667" s="29">
        <f t="shared" si="3"/>
        <v>1865.37</v>
      </c>
      <c r="T667" s="28" t="str">
        <f>IFERROR(__xludf.DUMMYFUNCTION("PROPER(TRIM(
  LET(
    texto1, REGEXREPLACE(G667,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"),"Armando Paola Tejeda Reynoso")</f>
        <v>Armando Paola Tejeda Reynoso</v>
      </c>
      <c r="U667" s="28" t="str">
        <f t="shared" si="4"/>
        <v>6b36097a-158e-4b1e-8cb1-944c9ce34b4a</v>
      </c>
      <c r="V667" s="30" t="str">
        <f t="shared" si="5"/>
        <v>Tablet Estándar 8GB</v>
      </c>
    </row>
    <row r="668" ht="15.75" customHeight="1">
      <c r="A668" s="36">
        <v>45514.0</v>
      </c>
      <c r="B668" s="2" t="s">
        <v>16</v>
      </c>
      <c r="C668" s="2" t="s">
        <v>111</v>
      </c>
      <c r="D668" s="7">
        <v>642.95</v>
      </c>
      <c r="E668" s="2">
        <v>2.0</v>
      </c>
      <c r="F668" s="7">
        <v>1285.9</v>
      </c>
      <c r="G668" s="2" t="s">
        <v>2306</v>
      </c>
      <c r="H668" s="2" t="s">
        <v>2307</v>
      </c>
      <c r="I668" s="2" t="s">
        <v>2308</v>
      </c>
      <c r="K668" s="19" t="str">
        <f>IFERROR(__xludf.DUMMYFUNCTION("IF(ISBLANK(A668),
  """",
  IF(ISNUMBER(A668),
    TEXT(A668,""dd/mm/yyyy""),
    IF(
      REGEXMATCH(TRIM(A668),""^\d{1,2}/\d{1,2}/\d{4}$""),
      TRIM(A668),
      IFERROR(
        TEXT(DATEVALUE(SUBSTITUTE(SUBSTITUTE(TRIM(A668),""-"",""/""),""."",""/"&amp;""")),""dd/mm/yyyy""),
        TRIM(A668)
      )
    )
  )
)
"),"10/08/2024")</f>
        <v>10/08/2024</v>
      </c>
      <c r="L668" s="20">
        <v>45514.0</v>
      </c>
      <c r="M668" s="21" t="str">
        <f>IFERROR(__xludf.DUMMYFUNCTION("PROPER(TRIM(
  REGEXREPLACE(
    REGEXREPLACE(
      SUBSTITUTE(SUBSTITUTE(SUBSTITUTE(SUBSTITUTE(SUBSTITUTE(SUBSTITUTE(SUBSTITUTE(SUBSTITUTE(SUBSTITUTE(SUBSTITUTE(SUBSTITUTE(
        B668,""√©"",""é""),""√°"",""á""),""√±"",""ñ""),""√≥"",""ó""),""√â"",""é"&amp;"""),""√Å"",""á""),""√ç"",""í""),""√Ç"",""Í""),""√Â"",""é""),""√≠"",""í""),""√º"",""ú""),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68" s="22" t="str">
        <f>IFERROR(__xludf.DUMMYFUNCTION("SPLIT(
  TRIM(
    SUBSTITUTE(
      SUBSTITUTE(
        SUBSTITUTE(
          SUBSTITUTE(
            C668,
            ""√©"", ""é""
          ),
          ""√±"", ""ñ""
        ),
        ""√°"", ""á""
      ),
      ""√≥"", ""ó""
    )
  ),
  ""-""
)
"),"Tablet")</f>
        <v>Tablet</v>
      </c>
      <c r="O668" s="22" t="str">
        <f>IFERROR(__xludf.DUMMYFUNCTION("""COMPUTED_VALUE"""),"Estándar")</f>
        <v>Estándar</v>
      </c>
      <c r="P668" s="22" t="str">
        <f>IFERROR(__xludf.DUMMYFUNCTION("""COMPUTED_VALUE"""),"16GB")</f>
        <v>16GB</v>
      </c>
      <c r="Q668" s="23">
        <f t="shared" si="1"/>
        <v>642.95</v>
      </c>
      <c r="R668" s="22">
        <f t="shared" si="2"/>
        <v>2</v>
      </c>
      <c r="S668" s="23">
        <f t="shared" si="3"/>
        <v>1285.9</v>
      </c>
      <c r="T668" s="22" t="str">
        <f>IFERROR(__xludf.DUMMYFUNCTION("PROPER(TRIM(
  LET(
    texto1, REGEXREPLACE(G668,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Elena Guajardo Serna")</f>
        <v>María Elena Guajardo Serna</v>
      </c>
      <c r="U668" s="22" t="str">
        <f t="shared" si="4"/>
        <v>fd8576ca-69cb-45d0-93ae-3ce2a9dce766</v>
      </c>
      <c r="V668" s="24" t="str">
        <f t="shared" si="5"/>
        <v>Tablet Estándar 16GB</v>
      </c>
    </row>
    <row r="669" ht="15.75" customHeight="1">
      <c r="A669" s="6">
        <v>45592.0</v>
      </c>
      <c r="B669" s="2" t="s">
        <v>50</v>
      </c>
      <c r="C669" s="2" t="s">
        <v>397</v>
      </c>
      <c r="D669" s="7">
        <v>1237.66</v>
      </c>
      <c r="E669" s="2">
        <v>1.0</v>
      </c>
      <c r="F669" s="7">
        <v>1237.66</v>
      </c>
      <c r="G669" s="2" t="s">
        <v>2309</v>
      </c>
      <c r="H669" s="2" t="s">
        <v>2310</v>
      </c>
      <c r="I669" s="2" t="s">
        <v>2311</v>
      </c>
      <c r="K669" s="25" t="str">
        <f>IFERROR(__xludf.DUMMYFUNCTION("IF(ISBLANK(A669),
  """",
  IF(ISNUMBER(A669),
    TEXT(A669,""dd/mm/yyyy""),
    IF(
      REGEXMATCH(TRIM(A669),""^\d{1,2}/\d{1,2}/\d{4}$""),
      TRIM(A669),
      IFERROR(
        TEXT(DATEVALUE(SUBSTITUTE(SUBSTITUTE(TRIM(A669),""-"",""/""),""."",""/"&amp;""")),""dd/mm/yyyy""),
        TRIM(A669)
      )
    )
  )
)
"),"27/10/2024")</f>
        <v>27/10/2024</v>
      </c>
      <c r="L669" s="26">
        <v>45592.0</v>
      </c>
      <c r="M669" s="27" t="str">
        <f>IFERROR(__xludf.DUMMYFUNCTION("PROPER(TRIM(
  REGEXREPLACE(
    REGEXREPLACE(
      SUBSTITUTE(SUBSTITUTE(SUBSTITUTE(SUBSTITUTE(SUBSTITUTE(SUBSTITUTE(SUBSTITUTE(SUBSTITUTE(SUBSTITUTE(SUBSTITUTE(SUBSTITUTE(
        B669,""√©"",""é""),""√°"",""á""),""√±"",""ñ""),""√≥"",""ó""),""√â"",""é"&amp;"""),""√Å"",""á""),""√ç"",""í""),""√Ç"",""Í""),""√Â"",""é""),""√≠"",""í""),""√º"",""ú""),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69" s="28" t="str">
        <f>IFERROR(__xludf.DUMMYFUNCTION("SPLIT(
  TRIM(
    SUBSTITUTE(
      SUBSTITUTE(
        SUBSTITUTE(
          SUBSTITUTE(
            C669,
            ""√©"", ""é""
          ),
          ""√±"", ""ñ""
        ),
        ""√°"", ""á""
      ),
      ""√≥"", ""ó""
    )
  ),
  ""-""
)
"),"Teléfono")</f>
        <v>Teléfono</v>
      </c>
      <c r="O669" s="28" t="str">
        <f>IFERROR(__xludf.DUMMYFUNCTION("""COMPUTED_VALUE"""),"Gama media")</f>
        <v>Gama media</v>
      </c>
      <c r="P669" s="28" t="str">
        <f>IFERROR(__xludf.DUMMYFUNCTION("""COMPUTED_VALUE"""),"32GB")</f>
        <v>32GB</v>
      </c>
      <c r="Q669" s="29">
        <f t="shared" si="1"/>
        <v>1237.66</v>
      </c>
      <c r="R669" s="28">
        <f t="shared" si="2"/>
        <v>1</v>
      </c>
      <c r="S669" s="29">
        <f t="shared" si="3"/>
        <v>1237.66</v>
      </c>
      <c r="T669" s="28" t="str">
        <f>IFERROR(__xludf.DUMMYFUNCTION("PROPER(TRIM(
  LET(
    texto1, REGEXREPLACE(G669,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"),"Jonás Corrales")</f>
        <v>Jonás Corrales</v>
      </c>
      <c r="U669" s="28" t="str">
        <f t="shared" si="4"/>
        <v>5deb41b9-32d8-431b-91ea-ba2fc94ad0f0</v>
      </c>
      <c r="V669" s="30" t="str">
        <f t="shared" si="5"/>
        <v>Teléfono Gama media 32GB</v>
      </c>
    </row>
    <row r="670" ht="15.75" customHeight="1">
      <c r="A670" s="36">
        <v>45393.0</v>
      </c>
      <c r="B670" s="2" t="s">
        <v>27</v>
      </c>
      <c r="C670" s="2" t="s">
        <v>55</v>
      </c>
      <c r="D670" s="7">
        <v>1172.2</v>
      </c>
      <c r="E670" s="2">
        <v>1.0</v>
      </c>
      <c r="F670" s="7">
        <v>1172.2</v>
      </c>
      <c r="G670" s="2" t="s">
        <v>2312</v>
      </c>
      <c r="H670" s="2" t="s">
        <v>2313</v>
      </c>
      <c r="I670" s="2" t="s">
        <v>2314</v>
      </c>
      <c r="K670" s="19" t="str">
        <f>IFERROR(__xludf.DUMMYFUNCTION("IF(ISBLANK(A670),
  """",
  IF(ISNUMBER(A670),
    TEXT(A670,""dd/mm/yyyy""),
    IF(
      REGEXMATCH(TRIM(A670),""^\d{1,2}/\d{1,2}/\d{4}$""),
      TRIM(A670),
      IFERROR(
        TEXT(DATEVALUE(SUBSTITUTE(SUBSTITUTE(TRIM(A670),""-"",""/""),""."",""/"&amp;""")),""dd/mm/yyyy""),
        TRIM(A670)
      )
    )
  )
)
"),"11/04/2024")</f>
        <v>11/04/2024</v>
      </c>
      <c r="L670" s="20">
        <v>45393.0</v>
      </c>
      <c r="M670" s="21" t="str">
        <f>IFERROR(__xludf.DUMMYFUNCTION("PROPER(TRIM(
  REGEXREPLACE(
    REGEXREPLACE(
      SUBSTITUTE(SUBSTITUTE(SUBSTITUTE(SUBSTITUTE(SUBSTITUTE(SUBSTITUTE(SUBSTITUTE(SUBSTITUTE(SUBSTITUTE(SUBSTITUTE(SUBSTITUTE(
        B670,""√©"",""é""),""√°"",""á""),""√±"",""ñ""),""√≥"",""ó""),""√â"",""é"&amp;"""),""√Å"",""á""),""√ç"",""í""),""√Ç"",""Í""),""√Â"",""é""),""√≠"",""í""),""√º"",""ú""),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70" s="22" t="str">
        <f>IFERROR(__xludf.DUMMYFUNCTION("SPLIT(
  TRIM(
    SUBSTITUTE(
      SUBSTITUTE(
        SUBSTITUTE(
          SUBSTITUTE(
            C670,
            ""√©"", ""é""
          ),
          ""√±"", ""ñ""
        ),
        ""√°"", ""á""
      ),
      ""√≥"", ""ó""
    )
  ),
  ""-""
)
"),"Laptop")</f>
        <v>Laptop</v>
      </c>
      <c r="O670" s="22" t="str">
        <f>IFERROR(__xludf.DUMMYFUNCTION("""COMPUTED_VALUE"""),"Ultraliviana")</f>
        <v>Ultraliviana</v>
      </c>
      <c r="P670" s="22" t="str">
        <f>IFERROR(__xludf.DUMMYFUNCTION("""COMPUTED_VALUE"""),"16GB")</f>
        <v>16GB</v>
      </c>
      <c r="Q670" s="23">
        <f t="shared" si="1"/>
        <v>1172.2</v>
      </c>
      <c r="R670" s="22">
        <f t="shared" si="2"/>
        <v>1</v>
      </c>
      <c r="S670" s="23">
        <f t="shared" si="3"/>
        <v>1172.2</v>
      </c>
      <c r="T670" s="22" t="str">
        <f>IFERROR(__xludf.DUMMYFUNCTION("PROPER(TRIM(
  LET(
    texto1, REGEXREPLACE(G670,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"),"Alicia Barela")</f>
        <v>Alicia Barela</v>
      </c>
      <c r="U670" s="22" t="str">
        <f t="shared" si="4"/>
        <v>dcdc9582-af1b-48f9-9862-62eff619038d</v>
      </c>
      <c r="V670" s="24" t="str">
        <f t="shared" si="5"/>
        <v>Laptop Ultraliviana 16GB</v>
      </c>
    </row>
    <row r="671" ht="15.75" customHeight="1">
      <c r="A671" s="6">
        <v>45613.0</v>
      </c>
      <c r="B671" s="2" t="s">
        <v>16</v>
      </c>
      <c r="C671" s="2" t="s">
        <v>360</v>
      </c>
      <c r="D671" s="7">
        <v>2142.82</v>
      </c>
      <c r="E671" s="2">
        <v>2.0</v>
      </c>
      <c r="F671" s="7">
        <v>4285.64</v>
      </c>
      <c r="G671" s="2" t="s">
        <v>2315</v>
      </c>
      <c r="H671" s="2" t="s">
        <v>2316</v>
      </c>
      <c r="I671" s="2" t="s">
        <v>2317</v>
      </c>
      <c r="K671" s="25" t="str">
        <f>IFERROR(__xludf.DUMMYFUNCTION("IF(ISBLANK(A671),
  """",
  IF(ISNUMBER(A671),
    TEXT(A671,""dd/mm/yyyy""),
    IF(
      REGEXMATCH(TRIM(A671),""^\d{1,2}/\d{1,2}/\d{4}$""),
      TRIM(A671),
      IFERROR(
        TEXT(DATEVALUE(SUBSTITUTE(SUBSTITUTE(TRIM(A671),""-"",""/""),""."",""/"&amp;""")),""dd/mm/yyyy""),
        TRIM(A671)
      )
    )
  )
)
"),"17/11/2024")</f>
        <v>17/11/2024</v>
      </c>
      <c r="L671" s="26">
        <v>45613.0</v>
      </c>
      <c r="M671" s="27" t="str">
        <f>IFERROR(__xludf.DUMMYFUNCTION("PROPER(TRIM(
  REGEXREPLACE(
    REGEXREPLACE(
      SUBSTITUTE(SUBSTITUTE(SUBSTITUTE(SUBSTITUTE(SUBSTITUTE(SUBSTITUTE(SUBSTITUTE(SUBSTITUTE(SUBSTITUTE(SUBSTITUTE(SUBSTITUTE(
        B671,""√©"",""é""),""√°"",""á""),""√±"",""ñ""),""√≥"",""ó""),""√â"",""é"&amp;"""),""√Å"",""á""),""√ç"",""í""),""√Ç"",""Í""),""√Â"",""é""),""√≠"",""í""),""√º"",""ú""),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71" s="28" t="str">
        <f>IFERROR(__xludf.DUMMYFUNCTION("SPLIT(
  TRIM(
    SUBSTITUTE(
      SUBSTITUTE(
        SUBSTITUTE(
          SUBSTITUTE(
            C671,
            ""√©"", ""é""
          ),
          ""√±"", ""ñ""
        ),
        ""√°"", ""á""
      ),
      ""√≥"", ""ó""
    )
  ),
  ""-""
)
"),"Tablet")</f>
        <v>Tablet</v>
      </c>
      <c r="O671" s="28" t="str">
        <f>IFERROR(__xludf.DUMMYFUNCTION("""COMPUTED_VALUE"""),"Estándar")</f>
        <v>Estándar</v>
      </c>
      <c r="P671" s="28" t="str">
        <f>IFERROR(__xludf.DUMMYFUNCTION("""COMPUTED_VALUE"""),"8GB")</f>
        <v>8GB</v>
      </c>
      <c r="Q671" s="29">
        <f t="shared" si="1"/>
        <v>2142.82</v>
      </c>
      <c r="R671" s="28">
        <f t="shared" si="2"/>
        <v>2</v>
      </c>
      <c r="S671" s="29">
        <f t="shared" si="3"/>
        <v>4285.64</v>
      </c>
      <c r="T671" s="28" t="str">
        <f>IFERROR(__xludf.DUMMYFUNCTION("PROPER(TRIM(
  LET(
    texto1, REGEXREPLACE(G671,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"),"César Portillo")</f>
        <v>César Portillo</v>
      </c>
      <c r="U671" s="28" t="str">
        <f t="shared" si="4"/>
        <v>20632308-0231-4070-97bf-4fc82c188f74</v>
      </c>
      <c r="V671" s="30" t="str">
        <f t="shared" si="5"/>
        <v>Tablet Estándar 8GB</v>
      </c>
    </row>
    <row r="672" ht="15.75" customHeight="1">
      <c r="A672" s="6">
        <v>45621.0</v>
      </c>
      <c r="B672" s="2" t="s">
        <v>101</v>
      </c>
      <c r="C672" s="2" t="s">
        <v>80</v>
      </c>
      <c r="D672" s="7">
        <v>1083.45</v>
      </c>
      <c r="E672" s="2">
        <v>5.0</v>
      </c>
      <c r="F672" s="7">
        <v>5417.25</v>
      </c>
      <c r="G672" s="2" t="s">
        <v>2318</v>
      </c>
      <c r="H672" s="2" t="s">
        <v>2319</v>
      </c>
      <c r="I672" s="2" t="s">
        <v>2320</v>
      </c>
      <c r="K672" s="19" t="str">
        <f>IFERROR(__xludf.DUMMYFUNCTION("IF(ISBLANK(A672),
  """",
  IF(ISNUMBER(A672),
    TEXT(A672,""dd/mm/yyyy""),
    IF(
      REGEXMATCH(TRIM(A672),""^\d{1,2}/\d{1,2}/\d{4}$""),
      TRIM(A672),
      IFERROR(
        TEXT(DATEVALUE(SUBSTITUTE(SUBSTITUTE(TRIM(A672),""-"",""/""),""."",""/"&amp;""")),""dd/mm/yyyy""),
        TRIM(A672)
      )
    )
  )
)
"),"25/11/2024")</f>
        <v>25/11/2024</v>
      </c>
      <c r="L672" s="20">
        <v>45621.0</v>
      </c>
      <c r="M672" s="21" t="str">
        <f>IFERROR(__xludf.DUMMYFUNCTION("PROPER(TRIM(
  REGEXREPLACE(
    REGEXREPLACE(
      SUBSTITUTE(SUBSTITUTE(SUBSTITUTE(SUBSTITUTE(SUBSTITUTE(SUBSTITUTE(SUBSTITUTE(SUBSTITUTE(SUBSTITUTE(SUBSTITUTE(SUBSTITUTE(
        B672,""√©"",""é""),""√°"",""á""),""√±"",""ñ""),""√≥"",""ó""),""√â"",""é"&amp;"""),""√Å"",""á""),""√ç"",""í""),""√Ç"",""Í""),""√Â"",""é""),""√≠"",""í""),""√º"",""ú""),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72" s="22" t="str">
        <f>IFERROR(__xludf.DUMMYFUNCTION("SPLIT(
  TRIM(
    SUBSTITUTE(
      SUBSTITUTE(
        SUBSTITUTE(
          SUBSTITUTE(
            C672,
            ""√©"", ""é""
          ),
          ""√±"", ""ñ""
        ),
        ""√°"", ""á""
      ),
      ""√≥"", ""ó""
    )
  ),
  ""-""
)
"),"Teléfono")</f>
        <v>Teléfono</v>
      </c>
      <c r="O672" s="22" t="str">
        <f>IFERROR(__xludf.DUMMYFUNCTION("""COMPUTED_VALUE"""),"Gama baja")</f>
        <v>Gama baja</v>
      </c>
      <c r="P672" s="22" t="str">
        <f>IFERROR(__xludf.DUMMYFUNCTION("""COMPUTED_VALUE"""),"16GB")</f>
        <v>16GB</v>
      </c>
      <c r="Q672" s="23">
        <f t="shared" si="1"/>
        <v>1083.45</v>
      </c>
      <c r="R672" s="22">
        <f t="shared" si="2"/>
        <v>5</v>
      </c>
      <c r="S672" s="23">
        <f t="shared" si="3"/>
        <v>5417.25</v>
      </c>
      <c r="T672" s="22" t="str">
        <f>IFERROR(__xludf.DUMMYFUNCTION("PROPER(TRIM(
  LET(
    texto1, REGEXREPLACE(G672,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González")</f>
        <v>María González</v>
      </c>
      <c r="U672" s="22" t="str">
        <f t="shared" si="4"/>
        <v>3820b6cc-8345-41e5-85aa-bd7f843a64c7</v>
      </c>
      <c r="V672" s="24" t="str">
        <f t="shared" si="5"/>
        <v>Teléfono Gama baja 16GB</v>
      </c>
    </row>
    <row r="673" ht="15.75" customHeight="1">
      <c r="A673" s="36">
        <v>45546.0</v>
      </c>
      <c r="B673" s="2" t="s">
        <v>38</v>
      </c>
      <c r="C673" s="2" t="s">
        <v>1015</v>
      </c>
      <c r="D673" s="7">
        <v>927.31</v>
      </c>
      <c r="E673" s="2">
        <v>2.0</v>
      </c>
      <c r="F673" s="7">
        <v>1854.62</v>
      </c>
      <c r="G673" s="2" t="s">
        <v>2321</v>
      </c>
      <c r="H673" s="2" t="s">
        <v>2322</v>
      </c>
      <c r="I673" s="2" t="s">
        <v>2323</v>
      </c>
      <c r="K673" s="25" t="str">
        <f>IFERROR(__xludf.DUMMYFUNCTION("IF(ISBLANK(A673),
  """",
  IF(ISNUMBER(A673),
    TEXT(A673,""dd/mm/yyyy""),
    IF(
      REGEXMATCH(TRIM(A673),""^\d{1,2}/\d{1,2}/\d{4}$""),
      TRIM(A673),
      IFERROR(
        TEXT(DATEVALUE(SUBSTITUTE(SUBSTITUTE(TRIM(A673),""-"",""/""),""."",""/"&amp;""")),""dd/mm/yyyy""),
        TRIM(A673)
      )
    )
  )
)
"),"11/09/2024")</f>
        <v>11/09/2024</v>
      </c>
      <c r="L673" s="26">
        <v>45546.0</v>
      </c>
      <c r="M673" s="27" t="str">
        <f>IFERROR(__xludf.DUMMYFUNCTION("PROPER(TRIM(
  REGEXREPLACE(
    REGEXREPLACE(
      SUBSTITUTE(SUBSTITUTE(SUBSTITUTE(SUBSTITUTE(SUBSTITUTE(SUBSTITUTE(SUBSTITUTE(SUBSTITUTE(SUBSTITUTE(SUBSTITUTE(SUBSTITUTE(
        B673,""√©"",""é""),""√°"",""á""),""√±"",""ñ""),""√≥"",""ó""),""√â"",""é"&amp;"""),""√Å"",""á""),""√ç"",""í""),""√Ç"",""Í""),""√Â"",""é""),""√≠"",""í""),""√º"",""ú""),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73" s="28" t="str">
        <f>IFERROR(__xludf.DUMMYFUNCTION("SPLIT(
  TRIM(
    SUBSTITUTE(
      SUBSTITUTE(
        SUBSTITUTE(
          SUBSTITUTE(
            C673,
            ""√©"", ""é""
          ),
          ""√±"", ""ñ""
        ),
        ""√°"", ""á""
      ),
      ""√≥"", ""ó""
    )
  ),
  ""-""
)
"),"Auriculares")</f>
        <v>Auriculares</v>
      </c>
      <c r="O673" s="28" t="str">
        <f>IFERROR(__xludf.DUMMYFUNCTION("""COMPUTED_VALUE"""),"Bluetooth")</f>
        <v>Bluetooth</v>
      </c>
      <c r="P673" s="28" t="str">
        <f>IFERROR(__xludf.DUMMYFUNCTION("""COMPUTED_VALUE"""),"32GB")</f>
        <v>32GB</v>
      </c>
      <c r="Q673" s="29">
        <f t="shared" si="1"/>
        <v>927.31</v>
      </c>
      <c r="R673" s="28">
        <f t="shared" si="2"/>
        <v>2</v>
      </c>
      <c r="S673" s="29">
        <f t="shared" si="3"/>
        <v>1854.62</v>
      </c>
      <c r="T673" s="28" t="str">
        <f>IFERROR(__xludf.DUMMYFUNCTION("PROPER(TRIM(
  LET(
    texto1, REGEXREPLACE(G673,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"),"Mitzy Fidel Aguirre Barragán")</f>
        <v>Mitzy Fidel Aguirre Barragán</v>
      </c>
      <c r="U673" s="28" t="str">
        <f t="shared" si="4"/>
        <v>32258448-6b2d-4224-a41c-d14a47992b1d</v>
      </c>
      <c r="V673" s="30" t="str">
        <f t="shared" si="5"/>
        <v>Auriculares Bluetooth 32GB</v>
      </c>
    </row>
    <row r="674" ht="15.75" customHeight="1">
      <c r="A674" s="6">
        <v>45582.0</v>
      </c>
      <c r="B674" s="2" t="s">
        <v>50</v>
      </c>
      <c r="C674" s="2" t="s">
        <v>452</v>
      </c>
      <c r="D674" s="7">
        <v>2392.27</v>
      </c>
      <c r="E674" s="2">
        <v>4.0</v>
      </c>
      <c r="F674" s="7">
        <v>9569.08</v>
      </c>
      <c r="G674" s="2" t="s">
        <v>2324</v>
      </c>
      <c r="H674" s="2" t="s">
        <v>2325</v>
      </c>
      <c r="I674" s="2" t="s">
        <v>2326</v>
      </c>
      <c r="K674" s="19" t="str">
        <f>IFERROR(__xludf.DUMMYFUNCTION("IF(ISBLANK(A674),
  """",
  IF(ISNUMBER(A674),
    TEXT(A674,""dd/mm/yyyy""),
    IF(
      REGEXMATCH(TRIM(A674),""^\d{1,2}/\d{1,2}/\d{4}$""),
      TRIM(A674),
      IFERROR(
        TEXT(DATEVALUE(SUBSTITUTE(SUBSTITUTE(TRIM(A674),""-"",""/""),""."",""/"&amp;""")),""dd/mm/yyyy""),
        TRIM(A674)
      )
    )
  )
)
"),"17/10/2024")</f>
        <v>17/10/2024</v>
      </c>
      <c r="L674" s="20">
        <v>45582.0</v>
      </c>
      <c r="M674" s="21" t="str">
        <f>IFERROR(__xludf.DUMMYFUNCTION("PROPER(TRIM(
  REGEXREPLACE(
    REGEXREPLACE(
      SUBSTITUTE(SUBSTITUTE(SUBSTITUTE(SUBSTITUTE(SUBSTITUTE(SUBSTITUTE(SUBSTITUTE(SUBSTITUTE(SUBSTITUTE(SUBSTITUTE(SUBSTITUTE(
        B674,""√©"",""é""),""√°"",""á""),""√±"",""ñ""),""√≥"",""ó""),""√â"",""é"&amp;"""),""√Å"",""á""),""√ç"",""í""),""√Ç"",""Í""),""√Â"",""é""),""√≠"",""í""),""√º"",""ú""),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74" s="22" t="str">
        <f>IFERROR(__xludf.DUMMYFUNCTION("SPLIT(
  TRIM(
    SUBSTITUTE(
      SUBSTITUTE(
        SUBSTITUTE(
          SUBSTITUTE(
            C674,
            ""√©"", ""é""
          ),
          ""√±"", ""ñ""
        ),
        ""√°"", ""á""
      ),
      ""√≥"", ""ó""
    )
  ),
  ""-""
)
"),"Teléfono")</f>
        <v>Teléfono</v>
      </c>
      <c r="O674" s="22" t="str">
        <f>IFERROR(__xludf.DUMMYFUNCTION("""COMPUTED_VALUE"""),"Gama media")</f>
        <v>Gama media</v>
      </c>
      <c r="P674" s="22" t="str">
        <f>IFERROR(__xludf.DUMMYFUNCTION("""COMPUTED_VALUE"""),"16GB")</f>
        <v>16GB</v>
      </c>
      <c r="Q674" s="23">
        <f t="shared" si="1"/>
        <v>2392.27</v>
      </c>
      <c r="R674" s="22">
        <f t="shared" si="2"/>
        <v>4</v>
      </c>
      <c r="S674" s="23">
        <f t="shared" si="3"/>
        <v>9569.08</v>
      </c>
      <c r="T674" s="22" t="str">
        <f>IFERROR(__xludf.DUMMYFUNCTION("PROPER(TRIM(
  LET(
    texto1, REGEXREPLACE(G674,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"),"Josefina Zarate")</f>
        <v>Josefina Zarate</v>
      </c>
      <c r="U674" s="22" t="str">
        <f t="shared" si="4"/>
        <v>0db62a2e-44b2-4c21-8063-f5b1546b6955</v>
      </c>
      <c r="V674" s="24" t="str">
        <f t="shared" si="5"/>
        <v>Teléfono Gama media 16GB</v>
      </c>
    </row>
    <row r="675" ht="15.75" customHeight="1">
      <c r="A675" s="6">
        <v>45613.0</v>
      </c>
      <c r="B675" s="2" t="s">
        <v>85</v>
      </c>
      <c r="C675" s="2" t="s">
        <v>39</v>
      </c>
      <c r="D675" s="7">
        <v>219.68</v>
      </c>
      <c r="E675" s="2">
        <v>4.0</v>
      </c>
      <c r="F675" s="7">
        <v>878.72</v>
      </c>
      <c r="G675" s="2" t="s">
        <v>2327</v>
      </c>
      <c r="H675" s="2" t="s">
        <v>2328</v>
      </c>
      <c r="I675" s="2" t="s">
        <v>2329</v>
      </c>
      <c r="K675" s="25" t="str">
        <f>IFERROR(__xludf.DUMMYFUNCTION("IF(ISBLANK(A675),
  """",
  IF(ISNUMBER(A675),
    TEXT(A675,""dd/mm/yyyy""),
    IF(
      REGEXMATCH(TRIM(A675),""^\d{1,2}/\d{1,2}/\d{4}$""),
      TRIM(A675),
      IFERROR(
        TEXT(DATEVALUE(SUBSTITUTE(SUBSTITUTE(TRIM(A675),""-"",""/""),""."",""/"&amp;""")),""dd/mm/yyyy""),
        TRIM(A675)
      )
    )
  )
)
"),"17/11/2024")</f>
        <v>17/11/2024</v>
      </c>
      <c r="L675" s="26">
        <v>45613.0</v>
      </c>
      <c r="M675" s="27" t="str">
        <f>IFERROR(__xludf.DUMMYFUNCTION("PROPER(TRIM(
  REGEXREPLACE(
    REGEXREPLACE(
      SUBSTITUTE(SUBSTITUTE(SUBSTITUTE(SUBSTITUTE(SUBSTITUTE(SUBSTITUTE(SUBSTITUTE(SUBSTITUTE(SUBSTITUTE(SUBSTITUTE(SUBSTITUTE(
        B675,""√©"",""é""),""√°"",""á""),""√±"",""ñ""),""√≥"",""ó""),""√â"",""é"&amp;"""),""√Å"",""á""),""√ç"",""í""),""√Ç"",""Í""),""√Â"",""é""),""√≠"",""í""),""√º"",""ú""),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75" s="28" t="str">
        <f>IFERROR(__xludf.DUMMYFUNCTION("SPLIT(
  TRIM(
    SUBSTITUTE(
      SUBSTITUTE(
        SUBSTITUTE(
          SUBSTITUTE(
            C675,
            ""√©"", ""é""
          ),
          ""√±"", ""ñ""
        ),
        ""√°"", ""á""
      ),
      ""√≥"", ""ó""
    )
  ),
  ""-""
)
"),"Teléfono")</f>
        <v>Teléfono</v>
      </c>
      <c r="O675" s="28" t="str">
        <f>IFERROR(__xludf.DUMMYFUNCTION("""COMPUTED_VALUE"""),"Gama alta")</f>
        <v>Gama alta</v>
      </c>
      <c r="P675" s="28" t="str">
        <f>IFERROR(__xludf.DUMMYFUNCTION("""COMPUTED_VALUE"""),"8GB")</f>
        <v>8GB</v>
      </c>
      <c r="Q675" s="29">
        <f t="shared" si="1"/>
        <v>219.68</v>
      </c>
      <c r="R675" s="28">
        <f t="shared" si="2"/>
        <v>4</v>
      </c>
      <c r="S675" s="29">
        <f t="shared" si="3"/>
        <v>878.72</v>
      </c>
      <c r="T675" s="28" t="str">
        <f>IFERROR(__xludf.DUMMYFUNCTION("PROPER(TRIM(
  LET(
    texto1, REGEXREPLACE(G675,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"),"Gloria Cabán Santana")</f>
        <v>Gloria Cabán Santana</v>
      </c>
      <c r="U675" s="28" t="str">
        <f t="shared" si="4"/>
        <v>9183f20d-2692-4cfd-9433-54c64739a537</v>
      </c>
      <c r="V675" s="30" t="str">
        <f t="shared" si="5"/>
        <v>Teléfono Gama alta 8GB</v>
      </c>
    </row>
    <row r="676" ht="15.75" customHeight="1">
      <c r="A676" s="6">
        <v>45610.0</v>
      </c>
      <c r="B676" s="2" t="s">
        <v>16</v>
      </c>
      <c r="C676" s="2" t="s">
        <v>28</v>
      </c>
      <c r="D676" s="7">
        <v>563.11</v>
      </c>
      <c r="E676" s="2">
        <v>1.0</v>
      </c>
      <c r="F676" s="7">
        <v>563.11</v>
      </c>
      <c r="G676" s="2" t="s">
        <v>2330</v>
      </c>
      <c r="H676" s="2" t="s">
        <v>2331</v>
      </c>
      <c r="I676" s="2" t="s">
        <v>2332</v>
      </c>
      <c r="K676" s="19" t="str">
        <f>IFERROR(__xludf.DUMMYFUNCTION("IF(ISBLANK(A676),
  """",
  IF(ISNUMBER(A676),
    TEXT(A676,""dd/mm/yyyy""),
    IF(
      REGEXMATCH(TRIM(A676),""^\d{1,2}/\d{1,2}/\d{4}$""),
      TRIM(A676),
      IFERROR(
        TEXT(DATEVALUE(SUBSTITUTE(SUBSTITUTE(TRIM(A676),""-"",""/""),""."",""/"&amp;""")),""dd/mm/yyyy""),
        TRIM(A676)
      )
    )
  )
)
"),"14/11/2024")</f>
        <v>14/11/2024</v>
      </c>
      <c r="L676" s="20">
        <v>45610.0</v>
      </c>
      <c r="M676" s="21" t="str">
        <f>IFERROR(__xludf.DUMMYFUNCTION("PROPER(TRIM(
  REGEXREPLACE(
    REGEXREPLACE(
      SUBSTITUTE(SUBSTITUTE(SUBSTITUTE(SUBSTITUTE(SUBSTITUTE(SUBSTITUTE(SUBSTITUTE(SUBSTITUTE(SUBSTITUTE(SUBSTITUTE(SUBSTITUTE(
        B676,""√©"",""é""),""√°"",""á""),""√±"",""ñ""),""√≥"",""ó""),""√â"",""é"&amp;"""),""√Å"",""á""),""√ç"",""í""),""√Ç"",""Í""),""√Â"",""é""),""√≠"",""í""),""√º"",""ú""),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76" s="22" t="str">
        <f>IFERROR(__xludf.DUMMYFUNCTION("SPLIT(
  TRIM(
    SUBSTITUTE(
      SUBSTITUTE(
        SUBSTITUTE(
          SUBSTITUTE(
            C676,
            ""√©"", ""é""
          ),
          ""√±"", ""ñ""
        ),
        ""√°"", ""á""
      ),
      ""√≥"", ""ó""
    )
  ),
  ""-""
)
"),"Tablet")</f>
        <v>Tablet</v>
      </c>
      <c r="O676" s="22" t="str">
        <f>IFERROR(__xludf.DUMMYFUNCTION("""COMPUTED_VALUE"""),"Pro")</f>
        <v>Pro</v>
      </c>
      <c r="P676" s="22" t="str">
        <f>IFERROR(__xludf.DUMMYFUNCTION("""COMPUTED_VALUE"""),"8GB")</f>
        <v>8GB</v>
      </c>
      <c r="Q676" s="23">
        <f t="shared" si="1"/>
        <v>563.11</v>
      </c>
      <c r="R676" s="22">
        <f t="shared" si="2"/>
        <v>1</v>
      </c>
      <c r="S676" s="23">
        <f t="shared" si="3"/>
        <v>563.11</v>
      </c>
      <c r="T676" s="22" t="str">
        <f>IFERROR(__xludf.DUMMYFUNCTION("PROPER(TRIM(
  LET(
    texto1, REGEXREPLACE(G676,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"),"Micaela Zavala Borrego")</f>
        <v>Micaela Zavala Borrego</v>
      </c>
      <c r="U676" s="22" t="str">
        <f t="shared" si="4"/>
        <v>5d97fe11-f95b-42c8-8f10-ab98a05aedf1</v>
      </c>
      <c r="V676" s="24" t="str">
        <f t="shared" si="5"/>
        <v>Tablet Pro 8GB</v>
      </c>
    </row>
    <row r="677" ht="15.75" customHeight="1">
      <c r="A677" s="6">
        <v>45613.0</v>
      </c>
      <c r="B677" s="2" t="s">
        <v>50</v>
      </c>
      <c r="C677" s="2" t="s">
        <v>698</v>
      </c>
      <c r="D677" s="7">
        <v>2269.51</v>
      </c>
      <c r="E677" s="2">
        <v>3.0</v>
      </c>
      <c r="F677" s="7">
        <v>6808.53</v>
      </c>
      <c r="G677" s="2" t="s">
        <v>2333</v>
      </c>
      <c r="H677" s="2" t="s">
        <v>2334</v>
      </c>
      <c r="I677" s="2" t="s">
        <v>2335</v>
      </c>
      <c r="K677" s="25" t="str">
        <f>IFERROR(__xludf.DUMMYFUNCTION("IF(ISBLANK(A677),
  """",
  IF(ISNUMBER(A677),
    TEXT(A677,""dd/mm/yyyy""),
    IF(
      REGEXMATCH(TRIM(A677),""^\d{1,2}/\d{1,2}/\d{4}$""),
      TRIM(A677),
      IFERROR(
        TEXT(DATEVALUE(SUBSTITUTE(SUBSTITUTE(TRIM(A677),""-"",""/""),""."",""/"&amp;""")),""dd/mm/yyyy""),
        TRIM(A677)
      )
    )
  )
)
"),"17/11/2024")</f>
        <v>17/11/2024</v>
      </c>
      <c r="L677" s="26">
        <v>45613.0</v>
      </c>
      <c r="M677" s="27" t="str">
        <f>IFERROR(__xludf.DUMMYFUNCTION("PROPER(TRIM(
  REGEXREPLACE(
    REGEXREPLACE(
      SUBSTITUTE(SUBSTITUTE(SUBSTITUTE(SUBSTITUTE(SUBSTITUTE(SUBSTITUTE(SUBSTITUTE(SUBSTITUTE(SUBSTITUTE(SUBSTITUTE(SUBSTITUTE(
        B677,""√©"",""é""),""√°"",""á""),""√±"",""ñ""),""√≥"",""ó""),""√â"",""é"&amp;"""),""√Å"",""á""),""√ç"",""í""),""√Ç"",""Í""),""√Â"",""é""),""√≠"",""í""),""√º"",""ú""),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77" s="28" t="str">
        <f>IFERROR(__xludf.DUMMYFUNCTION("SPLIT(
  TRIM(
    SUBSTITUTE(
      SUBSTITUTE(
        SUBSTITUTE(
          SUBSTITUTE(
            C677,
            ""√©"", ""é""
          ),
          ""√±"", ""ñ""
        ),
        ""√°"", ""á""
      ),
      ""√≥"", ""ó""
    )
  ),
  ""-""
)
"),"Laptop")</f>
        <v>Laptop</v>
      </c>
      <c r="O677" s="28" t="str">
        <f>IFERROR(__xludf.DUMMYFUNCTION("""COMPUTED_VALUE"""),"Ultraliviana")</f>
        <v>Ultraliviana</v>
      </c>
      <c r="P677" s="28" t="str">
        <f>IFERROR(__xludf.DUMMYFUNCTION("""COMPUTED_VALUE"""),"8GB")</f>
        <v>8GB</v>
      </c>
      <c r="Q677" s="29">
        <f t="shared" si="1"/>
        <v>2269.51</v>
      </c>
      <c r="R677" s="28">
        <f t="shared" si="2"/>
        <v>3</v>
      </c>
      <c r="S677" s="29">
        <f t="shared" si="3"/>
        <v>6808.53</v>
      </c>
      <c r="T677" s="28" t="str">
        <f>IFERROR(__xludf.DUMMYFUNCTION("PROPER(TRIM(
  LET(
    texto1, REGEXREPLACE(G677,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"),"Yolanda Elisa De La Garza")</f>
        <v>Yolanda Elisa De La Garza</v>
      </c>
      <c r="U677" s="28" t="str">
        <f t="shared" si="4"/>
        <v>63bf917d-0951-46b0-8ecc-bca9b657690f</v>
      </c>
      <c r="V677" s="30" t="str">
        <f t="shared" si="5"/>
        <v>Laptop Ultraliviana 8GB</v>
      </c>
    </row>
    <row r="678" ht="15.75" customHeight="1">
      <c r="A678" s="6">
        <v>45617.0</v>
      </c>
      <c r="B678" s="2" t="s">
        <v>101</v>
      </c>
      <c r="C678" s="2" t="s">
        <v>698</v>
      </c>
      <c r="D678" s="7">
        <v>299.66</v>
      </c>
      <c r="E678" s="2">
        <v>3.0</v>
      </c>
      <c r="F678" s="7">
        <v>898.98</v>
      </c>
      <c r="G678" s="2" t="s">
        <v>2336</v>
      </c>
      <c r="H678" s="2" t="s">
        <v>2337</v>
      </c>
      <c r="I678" s="2" t="s">
        <v>2338</v>
      </c>
      <c r="K678" s="19" t="str">
        <f>IFERROR(__xludf.DUMMYFUNCTION("IF(ISBLANK(A678),
  """",
  IF(ISNUMBER(A678),
    TEXT(A678,""dd/mm/yyyy""),
    IF(
      REGEXMATCH(TRIM(A678),""^\d{1,2}/\d{1,2}/\d{4}$""),
      TRIM(A678),
      IFERROR(
        TEXT(DATEVALUE(SUBSTITUTE(SUBSTITUTE(TRIM(A678),""-"",""/""),""."",""/"&amp;""")),""dd/mm/yyyy""),
        TRIM(A678)
      )
    )
  )
)
"),"21/11/2024")</f>
        <v>21/11/2024</v>
      </c>
      <c r="L678" s="20">
        <v>45617.0</v>
      </c>
      <c r="M678" s="21" t="str">
        <f>IFERROR(__xludf.DUMMYFUNCTION("PROPER(TRIM(
  REGEXREPLACE(
    REGEXREPLACE(
      SUBSTITUTE(SUBSTITUTE(SUBSTITUTE(SUBSTITUTE(SUBSTITUTE(SUBSTITUTE(SUBSTITUTE(SUBSTITUTE(SUBSTITUTE(SUBSTITUTE(SUBSTITUTE(
        B678,""√©"",""é""),""√°"",""á""),""√±"",""ñ""),""√≥"",""ó""),""√â"",""é"&amp;"""),""√Å"",""á""),""√ç"",""í""),""√Ç"",""Í""),""√Â"",""é""),""√≠"",""í""),""√º"",""ú""),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78" s="22" t="str">
        <f>IFERROR(__xludf.DUMMYFUNCTION("SPLIT(
  TRIM(
    SUBSTITUTE(
      SUBSTITUTE(
        SUBSTITUTE(
          SUBSTITUTE(
            C678,
            ""√©"", ""é""
          ),
          ""√±"", ""ñ""
        ),
        ""√°"", ""á""
      ),
      ""√≥"", ""ó""
    )
  ),
  ""-""
)
"),"Laptop")</f>
        <v>Laptop</v>
      </c>
      <c r="O678" s="22" t="str">
        <f>IFERROR(__xludf.DUMMYFUNCTION("""COMPUTED_VALUE"""),"Ultraliviana")</f>
        <v>Ultraliviana</v>
      </c>
      <c r="P678" s="22" t="str">
        <f>IFERROR(__xludf.DUMMYFUNCTION("""COMPUTED_VALUE"""),"8GB")</f>
        <v>8GB</v>
      </c>
      <c r="Q678" s="23">
        <f t="shared" si="1"/>
        <v>299.66</v>
      </c>
      <c r="R678" s="22">
        <f t="shared" si="2"/>
        <v>3</v>
      </c>
      <c r="S678" s="23">
        <f t="shared" si="3"/>
        <v>898.98</v>
      </c>
      <c r="T678" s="22" t="str">
        <f>IFERROR(__xludf.DUMMYFUNCTION("PROPER(TRIM(
  LET(
    texto1, REGEXREPLACE(G678,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"),"Emiliano Ofelia Luevano")</f>
        <v>Emiliano Ofelia Luevano</v>
      </c>
      <c r="U678" s="22" t="str">
        <f t="shared" si="4"/>
        <v>627df819-fafe-490b-ae7e-587db323ca23</v>
      </c>
      <c r="V678" s="24" t="str">
        <f t="shared" si="5"/>
        <v>Laptop Ultraliviana 8GB</v>
      </c>
    </row>
    <row r="679" ht="15.75" customHeight="1">
      <c r="A679" s="36">
        <v>45485.0</v>
      </c>
      <c r="B679" s="2" t="s">
        <v>16</v>
      </c>
      <c r="C679" s="2" t="s">
        <v>39</v>
      </c>
      <c r="D679" s="7">
        <v>2139.42</v>
      </c>
      <c r="E679" s="2">
        <v>4.0</v>
      </c>
      <c r="F679" s="7">
        <v>8557.68</v>
      </c>
      <c r="G679" s="2" t="s">
        <v>2339</v>
      </c>
      <c r="H679" s="2" t="s">
        <v>2340</v>
      </c>
      <c r="I679" s="2" t="s">
        <v>2341</v>
      </c>
      <c r="K679" s="25" t="str">
        <f>IFERROR(__xludf.DUMMYFUNCTION("IF(ISBLANK(A679),
  """",
  IF(ISNUMBER(A679),
    TEXT(A679,""dd/mm/yyyy""),
    IF(
      REGEXMATCH(TRIM(A679),""^\d{1,2}/\d{1,2}/\d{4}$""),
      TRIM(A679),
      IFERROR(
        TEXT(DATEVALUE(SUBSTITUTE(SUBSTITUTE(TRIM(A679),""-"",""/""),""."",""/"&amp;""")),""dd/mm/yyyy""),
        TRIM(A679)
      )
    )
  )
)
"),"12/07/2024")</f>
        <v>12/07/2024</v>
      </c>
      <c r="L679" s="26">
        <v>45485.0</v>
      </c>
      <c r="M679" s="27" t="str">
        <f>IFERROR(__xludf.DUMMYFUNCTION("PROPER(TRIM(
  REGEXREPLACE(
    REGEXREPLACE(
      SUBSTITUTE(SUBSTITUTE(SUBSTITUTE(SUBSTITUTE(SUBSTITUTE(SUBSTITUTE(SUBSTITUTE(SUBSTITUTE(SUBSTITUTE(SUBSTITUTE(SUBSTITUTE(
        B679,""√©"",""é""),""√°"",""á""),""√±"",""ñ""),""√≥"",""ó""),""√â"",""é"&amp;"""),""√Å"",""á""),""√ç"",""í""),""√Ç"",""Í""),""√Â"",""é""),""√≠"",""í""),""√º"",""ú""),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79" s="28" t="str">
        <f>IFERROR(__xludf.DUMMYFUNCTION("SPLIT(
  TRIM(
    SUBSTITUTE(
      SUBSTITUTE(
        SUBSTITUTE(
          SUBSTITUTE(
            C679,
            ""√©"", ""é""
          ),
          ""√±"", ""ñ""
        ),
        ""√°"", ""á""
      ),
      ""√≥"", ""ó""
    )
  ),
  ""-""
)
"),"Teléfono")</f>
        <v>Teléfono</v>
      </c>
      <c r="O679" s="28" t="str">
        <f>IFERROR(__xludf.DUMMYFUNCTION("""COMPUTED_VALUE"""),"Gama alta")</f>
        <v>Gama alta</v>
      </c>
      <c r="P679" s="28" t="str">
        <f>IFERROR(__xludf.DUMMYFUNCTION("""COMPUTED_VALUE"""),"8GB")</f>
        <v>8GB</v>
      </c>
      <c r="Q679" s="29">
        <f t="shared" si="1"/>
        <v>2139.42</v>
      </c>
      <c r="R679" s="28">
        <f t="shared" si="2"/>
        <v>4</v>
      </c>
      <c r="S679" s="29">
        <f t="shared" si="3"/>
        <v>8557.68</v>
      </c>
      <c r="T679" s="28" t="str">
        <f>IFERROR(__xludf.DUMMYFUNCTION("PROPER(TRIM(
  LET(
    texto1, REGEXREPLACE(G679,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"),"Juan Aranda")</f>
        <v>Juan Aranda</v>
      </c>
      <c r="U679" s="28" t="str">
        <f t="shared" si="4"/>
        <v>8d289647-c833-4bdd-9d10-71a2f5a73822</v>
      </c>
      <c r="V679" s="30" t="str">
        <f t="shared" si="5"/>
        <v>Teléfono Gama alta 8GB</v>
      </c>
    </row>
    <row r="680" ht="15.75" customHeight="1">
      <c r="A680" s="6">
        <v>45639.0</v>
      </c>
      <c r="B680" s="2" t="s">
        <v>85</v>
      </c>
      <c r="C680" s="2" t="s">
        <v>17</v>
      </c>
      <c r="D680" s="7">
        <v>1164.16</v>
      </c>
      <c r="E680" s="2">
        <v>4.0</v>
      </c>
      <c r="F680" s="7">
        <v>4656.64</v>
      </c>
      <c r="G680" s="2" t="s">
        <v>2342</v>
      </c>
      <c r="H680" s="2" t="s">
        <v>2343</v>
      </c>
      <c r="I680" s="2" t="s">
        <v>2344</v>
      </c>
      <c r="K680" s="19" t="str">
        <f>IFERROR(__xludf.DUMMYFUNCTION("IF(ISBLANK(A680),
  """",
  IF(ISNUMBER(A680),
    TEXT(A680,""dd/mm/yyyy""),
    IF(
      REGEXMATCH(TRIM(A680),""^\d{1,2}/\d{1,2}/\d{4}$""),
      TRIM(A680),
      IFERROR(
        TEXT(DATEVALUE(SUBSTITUTE(SUBSTITUTE(TRIM(A680),""-"",""/""),""."",""/"&amp;""")),""dd/mm/yyyy""),
        TRIM(A680)
      )
    )
  )
)
"),"13/12/2024")</f>
        <v>13/12/2024</v>
      </c>
      <c r="L680" s="20">
        <v>45639.0</v>
      </c>
      <c r="M680" s="21" t="str">
        <f>IFERROR(__xludf.DUMMYFUNCTION("PROPER(TRIM(
  REGEXREPLACE(
    REGEXREPLACE(
      SUBSTITUTE(SUBSTITUTE(SUBSTITUTE(SUBSTITUTE(SUBSTITUTE(SUBSTITUTE(SUBSTITUTE(SUBSTITUTE(SUBSTITUTE(SUBSTITUTE(SUBSTITUTE(
        B680,""√©"",""é""),""√°"",""á""),""√±"",""ñ""),""√≥"",""ó""),""√â"",""é"&amp;"""),""√Å"",""á""),""√ç"",""í""),""√Ç"",""Í""),""√Â"",""é""),""√≠"",""í""),""√º"",""ú""),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680" s="22" t="str">
        <f>IFERROR(__xludf.DUMMYFUNCTION("SPLIT(
  TRIM(
    SUBSTITUTE(
      SUBSTITUTE(
        SUBSTITUTE(
          SUBSTITUTE(
            C680,
            ""√©"", ""é""
          ),
          ""√±"", ""ñ""
        ),
        ""√°"", ""á""
      ),
      ""√≥"", ""ó""
    )
  ),
  ""-""
)
"),"Auriculares")</f>
        <v>Auriculares</v>
      </c>
      <c r="O680" s="22" t="str">
        <f>IFERROR(__xludf.DUMMYFUNCTION("""COMPUTED_VALUE"""),"Bluetooth")</f>
        <v>Bluetooth</v>
      </c>
      <c r="P680" s="22" t="str">
        <f>IFERROR(__xludf.DUMMYFUNCTION("""COMPUTED_VALUE"""),"8GB")</f>
        <v>8GB</v>
      </c>
      <c r="Q680" s="23">
        <f t="shared" si="1"/>
        <v>1164.16</v>
      </c>
      <c r="R680" s="22">
        <f t="shared" si="2"/>
        <v>4</v>
      </c>
      <c r="S680" s="23">
        <f t="shared" si="3"/>
        <v>4656.64</v>
      </c>
      <c r="T680" s="22" t="str">
        <f>IFERROR(__xludf.DUMMYFUNCTION("PROPER(TRIM(
  LET(
    texto1, REGEXREPLACE(G680,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"),"Wilfrido Daniela Alonso Gaytán")</f>
        <v>Wilfrido Daniela Alonso Gaytán</v>
      </c>
      <c r="U680" s="22" t="str">
        <f t="shared" si="4"/>
        <v>63edf886-6d4d-489d-a1a2-e321304707b2</v>
      </c>
      <c r="V680" s="24" t="str">
        <f t="shared" si="5"/>
        <v>Auriculares Bluetooth 8GB</v>
      </c>
    </row>
    <row r="681" ht="15.75" customHeight="1">
      <c r="A681" s="36">
        <v>45454.0</v>
      </c>
      <c r="B681" s="2" t="s">
        <v>50</v>
      </c>
      <c r="C681" s="2" t="s">
        <v>65</v>
      </c>
      <c r="D681" s="7">
        <v>2202.87</v>
      </c>
      <c r="E681" s="2">
        <v>5.0</v>
      </c>
      <c r="F681" s="7">
        <v>11014.35</v>
      </c>
      <c r="G681" s="2" t="s">
        <v>2345</v>
      </c>
      <c r="H681" s="2" t="s">
        <v>2346</v>
      </c>
      <c r="I681" s="2" t="s">
        <v>2347</v>
      </c>
      <c r="K681" s="25" t="str">
        <f>IFERROR(__xludf.DUMMYFUNCTION("IF(ISBLANK(A681),
  """",
  IF(ISNUMBER(A681),
    TEXT(A681,""dd/mm/yyyy""),
    IF(
      REGEXMATCH(TRIM(A681),""^\d{1,2}/\d{1,2}/\d{4}$""),
      TRIM(A681),
      IFERROR(
        TEXT(DATEVALUE(SUBSTITUTE(SUBSTITUTE(TRIM(A681),""-"",""/""),""."",""/"&amp;""")),""dd/mm/yyyy""),
        TRIM(A681)
      )
    )
  )
)
"),"11/06/2024")</f>
        <v>11/06/2024</v>
      </c>
      <c r="L681" s="26">
        <v>45454.0</v>
      </c>
      <c r="M681" s="27" t="str">
        <f>IFERROR(__xludf.DUMMYFUNCTION("PROPER(TRIM(
  REGEXREPLACE(
    REGEXREPLACE(
      SUBSTITUTE(SUBSTITUTE(SUBSTITUTE(SUBSTITUTE(SUBSTITUTE(SUBSTITUTE(SUBSTITUTE(SUBSTITUTE(SUBSTITUTE(SUBSTITUTE(SUBSTITUTE(
        B681,""√©"",""é""),""√°"",""á""),""√±"",""ñ""),""√≥"",""ó""),""√â"",""é"&amp;"""),""√Å"",""á""),""√ç"",""í""),""√Ç"",""Í""),""√Â"",""é""),""√≠"",""í""),""√º"",""ú""),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81" s="28" t="str">
        <f>IFERROR(__xludf.DUMMYFUNCTION("SPLIT(
  TRIM(
    SUBSTITUTE(
      SUBSTITUTE(
        SUBSTITUTE(
          SUBSTITUTE(
            C681,
            ""√©"", ""é""
          ),
          ""√±"", ""ñ""
        ),
        ""√°"", ""á""
      ),
      ""√≥"", ""ó""
    )
  ),
  ""-""
)
"),"Auriculares")</f>
        <v>Auriculares</v>
      </c>
      <c r="O681" s="28" t="str">
        <f>IFERROR(__xludf.DUMMYFUNCTION("""COMPUTED_VALUE"""),"Bluetooth")</f>
        <v>Bluetooth</v>
      </c>
      <c r="P681" s="28" t="str">
        <f>IFERROR(__xludf.DUMMYFUNCTION("""COMPUTED_VALUE"""),"16GB")</f>
        <v>16GB</v>
      </c>
      <c r="Q681" s="29">
        <f t="shared" si="1"/>
        <v>2202.87</v>
      </c>
      <c r="R681" s="28">
        <f t="shared" si="2"/>
        <v>5</v>
      </c>
      <c r="S681" s="29">
        <f t="shared" si="3"/>
        <v>11014.35</v>
      </c>
      <c r="T681" s="28" t="str">
        <f>IFERROR(__xludf.DUMMYFUNCTION("PROPER(TRIM(
  LET(
    texto1, REGEXREPLACE(G681,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"),"Lucía Patricia Ybarra Segovia")</f>
        <v>Lucía Patricia Ybarra Segovia</v>
      </c>
      <c r="U681" s="28" t="str">
        <f t="shared" si="4"/>
        <v>afb698db-e120-4b30-95a6-9232db712b80</v>
      </c>
      <c r="V681" s="30" t="str">
        <f t="shared" si="5"/>
        <v>Auriculares Bluetooth 16GB</v>
      </c>
    </row>
    <row r="682" ht="15.75" customHeight="1">
      <c r="A682" s="36">
        <v>45483.0</v>
      </c>
      <c r="B682" s="2" t="s">
        <v>38</v>
      </c>
      <c r="C682" s="2" t="s">
        <v>250</v>
      </c>
      <c r="D682" s="7">
        <v>386.85</v>
      </c>
      <c r="E682" s="2">
        <v>2.0</v>
      </c>
      <c r="F682" s="7">
        <v>773.7</v>
      </c>
      <c r="G682" s="2" t="s">
        <v>2348</v>
      </c>
      <c r="H682" s="2" t="s">
        <v>2349</v>
      </c>
      <c r="I682" s="2" t="s">
        <v>2350</v>
      </c>
      <c r="K682" s="19" t="str">
        <f>IFERROR(__xludf.DUMMYFUNCTION("IF(ISBLANK(A682),
  """",
  IF(ISNUMBER(A682),
    TEXT(A682,""dd/mm/yyyy""),
    IF(
      REGEXMATCH(TRIM(A682),""^\d{1,2}/\d{1,2}/\d{4}$""),
      TRIM(A682),
      IFERROR(
        TEXT(DATEVALUE(SUBSTITUTE(SUBSTITUTE(TRIM(A682),""-"",""/""),""."",""/"&amp;""")),""dd/mm/yyyy""),
        TRIM(A682)
      )
    )
  )
)
"),"10/07/2024")</f>
        <v>10/07/2024</v>
      </c>
      <c r="L682" s="20">
        <v>45483.0</v>
      </c>
      <c r="M682" s="21" t="str">
        <f>IFERROR(__xludf.DUMMYFUNCTION("PROPER(TRIM(
  REGEXREPLACE(
    REGEXREPLACE(
      SUBSTITUTE(SUBSTITUTE(SUBSTITUTE(SUBSTITUTE(SUBSTITUTE(SUBSTITUTE(SUBSTITUTE(SUBSTITUTE(SUBSTITUTE(SUBSTITUTE(SUBSTITUTE(
        B682,""√©"",""é""),""√°"",""á""),""√±"",""ñ""),""√≥"",""ó""),""√â"",""é"&amp;"""),""√Å"",""á""),""√ç"",""í""),""√Ç"",""Í""),""√Â"",""é""),""√≠"",""í""),""√º"",""ú""),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82" s="22" t="str">
        <f>IFERROR(__xludf.DUMMYFUNCTION("SPLIT(
  TRIM(
    SUBSTITUTE(
      SUBSTITUTE(
        SUBSTITUTE(
          SUBSTITUTE(
            C682,
            ""√©"", ""é""
          ),
          ""√±"", ""ñ""
        ),
        ""√°"", ""á""
      ),
      ""√≥"", ""ó""
    )
  ),
  ""-""
)
"),"Laptop")</f>
        <v>Laptop</v>
      </c>
      <c r="O682" s="22" t="str">
        <f>IFERROR(__xludf.DUMMYFUNCTION("""COMPUTED_VALUE"""),"Oficina")</f>
        <v>Oficina</v>
      </c>
      <c r="P682" s="22" t="str">
        <f>IFERROR(__xludf.DUMMYFUNCTION("""COMPUTED_VALUE"""),"32GB")</f>
        <v>32GB</v>
      </c>
      <c r="Q682" s="23">
        <f t="shared" si="1"/>
        <v>386.85</v>
      </c>
      <c r="R682" s="22">
        <f t="shared" si="2"/>
        <v>2</v>
      </c>
      <c r="S682" s="23">
        <f t="shared" si="3"/>
        <v>773.7</v>
      </c>
      <c r="T682" s="22" t="str">
        <f>IFERROR(__xludf.DUMMYFUNCTION("PROPER(TRIM(
  LET(
    texto1, REGEXREPLACE(G682,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"),"Yolanda Emilio Marín Arenas")</f>
        <v>Yolanda Emilio Marín Arenas</v>
      </c>
      <c r="U682" s="22" t="str">
        <f t="shared" si="4"/>
        <v>503faa4c-b2dd-4a4c-83f9-fae7ecfc966c</v>
      </c>
      <c r="V682" s="24" t="str">
        <f t="shared" si="5"/>
        <v>Laptop Oficina 32GB</v>
      </c>
    </row>
    <row r="683" ht="15.75" customHeight="1">
      <c r="A683" s="6">
        <v>45647.0</v>
      </c>
      <c r="B683" s="2" t="s">
        <v>50</v>
      </c>
      <c r="C683" s="2" t="s">
        <v>28</v>
      </c>
      <c r="D683" s="7">
        <v>2461.26</v>
      </c>
      <c r="E683" s="2">
        <v>3.0</v>
      </c>
      <c r="F683" s="7">
        <v>7383.78</v>
      </c>
      <c r="G683" s="2" t="s">
        <v>2351</v>
      </c>
      <c r="H683" s="2" t="s">
        <v>2352</v>
      </c>
      <c r="I683" s="2" t="s">
        <v>2353</v>
      </c>
      <c r="K683" s="25" t="str">
        <f>IFERROR(__xludf.DUMMYFUNCTION("IF(ISBLANK(A683),
  """",
  IF(ISNUMBER(A683),
    TEXT(A683,""dd/mm/yyyy""),
    IF(
      REGEXMATCH(TRIM(A683),""^\d{1,2}/\d{1,2}/\d{4}$""),
      TRIM(A683),
      IFERROR(
        TEXT(DATEVALUE(SUBSTITUTE(SUBSTITUTE(TRIM(A683),""-"",""/""),""."",""/"&amp;""")),""dd/mm/yyyy""),
        TRIM(A683)
      )
    )
  )
)
"),"21/12/2024")</f>
        <v>21/12/2024</v>
      </c>
      <c r="L683" s="26">
        <v>45647.0</v>
      </c>
      <c r="M683" s="27" t="str">
        <f>IFERROR(__xludf.DUMMYFUNCTION("PROPER(TRIM(
  REGEXREPLACE(
    REGEXREPLACE(
      SUBSTITUTE(SUBSTITUTE(SUBSTITUTE(SUBSTITUTE(SUBSTITUTE(SUBSTITUTE(SUBSTITUTE(SUBSTITUTE(SUBSTITUTE(SUBSTITUTE(SUBSTITUTE(
        B683,""√©"",""é""),""√°"",""á""),""√±"",""ñ""),""√≥"",""ó""),""√â"",""é"&amp;"""),""√Å"",""á""),""√ç"",""í""),""√Ç"",""Í""),""√Â"",""é""),""√≠"",""í""),""√º"",""ú""),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83" s="28" t="str">
        <f>IFERROR(__xludf.DUMMYFUNCTION("SPLIT(
  TRIM(
    SUBSTITUTE(
      SUBSTITUTE(
        SUBSTITUTE(
          SUBSTITUTE(
            C683,
            ""√©"", ""é""
          ),
          ""√±"", ""ñ""
        ),
        ""√°"", ""á""
      ),
      ""√≥"", ""ó""
    )
  ),
  ""-""
)
"),"Tablet")</f>
        <v>Tablet</v>
      </c>
      <c r="O683" s="28" t="str">
        <f>IFERROR(__xludf.DUMMYFUNCTION("""COMPUTED_VALUE"""),"Pro")</f>
        <v>Pro</v>
      </c>
      <c r="P683" s="28" t="str">
        <f>IFERROR(__xludf.DUMMYFUNCTION("""COMPUTED_VALUE"""),"8GB")</f>
        <v>8GB</v>
      </c>
      <c r="Q683" s="29">
        <f t="shared" si="1"/>
        <v>2461.26</v>
      </c>
      <c r="R683" s="28">
        <f t="shared" si="2"/>
        <v>3</v>
      </c>
      <c r="S683" s="29">
        <f t="shared" si="3"/>
        <v>7383.78</v>
      </c>
      <c r="T683" s="28" t="str">
        <f>IFERROR(__xludf.DUMMYFUNCTION("PROPER(TRIM(
  LET(
    texto1, REGEXREPLACE(G683,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Teresa Citlali Negrete")</f>
        <v>María Teresa Citlali Negrete</v>
      </c>
      <c r="U683" s="28" t="str">
        <f t="shared" si="4"/>
        <v>f6d11075-7912-4e6a-b081-b8502c35c2e8</v>
      </c>
      <c r="V683" s="30" t="str">
        <f t="shared" si="5"/>
        <v>Tablet Pro 8GB</v>
      </c>
    </row>
    <row r="684" ht="15.75" customHeight="1">
      <c r="A684" s="36">
        <v>45301.0</v>
      </c>
      <c r="B684" s="2" t="s">
        <v>38</v>
      </c>
      <c r="C684" s="2" t="s">
        <v>96</v>
      </c>
      <c r="D684" s="7">
        <v>469.22</v>
      </c>
      <c r="E684" s="2">
        <v>1.0</v>
      </c>
      <c r="F684" s="7">
        <v>469.22</v>
      </c>
      <c r="G684" s="2" t="s">
        <v>2354</v>
      </c>
      <c r="H684" s="2" t="s">
        <v>2355</v>
      </c>
      <c r="I684" s="2" t="s">
        <v>2356</v>
      </c>
      <c r="K684" s="19" t="str">
        <f>IFERROR(__xludf.DUMMYFUNCTION("IF(ISBLANK(A684),
  """",
  IF(ISNUMBER(A684),
    TEXT(A684,""dd/mm/yyyy""),
    IF(
      REGEXMATCH(TRIM(A684),""^\d{1,2}/\d{1,2}/\d{4}$""),
      TRIM(A684),
      IFERROR(
        TEXT(DATEVALUE(SUBSTITUTE(SUBSTITUTE(TRIM(A684),""-"",""/""),""."",""/"&amp;""")),""dd/mm/yyyy""),
        TRIM(A684)
      )
    )
  )
)
"),"10/01/2024")</f>
        <v>10/01/2024</v>
      </c>
      <c r="L684" s="20">
        <v>45301.0</v>
      </c>
      <c r="M684" s="21" t="str">
        <f>IFERROR(__xludf.DUMMYFUNCTION("PROPER(TRIM(
  REGEXREPLACE(
    REGEXREPLACE(
      SUBSTITUTE(SUBSTITUTE(SUBSTITUTE(SUBSTITUTE(SUBSTITUTE(SUBSTITUTE(SUBSTITUTE(SUBSTITUTE(SUBSTITUTE(SUBSTITUTE(SUBSTITUTE(
        B684,""√©"",""é""),""√°"",""á""),""√±"",""ñ""),""√≥"",""ó""),""√â"",""é"&amp;"""),""√Å"",""á""),""√ç"",""í""),""√Ç"",""Í""),""√Â"",""é""),""√≠"",""í""),""√º"",""ú""),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84" s="22" t="str">
        <f>IFERROR(__xludf.DUMMYFUNCTION("SPLIT(
  TRIM(
    SUBSTITUTE(
      SUBSTITUTE(
        SUBSTITUTE(
          SUBSTITUTE(
            C684,
            ""√©"", ""é""
          ),
          ""√±"", ""ñ""
        ),
        ""√°"", ""á""
      ),
      ""√≥"", ""ó""
    )
  ),
  ""-""
)
"),"Auriculares")</f>
        <v>Auriculares</v>
      </c>
      <c r="O684" s="22" t="str">
        <f>IFERROR(__xludf.DUMMYFUNCTION("""COMPUTED_VALUE"""),"Cancelación de ruido")</f>
        <v>Cancelación de ruido</v>
      </c>
      <c r="P684" s="22" t="str">
        <f>IFERROR(__xludf.DUMMYFUNCTION("""COMPUTED_VALUE"""),"4GB")</f>
        <v>4GB</v>
      </c>
      <c r="Q684" s="23">
        <f t="shared" si="1"/>
        <v>469.22</v>
      </c>
      <c r="R684" s="22">
        <f t="shared" si="2"/>
        <v>1</v>
      </c>
      <c r="S684" s="23">
        <f t="shared" si="3"/>
        <v>469.22</v>
      </c>
      <c r="T684" s="22" t="str">
        <f>IFERROR(__xludf.DUMMYFUNCTION("PROPER(TRIM(
  LET(
    texto1, REGEXREPLACE(G684,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"),"Cristian Godínez")</f>
        <v>Cristian Godínez</v>
      </c>
      <c r="U684" s="22" t="str">
        <f t="shared" si="4"/>
        <v>9c256de2-6001-4873-beef-336a82436867</v>
      </c>
      <c r="V684" s="24" t="str">
        <f t="shared" si="5"/>
        <v>Auriculares Cancelación de ruido 4GB</v>
      </c>
    </row>
    <row r="685" ht="15.75" customHeight="1">
      <c r="A685" s="36">
        <v>45607.0</v>
      </c>
      <c r="B685" s="2" t="s">
        <v>27</v>
      </c>
      <c r="C685" s="2" t="s">
        <v>226</v>
      </c>
      <c r="D685" s="7">
        <v>499.69</v>
      </c>
      <c r="E685" s="2">
        <v>1.0</v>
      </c>
      <c r="F685" s="7">
        <v>499.69</v>
      </c>
      <c r="G685" s="2" t="s">
        <v>2357</v>
      </c>
      <c r="H685" s="2" t="s">
        <v>2358</v>
      </c>
      <c r="I685" s="2" t="s">
        <v>2359</v>
      </c>
      <c r="K685" s="25" t="str">
        <f>IFERROR(__xludf.DUMMYFUNCTION("IF(ISBLANK(A685),
  """",
  IF(ISNUMBER(A685),
    TEXT(A685,""dd/mm/yyyy""),
    IF(
      REGEXMATCH(TRIM(A685),""^\d{1,2}/\d{1,2}/\d{4}$""),
      TRIM(A685),
      IFERROR(
        TEXT(DATEVALUE(SUBSTITUTE(SUBSTITUTE(TRIM(A685),""-"",""/""),""."",""/"&amp;""")),""dd/mm/yyyy""),
        TRIM(A685)
      )
    )
  )
)
"),"11/11/2024")</f>
        <v>11/11/2024</v>
      </c>
      <c r="L685" s="26">
        <v>45607.0</v>
      </c>
      <c r="M685" s="27" t="str">
        <f>IFERROR(__xludf.DUMMYFUNCTION("PROPER(TRIM(
  REGEXREPLACE(
    REGEXREPLACE(
      SUBSTITUTE(SUBSTITUTE(SUBSTITUTE(SUBSTITUTE(SUBSTITUTE(SUBSTITUTE(SUBSTITUTE(SUBSTITUTE(SUBSTITUTE(SUBSTITUTE(SUBSTITUTE(
        B685,""√©"",""é""),""√°"",""á""),""√±"",""ñ""),""√≥"",""ó""),""√â"",""é"&amp;"""),""√Å"",""á""),""√ç"",""í""),""√Ç"",""Í""),""√Â"",""é""),""√≠"",""í""),""√º"",""ú""),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85" s="28" t="str">
        <f>IFERROR(__xludf.DUMMYFUNCTION("SPLIT(
  TRIM(
    SUBSTITUTE(
      SUBSTITUTE(
        SUBSTITUTE(
          SUBSTITUTE(
            C685,
            ""√©"", ""é""
          ),
          ""√±"", ""ñ""
        ),
        ""√°"", ""á""
      ),
      ""√≥"", ""ó""
    )
  ),
  ""-""
)
"),"Tablet")</f>
        <v>Tablet</v>
      </c>
      <c r="O685" s="28" t="str">
        <f>IFERROR(__xludf.DUMMYFUNCTION("""COMPUTED_VALUE"""),"Mini")</f>
        <v>Mini</v>
      </c>
      <c r="P685" s="28" t="str">
        <f>IFERROR(__xludf.DUMMYFUNCTION("""COMPUTED_VALUE"""),"16GB")</f>
        <v>16GB</v>
      </c>
      <c r="Q685" s="29">
        <f t="shared" si="1"/>
        <v>499.69</v>
      </c>
      <c r="R685" s="28">
        <f t="shared" si="2"/>
        <v>1</v>
      </c>
      <c r="S685" s="29">
        <f t="shared" si="3"/>
        <v>499.69</v>
      </c>
      <c r="T685" s="28" t="str">
        <f>IFERROR(__xludf.DUMMYFUNCTION("PROPER(TRIM(
  LET(
    texto1, REGEXREPLACE(G685,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"),"Alejandro Aida Esquibel Candelaria")</f>
        <v>Alejandro Aida Esquibel Candelaria</v>
      </c>
      <c r="U685" s="28" t="str">
        <f t="shared" si="4"/>
        <v>a684008b-46bc-446c-9f1d-5210c524215e</v>
      </c>
      <c r="V685" s="30" t="str">
        <f t="shared" si="5"/>
        <v>Tablet Mini 16GB</v>
      </c>
    </row>
    <row r="686" ht="15.75" customHeight="1">
      <c r="A686" s="6">
        <v>45593.0</v>
      </c>
      <c r="B686" s="2" t="s">
        <v>16</v>
      </c>
      <c r="C686" s="2" t="s">
        <v>28</v>
      </c>
      <c r="D686" s="7">
        <v>2493.45</v>
      </c>
      <c r="E686" s="2">
        <v>2.0</v>
      </c>
      <c r="F686" s="7">
        <v>4986.9</v>
      </c>
      <c r="G686" s="2" t="s">
        <v>2360</v>
      </c>
      <c r="H686" s="2" t="s">
        <v>2361</v>
      </c>
      <c r="I686" s="2" t="s">
        <v>2362</v>
      </c>
      <c r="K686" s="19" t="str">
        <f>IFERROR(__xludf.DUMMYFUNCTION("IF(ISBLANK(A686),
  """",
  IF(ISNUMBER(A686),
    TEXT(A686,""dd/mm/yyyy""),
    IF(
      REGEXMATCH(TRIM(A686),""^\d{1,2}/\d{1,2}/\d{4}$""),
      TRIM(A686),
      IFERROR(
        TEXT(DATEVALUE(SUBSTITUTE(SUBSTITUTE(TRIM(A686),""-"",""/""),""."",""/"&amp;""")),""dd/mm/yyyy""),
        TRIM(A686)
      )
    )
  )
)
"),"28/10/2024")</f>
        <v>28/10/2024</v>
      </c>
      <c r="L686" s="20">
        <v>45593.0</v>
      </c>
      <c r="M686" s="21" t="str">
        <f>IFERROR(__xludf.DUMMYFUNCTION("PROPER(TRIM(
  REGEXREPLACE(
    REGEXREPLACE(
      SUBSTITUTE(SUBSTITUTE(SUBSTITUTE(SUBSTITUTE(SUBSTITUTE(SUBSTITUTE(SUBSTITUTE(SUBSTITUTE(SUBSTITUTE(SUBSTITUTE(SUBSTITUTE(
        B686,""√©"",""é""),""√°"",""á""),""√±"",""ñ""),""√≥"",""ó""),""√â"",""é"&amp;"""),""√Å"",""á""),""√ç"",""í""),""√Ç"",""Í""),""√Â"",""é""),""√≠"",""í""),""√º"",""ú""),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86" s="22" t="str">
        <f>IFERROR(__xludf.DUMMYFUNCTION("SPLIT(
  TRIM(
    SUBSTITUTE(
      SUBSTITUTE(
        SUBSTITUTE(
          SUBSTITUTE(
            C686,
            ""√©"", ""é""
          ),
          ""√±"", ""ñ""
        ),
        ""√°"", ""á""
      ),
      ""√≥"", ""ó""
    )
  ),
  ""-""
)
"),"Tablet")</f>
        <v>Tablet</v>
      </c>
      <c r="O686" s="22" t="str">
        <f>IFERROR(__xludf.DUMMYFUNCTION("""COMPUTED_VALUE"""),"Pro")</f>
        <v>Pro</v>
      </c>
      <c r="P686" s="22" t="str">
        <f>IFERROR(__xludf.DUMMYFUNCTION("""COMPUTED_VALUE"""),"8GB")</f>
        <v>8GB</v>
      </c>
      <c r="Q686" s="23">
        <f t="shared" si="1"/>
        <v>2493.45</v>
      </c>
      <c r="R686" s="22">
        <f t="shared" si="2"/>
        <v>2</v>
      </c>
      <c r="S686" s="23">
        <f t="shared" si="3"/>
        <v>4986.9</v>
      </c>
      <c r="T686" s="22" t="str">
        <f>IFERROR(__xludf.DUMMYFUNCTION("PROPER(TRIM(
  LET(
    texto1, REGEXREPLACE(G686,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"),"Luz Eduardo Villegas León")</f>
        <v>Luz Eduardo Villegas León</v>
      </c>
      <c r="U686" s="22" t="str">
        <f t="shared" si="4"/>
        <v>9e5f6867-749d-4b5b-97ef-2330c2558d3d</v>
      </c>
      <c r="V686" s="24" t="str">
        <f t="shared" si="5"/>
        <v>Tablet Pro 8GB</v>
      </c>
    </row>
    <row r="687" ht="15.75" customHeight="1">
      <c r="A687" s="6">
        <v>45617.0</v>
      </c>
      <c r="B687" s="2" t="s">
        <v>38</v>
      </c>
      <c r="C687" s="2" t="s">
        <v>311</v>
      </c>
      <c r="D687" s="7">
        <v>510.78</v>
      </c>
      <c r="E687" s="2">
        <v>3.0</v>
      </c>
      <c r="F687" s="7">
        <v>1532.34</v>
      </c>
      <c r="G687" s="2" t="s">
        <v>2363</v>
      </c>
      <c r="H687" s="2" t="s">
        <v>2364</v>
      </c>
      <c r="I687" s="2" t="s">
        <v>2365</v>
      </c>
      <c r="K687" s="25" t="str">
        <f>IFERROR(__xludf.DUMMYFUNCTION("IF(ISBLANK(A687),
  """",
  IF(ISNUMBER(A687),
    TEXT(A687,""dd/mm/yyyy""),
    IF(
      REGEXMATCH(TRIM(A687),""^\d{1,2}/\d{1,2}/\d{4}$""),
      TRIM(A687),
      IFERROR(
        TEXT(DATEVALUE(SUBSTITUTE(SUBSTITUTE(TRIM(A687),""-"",""/""),""."",""/"&amp;""")),""dd/mm/yyyy""),
        TRIM(A687)
      )
    )
  )
)
"),"21/11/2024")</f>
        <v>21/11/2024</v>
      </c>
      <c r="L687" s="26">
        <v>45617.0</v>
      </c>
      <c r="M687" s="27" t="str">
        <f>IFERROR(__xludf.DUMMYFUNCTION("PROPER(TRIM(
  REGEXREPLACE(
    REGEXREPLACE(
      SUBSTITUTE(SUBSTITUTE(SUBSTITUTE(SUBSTITUTE(SUBSTITUTE(SUBSTITUTE(SUBSTITUTE(SUBSTITUTE(SUBSTITUTE(SUBSTITUTE(SUBSTITUTE(
        B687,""√©"",""é""),""√°"",""á""),""√±"",""ñ""),""√≥"",""ó""),""√â"",""é"&amp;"""),""√Å"",""á""),""√ç"",""í""),""√Ç"",""Í""),""√Â"",""é""),""√≠"",""í""),""√º"",""ú""),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87" s="28" t="str">
        <f>IFERROR(__xludf.DUMMYFUNCTION("SPLIT(
  TRIM(
    SUBSTITUTE(
      SUBSTITUTE(
        SUBSTITUTE(
          SUBSTITUTE(
            C687,
            ""√©"", ""é""
          ),
          ""√±"", ""ñ""
        ),
        ""√°"", ""á""
      ),
      ""√≥"", ""ó""
    )
  ),
  ""-""
)
"),"Laptop")</f>
        <v>Laptop</v>
      </c>
      <c r="O687" s="28" t="str">
        <f>IFERROR(__xludf.DUMMYFUNCTION("""COMPUTED_VALUE"""),"Oficina")</f>
        <v>Oficina</v>
      </c>
      <c r="P687" s="28" t="str">
        <f>IFERROR(__xludf.DUMMYFUNCTION("""COMPUTED_VALUE"""),"4GB")</f>
        <v>4GB</v>
      </c>
      <c r="Q687" s="29">
        <f t="shared" si="1"/>
        <v>510.78</v>
      </c>
      <c r="R687" s="28">
        <f t="shared" si="2"/>
        <v>3</v>
      </c>
      <c r="S687" s="29">
        <f t="shared" si="3"/>
        <v>1532.34</v>
      </c>
      <c r="T687" s="28" t="str">
        <f>IFERROR(__xludf.DUMMYFUNCTION("PROPER(TRIM(
  LET(
    texto1, REGEXREPLACE(G687,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"),"Alejandra Marco Antonio Salas Contreras")</f>
        <v>Alejandra Marco Antonio Salas Contreras</v>
      </c>
      <c r="U687" s="28" t="str">
        <f t="shared" si="4"/>
        <v>200bbda1-4911-48eb-b2f0-a013eecdf376</v>
      </c>
      <c r="V687" s="30" t="str">
        <f t="shared" si="5"/>
        <v>Laptop Oficina 4GB</v>
      </c>
    </row>
    <row r="688" ht="15.75" customHeight="1">
      <c r="A688" s="6">
        <v>45615.0</v>
      </c>
      <c r="B688" s="2" t="s">
        <v>27</v>
      </c>
      <c r="C688" s="2" t="s">
        <v>397</v>
      </c>
      <c r="D688" s="7">
        <v>221.44</v>
      </c>
      <c r="E688" s="2">
        <v>3.0</v>
      </c>
      <c r="F688" s="7">
        <v>664.32</v>
      </c>
      <c r="G688" s="2" t="s">
        <v>2366</v>
      </c>
      <c r="H688" s="2" t="s">
        <v>2367</v>
      </c>
      <c r="I688" s="2" t="s">
        <v>2368</v>
      </c>
      <c r="K688" s="19" t="str">
        <f>IFERROR(__xludf.DUMMYFUNCTION("IF(ISBLANK(A688),
  """",
  IF(ISNUMBER(A688),
    TEXT(A688,""dd/mm/yyyy""),
    IF(
      REGEXMATCH(TRIM(A688),""^\d{1,2}/\d{1,2}/\d{4}$""),
      TRIM(A688),
      IFERROR(
        TEXT(DATEVALUE(SUBSTITUTE(SUBSTITUTE(TRIM(A688),""-"",""/""),""."",""/"&amp;""")),""dd/mm/yyyy""),
        TRIM(A688)
      )
    )
  )
)
"),"19/11/2024")</f>
        <v>19/11/2024</v>
      </c>
      <c r="L688" s="20">
        <v>45615.0</v>
      </c>
      <c r="M688" s="21" t="str">
        <f>IFERROR(__xludf.DUMMYFUNCTION("PROPER(TRIM(
  REGEXREPLACE(
    REGEXREPLACE(
      SUBSTITUTE(SUBSTITUTE(SUBSTITUTE(SUBSTITUTE(SUBSTITUTE(SUBSTITUTE(SUBSTITUTE(SUBSTITUTE(SUBSTITUTE(SUBSTITUTE(SUBSTITUTE(
        B688,""√©"",""é""),""√°"",""á""),""√±"",""ñ""),""√≥"",""ó""),""√â"",""é"&amp;"""),""√Å"",""á""),""√ç"",""í""),""√Ç"",""Í""),""√Â"",""é""),""√≠"",""í""),""√º"",""ú""),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88" s="22" t="str">
        <f>IFERROR(__xludf.DUMMYFUNCTION("SPLIT(
  TRIM(
    SUBSTITUTE(
      SUBSTITUTE(
        SUBSTITUTE(
          SUBSTITUTE(
            C688,
            ""√©"", ""é""
          ),
          ""√±"", ""ñ""
        ),
        ""√°"", ""á""
      ),
      ""√≥"", ""ó""
    )
  ),
  ""-""
)
"),"Teléfono")</f>
        <v>Teléfono</v>
      </c>
      <c r="O688" s="22" t="str">
        <f>IFERROR(__xludf.DUMMYFUNCTION("""COMPUTED_VALUE"""),"Gama media")</f>
        <v>Gama media</v>
      </c>
      <c r="P688" s="22" t="str">
        <f>IFERROR(__xludf.DUMMYFUNCTION("""COMPUTED_VALUE"""),"32GB")</f>
        <v>32GB</v>
      </c>
      <c r="Q688" s="23">
        <f t="shared" si="1"/>
        <v>221.44</v>
      </c>
      <c r="R688" s="22">
        <f t="shared" si="2"/>
        <v>3</v>
      </c>
      <c r="S688" s="23">
        <f t="shared" si="3"/>
        <v>664.32</v>
      </c>
      <c r="T688" s="22" t="str">
        <f>IFERROR(__xludf.DUMMYFUNCTION("PROPER(TRIM(
  LET(
    texto1, REGEXREPLACE(G688,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"),"Delia Jacinto Quintanilla Olvera")</f>
        <v>Delia Jacinto Quintanilla Olvera</v>
      </c>
      <c r="U688" s="22" t="str">
        <f t="shared" si="4"/>
        <v>4f7b91d2-aac8-4620-9241-12ffa5035fae</v>
      </c>
      <c r="V688" s="24" t="str">
        <f t="shared" si="5"/>
        <v>Teléfono Gama media 32GB</v>
      </c>
    </row>
    <row r="689" ht="15.75" customHeight="1">
      <c r="A689" s="6">
        <v>45609.0</v>
      </c>
      <c r="B689" s="2" t="s">
        <v>27</v>
      </c>
      <c r="C689" s="2" t="s">
        <v>33</v>
      </c>
      <c r="D689" s="7">
        <v>1177.91</v>
      </c>
      <c r="E689" s="2">
        <v>2.0</v>
      </c>
      <c r="F689" s="7">
        <v>2355.82</v>
      </c>
      <c r="G689" s="2" t="s">
        <v>2369</v>
      </c>
      <c r="H689" s="2" t="s">
        <v>2370</v>
      </c>
      <c r="I689" s="2" t="s">
        <v>2371</v>
      </c>
      <c r="K689" s="25" t="str">
        <f>IFERROR(__xludf.DUMMYFUNCTION("IF(ISBLANK(A689),
  """",
  IF(ISNUMBER(A689),
    TEXT(A689,""dd/mm/yyyy""),
    IF(
      REGEXMATCH(TRIM(A689),""^\d{1,2}/\d{1,2}/\d{4}$""),
      TRIM(A689),
      IFERROR(
        TEXT(DATEVALUE(SUBSTITUTE(SUBSTITUTE(TRIM(A689),""-"",""/""),""."",""/"&amp;""")),""dd/mm/yyyy""),
        TRIM(A689)
      )
    )
  )
)
"),"13/11/2024")</f>
        <v>13/11/2024</v>
      </c>
      <c r="L689" s="26">
        <v>45609.0</v>
      </c>
      <c r="M689" s="27" t="str">
        <f>IFERROR(__xludf.DUMMYFUNCTION("PROPER(TRIM(
  REGEXREPLACE(
    REGEXREPLACE(
      SUBSTITUTE(SUBSTITUTE(SUBSTITUTE(SUBSTITUTE(SUBSTITUTE(SUBSTITUTE(SUBSTITUTE(SUBSTITUTE(SUBSTITUTE(SUBSTITUTE(SUBSTITUTE(
        B689,""√©"",""é""),""√°"",""á""),""√±"",""ñ""),""√≥"",""ó""),""√â"",""é"&amp;"""),""√Å"",""á""),""√ç"",""í""),""√Ç"",""Í""),""√Â"",""é""),""√≠"",""í""),""√º"",""ú""),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89" s="28" t="str">
        <f>IFERROR(__xludf.DUMMYFUNCTION("SPLIT(
  TRIM(
    SUBSTITUTE(
      SUBSTITUTE(
        SUBSTITUTE(
          SUBSTITUTE(
            C689,
            ""√©"", ""é""
          ),
          ""√±"", ""ñ""
        ),
        ""√°"", ""á""
      ),
      ""√≥"", ""ó""
    )
  ),
  ""-""
)
"),"Teléfono")</f>
        <v>Teléfono</v>
      </c>
      <c r="O689" s="28" t="str">
        <f>IFERROR(__xludf.DUMMYFUNCTION("""COMPUTED_VALUE"""),"Gama alta")</f>
        <v>Gama alta</v>
      </c>
      <c r="P689" s="28" t="str">
        <f>IFERROR(__xludf.DUMMYFUNCTION("""COMPUTED_VALUE"""),"4GB")</f>
        <v>4GB</v>
      </c>
      <c r="Q689" s="29">
        <f t="shared" si="1"/>
        <v>1177.91</v>
      </c>
      <c r="R689" s="28">
        <f t="shared" si="2"/>
        <v>2</v>
      </c>
      <c r="S689" s="29">
        <f t="shared" si="3"/>
        <v>2355.82</v>
      </c>
      <c r="T689" s="28" t="str">
        <f>IFERROR(__xludf.DUMMYFUNCTION("PROPER(TRIM(
  LET(
    texto1, REGEXREPLACE(G689,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"),"Eugenio Marcos Lara")</f>
        <v>Eugenio Marcos Lara</v>
      </c>
      <c r="U689" s="28" t="str">
        <f t="shared" si="4"/>
        <v>1f9cafc0-71e6-4941-89cd-cd0654b8509f</v>
      </c>
      <c r="V689" s="30" t="str">
        <f t="shared" si="5"/>
        <v>Teléfono Gama alta 4GB</v>
      </c>
    </row>
    <row r="690" ht="15.75" customHeight="1">
      <c r="A690" s="36">
        <v>45393.0</v>
      </c>
      <c r="B690" s="2" t="s">
        <v>16</v>
      </c>
      <c r="C690" s="2" t="s">
        <v>96</v>
      </c>
      <c r="D690" s="7">
        <v>2100.59</v>
      </c>
      <c r="E690" s="2">
        <v>2.0</v>
      </c>
      <c r="F690" s="7">
        <v>4201.18</v>
      </c>
      <c r="G690" s="2" t="s">
        <v>2372</v>
      </c>
      <c r="H690" s="2" t="s">
        <v>2373</v>
      </c>
      <c r="I690" s="2" t="s">
        <v>2374</v>
      </c>
      <c r="K690" s="19" t="str">
        <f>IFERROR(__xludf.DUMMYFUNCTION("IF(ISBLANK(A690),
  """",
  IF(ISNUMBER(A690),
    TEXT(A690,""dd/mm/yyyy""),
    IF(
      REGEXMATCH(TRIM(A690),""^\d{1,2}/\d{1,2}/\d{4}$""),
      TRIM(A690),
      IFERROR(
        TEXT(DATEVALUE(SUBSTITUTE(SUBSTITUTE(TRIM(A690),""-"",""/""),""."",""/"&amp;""")),""dd/mm/yyyy""),
        TRIM(A690)
      )
    )
  )
)
"),"11/04/2024")</f>
        <v>11/04/2024</v>
      </c>
      <c r="L690" s="20">
        <v>45393.0</v>
      </c>
      <c r="M690" s="21" t="str">
        <f>IFERROR(__xludf.DUMMYFUNCTION("PROPER(TRIM(
  REGEXREPLACE(
    REGEXREPLACE(
      SUBSTITUTE(SUBSTITUTE(SUBSTITUTE(SUBSTITUTE(SUBSTITUTE(SUBSTITUTE(SUBSTITUTE(SUBSTITUTE(SUBSTITUTE(SUBSTITUTE(SUBSTITUTE(
        B690,""√©"",""é""),""√°"",""á""),""√±"",""ñ""),""√≥"",""ó""),""√â"",""é"&amp;"""),""√Å"",""á""),""√ç"",""í""),""√Ç"",""Í""),""√Â"",""é""),""√≠"",""í""),""√º"",""ú""),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90" s="22" t="str">
        <f>IFERROR(__xludf.DUMMYFUNCTION("SPLIT(
  TRIM(
    SUBSTITUTE(
      SUBSTITUTE(
        SUBSTITUTE(
          SUBSTITUTE(
            C690,
            ""√©"", ""é""
          ),
          ""√±"", ""ñ""
        ),
        ""√°"", ""á""
      ),
      ""√≥"", ""ó""
    )
  ),
  ""-""
)
"),"Auriculares")</f>
        <v>Auriculares</v>
      </c>
      <c r="O690" s="22" t="str">
        <f>IFERROR(__xludf.DUMMYFUNCTION("""COMPUTED_VALUE"""),"Cancelación de ruido")</f>
        <v>Cancelación de ruido</v>
      </c>
      <c r="P690" s="22" t="str">
        <f>IFERROR(__xludf.DUMMYFUNCTION("""COMPUTED_VALUE"""),"4GB")</f>
        <v>4GB</v>
      </c>
      <c r="Q690" s="23">
        <f t="shared" si="1"/>
        <v>2100.59</v>
      </c>
      <c r="R690" s="22">
        <f t="shared" si="2"/>
        <v>2</v>
      </c>
      <c r="S690" s="23">
        <f t="shared" si="3"/>
        <v>4201.18</v>
      </c>
      <c r="T690" s="22" t="str">
        <f>IFERROR(__xludf.DUMMYFUNCTION("PROPER(TRIM(
  LET(
    texto1, REGEXREPLACE(G690,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"),"Isác Ignacio Benítez")</f>
        <v>Isác Ignacio Benítez</v>
      </c>
      <c r="U690" s="22" t="str">
        <f t="shared" si="4"/>
        <v>e2aaad5e-d941-478c-b128-021e21417ee5</v>
      </c>
      <c r="V690" s="24" t="str">
        <f t="shared" si="5"/>
        <v>Auriculares Cancelación de ruido 4GB</v>
      </c>
    </row>
    <row r="691" ht="15.75" customHeight="1">
      <c r="A691" s="6">
        <v>45579.0</v>
      </c>
      <c r="B691" s="2" t="s">
        <v>16</v>
      </c>
      <c r="C691" s="2" t="s">
        <v>181</v>
      </c>
      <c r="D691" s="7">
        <v>302.84</v>
      </c>
      <c r="E691" s="2">
        <v>3.0</v>
      </c>
      <c r="F691" s="7">
        <v>908.52</v>
      </c>
      <c r="G691" s="2" t="s">
        <v>2375</v>
      </c>
      <c r="H691" s="2" t="s">
        <v>2376</v>
      </c>
      <c r="I691" s="2" t="s">
        <v>2377</v>
      </c>
      <c r="K691" s="25" t="str">
        <f>IFERROR(__xludf.DUMMYFUNCTION("IF(ISBLANK(A691),
  """",
  IF(ISNUMBER(A691),
    TEXT(A691,""dd/mm/yyyy""),
    IF(
      REGEXMATCH(TRIM(A691),""^\d{1,2}/\d{1,2}/\d{4}$""),
      TRIM(A691),
      IFERROR(
        TEXT(DATEVALUE(SUBSTITUTE(SUBSTITUTE(TRIM(A691),""-"",""/""),""."",""/"&amp;""")),""dd/mm/yyyy""),
        TRIM(A691)
      )
    )
  )
)
"),"14/10/2024")</f>
        <v>14/10/2024</v>
      </c>
      <c r="L691" s="26">
        <v>45579.0</v>
      </c>
      <c r="M691" s="27" t="str">
        <f>IFERROR(__xludf.DUMMYFUNCTION("PROPER(TRIM(
  REGEXREPLACE(
    REGEXREPLACE(
      SUBSTITUTE(SUBSTITUTE(SUBSTITUTE(SUBSTITUTE(SUBSTITUTE(SUBSTITUTE(SUBSTITUTE(SUBSTITUTE(SUBSTITUTE(SUBSTITUTE(SUBSTITUTE(
        B691,""√©"",""é""),""√°"",""á""),""√±"",""ñ""),""√≥"",""ó""),""√â"",""é"&amp;"""),""√Å"",""á""),""√ç"",""í""),""√Ç"",""Í""),""√Â"",""é""),""√≠"",""í""),""√º"",""ú""),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91" s="28" t="str">
        <f>IFERROR(__xludf.DUMMYFUNCTION("SPLIT(
  TRIM(
    SUBSTITUTE(
      SUBSTITUTE(
        SUBSTITUTE(
          SUBSTITUTE(
            C691,
            ""√©"", ""é""
          ),
          ""√±"", ""ñ""
        ),
        ""√°"", ""á""
      ),
      ""√≥"", ""ó""
    )
  ),
  ""-""
)
"),"Laptop")</f>
        <v>Laptop</v>
      </c>
      <c r="O691" s="28" t="str">
        <f>IFERROR(__xludf.DUMMYFUNCTION("""COMPUTED_VALUE"""),"Ultraliviana")</f>
        <v>Ultraliviana</v>
      </c>
      <c r="P691" s="28" t="str">
        <f>IFERROR(__xludf.DUMMYFUNCTION("""COMPUTED_VALUE"""),"4GB")</f>
        <v>4GB</v>
      </c>
      <c r="Q691" s="29">
        <f t="shared" si="1"/>
        <v>302.84</v>
      </c>
      <c r="R691" s="28">
        <f t="shared" si="2"/>
        <v>3</v>
      </c>
      <c r="S691" s="29">
        <f t="shared" si="3"/>
        <v>908.52</v>
      </c>
      <c r="T691" s="28" t="str">
        <f>IFERROR(__xludf.DUMMYFUNCTION("PROPER(TRIM(
  LET(
    texto1, REGEXREPLACE(G691,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"),"Leonel Orosco")</f>
        <v>Leonel Orosco</v>
      </c>
      <c r="U691" s="28" t="str">
        <f t="shared" si="4"/>
        <v>972dd545-20a8-49a2-be8a-93f570eba58b</v>
      </c>
      <c r="V691" s="30" t="str">
        <f t="shared" si="5"/>
        <v>Laptop Ultraliviana 4GB</v>
      </c>
    </row>
    <row r="692" ht="15.75" customHeight="1">
      <c r="A692" s="6">
        <v>45583.0</v>
      </c>
      <c r="B692" s="2" t="s">
        <v>50</v>
      </c>
      <c r="C692" s="2" t="s">
        <v>360</v>
      </c>
      <c r="D692" s="7">
        <v>2431.8</v>
      </c>
      <c r="E692" s="2">
        <v>2.0</v>
      </c>
      <c r="F692" s="7">
        <v>4863.6</v>
      </c>
      <c r="G692" s="2" t="s">
        <v>2378</v>
      </c>
      <c r="H692" s="2" t="s">
        <v>2379</v>
      </c>
      <c r="I692" s="2" t="s">
        <v>2380</v>
      </c>
      <c r="K692" s="19" t="str">
        <f>IFERROR(__xludf.DUMMYFUNCTION("IF(ISBLANK(A692),
  """",
  IF(ISNUMBER(A692),
    TEXT(A692,""dd/mm/yyyy""),
    IF(
      REGEXMATCH(TRIM(A692),""^\d{1,2}/\d{1,2}/\d{4}$""),
      TRIM(A692),
      IFERROR(
        TEXT(DATEVALUE(SUBSTITUTE(SUBSTITUTE(TRIM(A692),""-"",""/""),""."",""/"&amp;""")),""dd/mm/yyyy""),
        TRIM(A692)
      )
    )
  )
)
"),"18/10/2024")</f>
        <v>18/10/2024</v>
      </c>
      <c r="L692" s="20">
        <v>45583.0</v>
      </c>
      <c r="M692" s="21" t="str">
        <f>IFERROR(__xludf.DUMMYFUNCTION("PROPER(TRIM(
  REGEXREPLACE(
    REGEXREPLACE(
      SUBSTITUTE(SUBSTITUTE(SUBSTITUTE(SUBSTITUTE(SUBSTITUTE(SUBSTITUTE(SUBSTITUTE(SUBSTITUTE(SUBSTITUTE(SUBSTITUTE(SUBSTITUTE(
        B692,""√©"",""é""),""√°"",""á""),""√±"",""ñ""),""√≥"",""ó""),""√â"",""é"&amp;"""),""√Å"",""á""),""√ç"",""í""),""√Ç"",""Í""),""√Â"",""é""),""√≠"",""í""),""√º"",""ú""),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692" s="22" t="str">
        <f>IFERROR(__xludf.DUMMYFUNCTION("SPLIT(
  TRIM(
    SUBSTITUTE(
      SUBSTITUTE(
        SUBSTITUTE(
          SUBSTITUTE(
            C692,
            ""√©"", ""é""
          ),
          ""√±"", ""ñ""
        ),
        ""√°"", ""á""
      ),
      ""√≥"", ""ó""
    )
  ),
  ""-""
)
"),"Tablet")</f>
        <v>Tablet</v>
      </c>
      <c r="O692" s="22" t="str">
        <f>IFERROR(__xludf.DUMMYFUNCTION("""COMPUTED_VALUE"""),"Estándar")</f>
        <v>Estándar</v>
      </c>
      <c r="P692" s="22" t="str">
        <f>IFERROR(__xludf.DUMMYFUNCTION("""COMPUTED_VALUE"""),"8GB")</f>
        <v>8GB</v>
      </c>
      <c r="Q692" s="23">
        <f t="shared" si="1"/>
        <v>2431.8</v>
      </c>
      <c r="R692" s="22">
        <f t="shared" si="2"/>
        <v>2</v>
      </c>
      <c r="S692" s="23">
        <f t="shared" si="3"/>
        <v>4863.6</v>
      </c>
      <c r="T692" s="22" t="str">
        <f>IFERROR(__xludf.DUMMYFUNCTION("PROPER(TRIM(
  LET(
    texto1, REGEXREPLACE(G692,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"),"Carlos Esteban Nieves Zarate")</f>
        <v>Carlos Esteban Nieves Zarate</v>
      </c>
      <c r="U692" s="22" t="str">
        <f t="shared" si="4"/>
        <v>748ca89e-cc7c-4b74-9211-5c7153943bea</v>
      </c>
      <c r="V692" s="24" t="str">
        <f t="shared" si="5"/>
        <v>Tablet Estándar 8GB</v>
      </c>
    </row>
    <row r="693" ht="15.75" customHeight="1">
      <c r="A693" s="6">
        <v>45621.0</v>
      </c>
      <c r="B693" s="2" t="s">
        <v>16</v>
      </c>
      <c r="C693" s="2" t="s">
        <v>45</v>
      </c>
      <c r="D693" s="7">
        <v>2488.53</v>
      </c>
      <c r="E693" s="2">
        <v>1.0</v>
      </c>
      <c r="F693" s="7">
        <v>2488.53</v>
      </c>
      <c r="G693" s="2" t="s">
        <v>2381</v>
      </c>
      <c r="H693" s="2" t="s">
        <v>2382</v>
      </c>
      <c r="I693" s="2" t="s">
        <v>2383</v>
      </c>
      <c r="K693" s="25" t="str">
        <f>IFERROR(__xludf.DUMMYFUNCTION("IF(ISBLANK(A693),
  """",
  IF(ISNUMBER(A693),
    TEXT(A693,""dd/mm/yyyy""),
    IF(
      REGEXMATCH(TRIM(A693),""^\d{1,2}/\d{1,2}/\d{4}$""),
      TRIM(A693),
      IFERROR(
        TEXT(DATEVALUE(SUBSTITUTE(SUBSTITUTE(TRIM(A693),""-"",""/""),""."",""/"&amp;""")),""dd/mm/yyyy""),
        TRIM(A693)
      )
    )
  )
)
"),"25/11/2024")</f>
        <v>25/11/2024</v>
      </c>
      <c r="L693" s="26">
        <v>45621.0</v>
      </c>
      <c r="M693" s="27" t="str">
        <f>IFERROR(__xludf.DUMMYFUNCTION("PROPER(TRIM(
  REGEXREPLACE(
    REGEXREPLACE(
      SUBSTITUTE(SUBSTITUTE(SUBSTITUTE(SUBSTITUTE(SUBSTITUTE(SUBSTITUTE(SUBSTITUTE(SUBSTITUTE(SUBSTITUTE(SUBSTITUTE(SUBSTITUTE(
        B693,""√©"",""é""),""√°"",""á""),""√±"",""ñ""),""√≥"",""ó""),""√â"",""é"&amp;"""),""√Å"",""á""),""√ç"",""í""),""√Ç"",""Í""),""√Â"",""é""),""√≠"",""í""),""√º"",""ú""),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93" s="28" t="str">
        <f>IFERROR(__xludf.DUMMYFUNCTION("SPLIT(
  TRIM(
    SUBSTITUTE(
      SUBSTITUTE(
        SUBSTITUTE(
          SUBSTITUTE(
            C693,
            ""√©"", ""é""
          ),
          ""√±"", ""ñ""
        ),
        ""√°"", ""á""
      ),
      ""√≥"", ""ó""
    )
  ),
  ""-""
)
"),"Tablet")</f>
        <v>Tablet</v>
      </c>
      <c r="O693" s="28" t="str">
        <f>IFERROR(__xludf.DUMMYFUNCTION("""COMPUTED_VALUE"""),"Mini")</f>
        <v>Mini</v>
      </c>
      <c r="P693" s="28" t="str">
        <f>IFERROR(__xludf.DUMMYFUNCTION("""COMPUTED_VALUE"""),"4GB")</f>
        <v>4GB</v>
      </c>
      <c r="Q693" s="29">
        <f t="shared" si="1"/>
        <v>2488.53</v>
      </c>
      <c r="R693" s="28">
        <f t="shared" si="2"/>
        <v>1</v>
      </c>
      <c r="S693" s="29">
        <f t="shared" si="3"/>
        <v>2488.53</v>
      </c>
      <c r="T693" s="28" t="str">
        <f>IFERROR(__xludf.DUMMYFUNCTION("PROPER(TRIM(
  LET(
    texto1, REGEXREPLACE(G693,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"),"Dalia Cornelio Treviño De La O")</f>
        <v>Dalia Cornelio Treviño De La O</v>
      </c>
      <c r="U693" s="28" t="str">
        <f t="shared" si="4"/>
        <v>86e77ae0-7bda-40b1-a21d-bd010a7db5de</v>
      </c>
      <c r="V693" s="30" t="str">
        <f t="shared" si="5"/>
        <v>Tablet Mini 4GB</v>
      </c>
    </row>
    <row r="694" ht="15.75" customHeight="1">
      <c r="A694" s="36">
        <v>45423.0</v>
      </c>
      <c r="B694" s="2" t="s">
        <v>38</v>
      </c>
      <c r="C694" s="2" t="s">
        <v>452</v>
      </c>
      <c r="D694" s="7">
        <v>1079.32</v>
      </c>
      <c r="E694" s="2">
        <v>1.0</v>
      </c>
      <c r="F694" s="7">
        <v>1079.32</v>
      </c>
      <c r="G694" s="2" t="s">
        <v>2384</v>
      </c>
      <c r="H694" s="2" t="s">
        <v>2385</v>
      </c>
      <c r="I694" s="2" t="s">
        <v>2386</v>
      </c>
      <c r="K694" s="19" t="str">
        <f>IFERROR(__xludf.DUMMYFUNCTION("IF(ISBLANK(A694),
  """",
  IF(ISNUMBER(A694),
    TEXT(A694,""dd/mm/yyyy""),
    IF(
      REGEXMATCH(TRIM(A694),""^\d{1,2}/\d{1,2}/\d{4}$""),
      TRIM(A694),
      IFERROR(
        TEXT(DATEVALUE(SUBSTITUTE(SUBSTITUTE(TRIM(A694),""-"",""/""),""."",""/"&amp;""")),""dd/mm/yyyy""),
        TRIM(A694)
      )
    )
  )
)
"),"11/05/2024")</f>
        <v>11/05/2024</v>
      </c>
      <c r="L694" s="20">
        <v>45423.0</v>
      </c>
      <c r="M694" s="21" t="str">
        <f>IFERROR(__xludf.DUMMYFUNCTION("PROPER(TRIM(
  REGEXREPLACE(
    REGEXREPLACE(
      SUBSTITUTE(SUBSTITUTE(SUBSTITUTE(SUBSTITUTE(SUBSTITUTE(SUBSTITUTE(SUBSTITUTE(SUBSTITUTE(SUBSTITUTE(SUBSTITUTE(SUBSTITUTE(
        B694,""√©"",""é""),""√°"",""á""),""√±"",""ñ""),""√≥"",""ó""),""√â"",""é"&amp;"""),""√Å"",""á""),""√ç"",""í""),""√Ç"",""Í""),""√Â"",""é""),""√≠"",""í""),""√º"",""ú""),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94" s="22" t="str">
        <f>IFERROR(__xludf.DUMMYFUNCTION("SPLIT(
  TRIM(
    SUBSTITUTE(
      SUBSTITUTE(
        SUBSTITUTE(
          SUBSTITUTE(
            C694,
            ""√©"", ""é""
          ),
          ""√±"", ""ñ""
        ),
        ""√°"", ""á""
      ),
      ""√≥"", ""ó""
    )
  ),
  ""-""
)
"),"Teléfono")</f>
        <v>Teléfono</v>
      </c>
      <c r="O694" s="22" t="str">
        <f>IFERROR(__xludf.DUMMYFUNCTION("""COMPUTED_VALUE"""),"Gama media")</f>
        <v>Gama media</v>
      </c>
      <c r="P694" s="22" t="str">
        <f>IFERROR(__xludf.DUMMYFUNCTION("""COMPUTED_VALUE"""),"16GB")</f>
        <v>16GB</v>
      </c>
      <c r="Q694" s="23">
        <f t="shared" si="1"/>
        <v>1079.32</v>
      </c>
      <c r="R694" s="22">
        <f t="shared" si="2"/>
        <v>1</v>
      </c>
      <c r="S694" s="23">
        <f t="shared" si="3"/>
        <v>1079.32</v>
      </c>
      <c r="T694" s="22" t="str">
        <f>IFERROR(__xludf.DUMMYFUNCTION("PROPER(TRIM(
  LET(
    texto1, REGEXREPLACE(G694,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"),"Rolando Gutiérrez Barrera")</f>
        <v>Rolando Gutiérrez Barrera</v>
      </c>
      <c r="U694" s="22" t="str">
        <f t="shared" si="4"/>
        <v>619f05ab-6826-42c6-a241-6073b5679aad</v>
      </c>
      <c r="V694" s="24" t="str">
        <f t="shared" si="5"/>
        <v>Teléfono Gama media 16GB</v>
      </c>
    </row>
    <row r="695" ht="15.75" customHeight="1">
      <c r="A695" s="6">
        <v>45579.0</v>
      </c>
      <c r="B695" s="2" t="s">
        <v>101</v>
      </c>
      <c r="C695" s="2" t="s">
        <v>11</v>
      </c>
      <c r="D695" s="7">
        <v>1421.57</v>
      </c>
      <c r="E695" s="2">
        <v>4.0</v>
      </c>
      <c r="F695" s="7">
        <v>5686.28</v>
      </c>
      <c r="G695" s="2" t="s">
        <v>2387</v>
      </c>
      <c r="H695" s="2" t="s">
        <v>2388</v>
      </c>
      <c r="I695" s="2" t="s">
        <v>2389</v>
      </c>
      <c r="K695" s="25" t="str">
        <f>IFERROR(__xludf.DUMMYFUNCTION("IF(ISBLANK(A695),
  """",
  IF(ISNUMBER(A695),
    TEXT(A695,""dd/mm/yyyy""),
    IF(
      REGEXMATCH(TRIM(A695),""^\d{1,2}/\d{1,2}/\d{4}$""),
      TRIM(A695),
      IFERROR(
        TEXT(DATEVALUE(SUBSTITUTE(SUBSTITUTE(TRIM(A695),""-"",""/""),""."",""/"&amp;""")),""dd/mm/yyyy""),
        TRIM(A695)
      )
    )
  )
)
"),"14/10/2024")</f>
        <v>14/10/2024</v>
      </c>
      <c r="L695" s="26">
        <v>45579.0</v>
      </c>
      <c r="M695" s="27" t="str">
        <f>IFERROR(__xludf.DUMMYFUNCTION("PROPER(TRIM(
  REGEXREPLACE(
    REGEXREPLACE(
      SUBSTITUTE(SUBSTITUTE(SUBSTITUTE(SUBSTITUTE(SUBSTITUTE(SUBSTITUTE(SUBSTITUTE(SUBSTITUTE(SUBSTITUTE(SUBSTITUTE(SUBSTITUTE(
        B695,""√©"",""é""),""√°"",""á""),""√±"",""ñ""),""√≥"",""ó""),""√â"",""é"&amp;"""),""√Å"",""á""),""√ç"",""í""),""√Ç"",""Í""),""√Â"",""é""),""√≠"",""í""),""√º"",""ú""),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95" s="28" t="str">
        <f>IFERROR(__xludf.DUMMYFUNCTION("SPLIT(
  TRIM(
    SUBSTITUTE(
      SUBSTITUTE(
        SUBSTITUTE(
          SUBSTITUTE(
            C695,
            ""√©"", ""é""
          ),
          ""√±"", ""ñ""
        ),
        ""√°"", ""á""
      ),
      ""√≥"", ""ó""
    )
  ),
  ""-""
)
"),"Auriculares")</f>
        <v>Auriculares</v>
      </c>
      <c r="O695" s="28" t="str">
        <f>IFERROR(__xludf.DUMMYFUNCTION("""COMPUTED_VALUE"""),"Con cable")</f>
        <v>Con cable</v>
      </c>
      <c r="P695" s="28" t="str">
        <f>IFERROR(__xludf.DUMMYFUNCTION("""COMPUTED_VALUE"""),"32GB")</f>
        <v>32GB</v>
      </c>
      <c r="Q695" s="29">
        <f t="shared" si="1"/>
        <v>1421.57</v>
      </c>
      <c r="R695" s="28">
        <f t="shared" si="2"/>
        <v>4</v>
      </c>
      <c r="S695" s="29">
        <f t="shared" si="3"/>
        <v>5686.28</v>
      </c>
      <c r="T695" s="28" t="str">
        <f>IFERROR(__xludf.DUMMYFUNCTION("PROPER(TRIM(
  LET(
    texto1, REGEXREPLACE(G695,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"),"Hernán Anguiano")</f>
        <v>Hernán Anguiano</v>
      </c>
      <c r="U695" s="28" t="str">
        <f t="shared" si="4"/>
        <v>6b47665a-5972-4a11-a9e7-d42e56cf42a4</v>
      </c>
      <c r="V695" s="30" t="str">
        <f t="shared" si="5"/>
        <v>Auriculares Con cable 32GB</v>
      </c>
    </row>
    <row r="696" ht="15.75" customHeight="1">
      <c r="A696" s="36">
        <v>45334.0</v>
      </c>
      <c r="B696" s="2" t="s">
        <v>27</v>
      </c>
      <c r="C696" s="2" t="s">
        <v>176</v>
      </c>
      <c r="D696" s="7">
        <v>314.21</v>
      </c>
      <c r="E696" s="2">
        <v>2.0</v>
      </c>
      <c r="F696" s="7">
        <v>628.42</v>
      </c>
      <c r="G696" s="2" t="s">
        <v>2390</v>
      </c>
      <c r="H696" s="2" t="s">
        <v>2391</v>
      </c>
      <c r="I696" s="2" t="s">
        <v>2392</v>
      </c>
      <c r="K696" s="19" t="str">
        <f>IFERROR(__xludf.DUMMYFUNCTION("IF(ISBLANK(A696),
  """",
  IF(ISNUMBER(A696),
    TEXT(A696,""dd/mm/yyyy""),
    IF(
      REGEXMATCH(TRIM(A696),""^\d{1,2}/\d{1,2}/\d{4}$""),
      TRIM(A696),
      IFERROR(
        TEXT(DATEVALUE(SUBSTITUTE(SUBSTITUTE(TRIM(A696),""-"",""/""),""."",""/"&amp;""")),""dd/mm/yyyy""),
        TRIM(A696)
      )
    )
  )
)
"),"12/02/2024")</f>
        <v>12/02/2024</v>
      </c>
      <c r="L696" s="20">
        <v>45334.0</v>
      </c>
      <c r="M696" s="21" t="str">
        <f>IFERROR(__xludf.DUMMYFUNCTION("PROPER(TRIM(
  REGEXREPLACE(
    REGEXREPLACE(
      SUBSTITUTE(SUBSTITUTE(SUBSTITUTE(SUBSTITUTE(SUBSTITUTE(SUBSTITUTE(SUBSTITUTE(SUBSTITUTE(SUBSTITUTE(SUBSTITUTE(SUBSTITUTE(
        B696,""√©"",""é""),""√°"",""á""),""√±"",""ñ""),""√≥"",""ó""),""√â"",""é"&amp;"""),""√Å"",""á""),""√ç"",""í""),""√Ç"",""Í""),""√Â"",""é""),""√≠"",""í""),""√º"",""ú""),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696" s="22" t="str">
        <f>IFERROR(__xludf.DUMMYFUNCTION("SPLIT(
  TRIM(
    SUBSTITUTE(
      SUBSTITUTE(
        SUBSTITUTE(
          SUBSTITUTE(
            C696,
            ""√©"", ""é""
          ),
          ""√±"", ""ñ""
        ),
        ""√°"", ""á""
      ),
      ""√≥"", ""ó""
    )
  ),
  ""-""
)
"),"Auriculares")</f>
        <v>Auriculares</v>
      </c>
      <c r="O696" s="22" t="str">
        <f>IFERROR(__xludf.DUMMYFUNCTION("""COMPUTED_VALUE"""),"Con cable")</f>
        <v>Con cable</v>
      </c>
      <c r="P696" s="22" t="str">
        <f>IFERROR(__xludf.DUMMYFUNCTION("""COMPUTED_VALUE"""),"8GB")</f>
        <v>8GB</v>
      </c>
      <c r="Q696" s="23">
        <f t="shared" si="1"/>
        <v>314.21</v>
      </c>
      <c r="R696" s="22">
        <f t="shared" si="2"/>
        <v>2</v>
      </c>
      <c r="S696" s="23">
        <f t="shared" si="3"/>
        <v>628.42</v>
      </c>
      <c r="T696" s="22" t="str">
        <f>IFERROR(__xludf.DUMMYFUNCTION("PROPER(TRIM(
  LET(
    texto1, REGEXREPLACE(G696,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"),"Mitzy Adame Tafoya")</f>
        <v>Mitzy Adame Tafoya</v>
      </c>
      <c r="U696" s="22" t="str">
        <f t="shared" si="4"/>
        <v>0209ebb3-9a7f-4e7c-8172-ecbf898f89e8</v>
      </c>
      <c r="V696" s="24" t="str">
        <f t="shared" si="5"/>
        <v>Auriculares Con cable 8GB</v>
      </c>
    </row>
    <row r="697" ht="15.75" customHeight="1">
      <c r="A697" s="36">
        <v>45422.0</v>
      </c>
      <c r="B697" s="2" t="s">
        <v>101</v>
      </c>
      <c r="C697" s="2" t="s">
        <v>452</v>
      </c>
      <c r="D697" s="7">
        <v>2027.81</v>
      </c>
      <c r="E697" s="2">
        <v>4.0</v>
      </c>
      <c r="F697" s="7">
        <v>8111.24</v>
      </c>
      <c r="G697" s="2" t="s">
        <v>2393</v>
      </c>
      <c r="H697" s="2" t="s">
        <v>2394</v>
      </c>
      <c r="I697" s="2" t="s">
        <v>2395</v>
      </c>
      <c r="K697" s="25" t="str">
        <f>IFERROR(__xludf.DUMMYFUNCTION("IF(ISBLANK(A697),
  """",
  IF(ISNUMBER(A697),
    TEXT(A697,""dd/mm/yyyy""),
    IF(
      REGEXMATCH(TRIM(A697),""^\d{1,2}/\d{1,2}/\d{4}$""),
      TRIM(A697),
      IFERROR(
        TEXT(DATEVALUE(SUBSTITUTE(SUBSTITUTE(TRIM(A697),""-"",""/""),""."",""/"&amp;""")),""dd/mm/yyyy""),
        TRIM(A697)
      )
    )
  )
)
"),"10/05/2024")</f>
        <v>10/05/2024</v>
      </c>
      <c r="L697" s="26">
        <v>45422.0</v>
      </c>
      <c r="M697" s="27" t="str">
        <f>IFERROR(__xludf.DUMMYFUNCTION("PROPER(TRIM(
  REGEXREPLACE(
    REGEXREPLACE(
      SUBSTITUTE(SUBSTITUTE(SUBSTITUTE(SUBSTITUTE(SUBSTITUTE(SUBSTITUTE(SUBSTITUTE(SUBSTITUTE(SUBSTITUTE(SUBSTITUTE(SUBSTITUTE(
        B697,""√©"",""é""),""√°"",""á""),""√±"",""ñ""),""√≥"",""ó""),""√â"",""é"&amp;"""),""√Å"",""á""),""√ç"",""í""),""√Ç"",""Í""),""√Â"",""é""),""√≠"",""í""),""√º"",""ú""),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697" s="28" t="str">
        <f>IFERROR(__xludf.DUMMYFUNCTION("SPLIT(
  TRIM(
    SUBSTITUTE(
      SUBSTITUTE(
        SUBSTITUTE(
          SUBSTITUTE(
            C697,
            ""√©"", ""é""
          ),
          ""√±"", ""ñ""
        ),
        ""√°"", ""á""
      ),
      ""√≥"", ""ó""
    )
  ),
  ""-""
)
"),"Teléfono")</f>
        <v>Teléfono</v>
      </c>
      <c r="O697" s="28" t="str">
        <f>IFERROR(__xludf.DUMMYFUNCTION("""COMPUTED_VALUE"""),"Gama media")</f>
        <v>Gama media</v>
      </c>
      <c r="P697" s="28" t="str">
        <f>IFERROR(__xludf.DUMMYFUNCTION("""COMPUTED_VALUE"""),"16GB")</f>
        <v>16GB</v>
      </c>
      <c r="Q697" s="29">
        <f t="shared" si="1"/>
        <v>2027.81</v>
      </c>
      <c r="R697" s="28">
        <f t="shared" si="2"/>
        <v>4</v>
      </c>
      <c r="S697" s="29">
        <f t="shared" si="3"/>
        <v>8111.24</v>
      </c>
      <c r="T697" s="28" t="str">
        <f>IFERROR(__xludf.DUMMYFUNCTION("PROPER(TRIM(
  LET(
    texto1, REGEXREPLACE(G697,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"),"Anabel Graciela Orta Limón")</f>
        <v>Anabel Graciela Orta Limón</v>
      </c>
      <c r="U697" s="28" t="str">
        <f t="shared" si="4"/>
        <v>db9595ea-f739-4781-a02a-e17561575f0a</v>
      </c>
      <c r="V697" s="30" t="str">
        <f t="shared" si="5"/>
        <v>Teléfono Gama media 16GB</v>
      </c>
    </row>
    <row r="698" ht="15.75" customHeight="1">
      <c r="A698" s="6">
        <v>45618.0</v>
      </c>
      <c r="B698" s="2" t="s">
        <v>16</v>
      </c>
      <c r="C698" s="2" t="s">
        <v>167</v>
      </c>
      <c r="D698" s="7">
        <v>342.64</v>
      </c>
      <c r="E698" s="2">
        <v>2.0</v>
      </c>
      <c r="F698" s="7">
        <v>685.28</v>
      </c>
      <c r="G698" s="2" t="s">
        <v>2396</v>
      </c>
      <c r="H698" s="2" t="s">
        <v>2397</v>
      </c>
      <c r="I698" s="2" t="s">
        <v>2398</v>
      </c>
      <c r="K698" s="19" t="str">
        <f>IFERROR(__xludf.DUMMYFUNCTION("IF(ISBLANK(A698),
  """",
  IF(ISNUMBER(A698),
    TEXT(A698,""dd/mm/yyyy""),
    IF(
      REGEXMATCH(TRIM(A698),""^\d{1,2}/\d{1,2}/\d{4}$""),
      TRIM(A698),
      IFERROR(
        TEXT(DATEVALUE(SUBSTITUTE(SUBSTITUTE(TRIM(A698),""-"",""/""),""."",""/"&amp;""")),""dd/mm/yyyy""),
        TRIM(A698)
      )
    )
  )
)
"),"22/11/2024")</f>
        <v>22/11/2024</v>
      </c>
      <c r="L698" s="20">
        <v>45618.0</v>
      </c>
      <c r="M698" s="21" t="str">
        <f>IFERROR(__xludf.DUMMYFUNCTION("PROPER(TRIM(
  REGEXREPLACE(
    REGEXREPLACE(
      SUBSTITUTE(SUBSTITUTE(SUBSTITUTE(SUBSTITUTE(SUBSTITUTE(SUBSTITUTE(SUBSTITUTE(SUBSTITUTE(SUBSTITUTE(SUBSTITUTE(SUBSTITUTE(
        B698,""√©"",""é""),""√°"",""á""),""√±"",""ñ""),""√≥"",""ó""),""√â"",""é"&amp;"""),""√Å"",""á""),""√ç"",""í""),""√Ç"",""Í""),""√Â"",""é""),""√≠"",""í""),""√º"",""ú""),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698" s="22" t="str">
        <f>IFERROR(__xludf.DUMMYFUNCTION("SPLIT(
  TRIM(
    SUBSTITUTE(
      SUBSTITUTE(
        SUBSTITUTE(
          SUBSTITUTE(
            C698,
            ""√©"", ""é""
          ),
          ""√±"", ""ñ""
        ),
        ""√°"", ""á""
      ),
      ""√≥"", ""ó""
    )
  ),
  ""-""
)
"),"Laptop")</f>
        <v>Laptop</v>
      </c>
      <c r="O698" s="22" t="str">
        <f>IFERROR(__xludf.DUMMYFUNCTION("""COMPUTED_VALUE"""),"Gaming")</f>
        <v>Gaming</v>
      </c>
      <c r="P698" s="22" t="str">
        <f>IFERROR(__xludf.DUMMYFUNCTION("""COMPUTED_VALUE"""),"8GB")</f>
        <v>8GB</v>
      </c>
      <c r="Q698" s="23">
        <f t="shared" si="1"/>
        <v>342.64</v>
      </c>
      <c r="R698" s="22">
        <f t="shared" si="2"/>
        <v>2</v>
      </c>
      <c r="S698" s="23">
        <f t="shared" si="3"/>
        <v>685.28</v>
      </c>
      <c r="T698" s="22" t="str">
        <f>IFERROR(__xludf.DUMMYFUNCTION("PROPER(TRIM(
  LET(
    texto1, REGEXREPLACE(G698,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"),"Ivonne Georgina Arenas")</f>
        <v>Ivonne Georgina Arenas</v>
      </c>
      <c r="U698" s="22" t="str">
        <f t="shared" si="4"/>
        <v>60fe9134-df81-46f3-ad0a-16da706fecac</v>
      </c>
      <c r="V698" s="24" t="str">
        <f t="shared" si="5"/>
        <v>Laptop Gaming 8GB</v>
      </c>
    </row>
    <row r="699" ht="15.75" customHeight="1">
      <c r="A699" s="6">
        <v>45580.0</v>
      </c>
      <c r="B699" s="2" t="s">
        <v>38</v>
      </c>
      <c r="C699" s="2" t="s">
        <v>397</v>
      </c>
      <c r="D699" s="7">
        <v>379.5</v>
      </c>
      <c r="E699" s="2">
        <v>4.0</v>
      </c>
      <c r="F699" s="7">
        <v>1518.0</v>
      </c>
      <c r="G699" s="2" t="s">
        <v>2399</v>
      </c>
      <c r="H699" s="2" t="s">
        <v>2400</v>
      </c>
      <c r="I699" s="2" t="s">
        <v>2401</v>
      </c>
      <c r="K699" s="25" t="str">
        <f>IFERROR(__xludf.DUMMYFUNCTION("IF(ISBLANK(A699),
  """",
  IF(ISNUMBER(A699),
    TEXT(A699,""dd/mm/yyyy""),
    IF(
      REGEXMATCH(TRIM(A699),""^\d{1,2}/\d{1,2}/\d{4}$""),
      TRIM(A699),
      IFERROR(
        TEXT(DATEVALUE(SUBSTITUTE(SUBSTITUTE(TRIM(A699),""-"",""/""),""."",""/"&amp;""")),""dd/mm/yyyy""),
        TRIM(A699)
      )
    )
  )
)
"),"15/10/2024")</f>
        <v>15/10/2024</v>
      </c>
      <c r="L699" s="26">
        <v>45580.0</v>
      </c>
      <c r="M699" s="27" t="str">
        <f>IFERROR(__xludf.DUMMYFUNCTION("PROPER(TRIM(
  REGEXREPLACE(
    REGEXREPLACE(
      SUBSTITUTE(SUBSTITUTE(SUBSTITUTE(SUBSTITUTE(SUBSTITUTE(SUBSTITUTE(SUBSTITUTE(SUBSTITUTE(SUBSTITUTE(SUBSTITUTE(SUBSTITUTE(
        B699,""√©"",""é""),""√°"",""á""),""√±"",""ñ""),""√≥"",""ó""),""√â"",""é"&amp;"""),""√Å"",""á""),""√ç"",""í""),""√Ç"",""Í""),""√Â"",""é""),""√≠"",""í""),""√º"",""ú""),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699" s="28" t="str">
        <f>IFERROR(__xludf.DUMMYFUNCTION("SPLIT(
  TRIM(
    SUBSTITUTE(
      SUBSTITUTE(
        SUBSTITUTE(
          SUBSTITUTE(
            C699,
            ""√©"", ""é""
          ),
          ""√±"", ""ñ""
        ),
        ""√°"", ""á""
      ),
      ""√≥"", ""ó""
    )
  ),
  ""-""
)
"),"Teléfono")</f>
        <v>Teléfono</v>
      </c>
      <c r="O699" s="28" t="str">
        <f>IFERROR(__xludf.DUMMYFUNCTION("""COMPUTED_VALUE"""),"Gama media")</f>
        <v>Gama media</v>
      </c>
      <c r="P699" s="28" t="str">
        <f>IFERROR(__xludf.DUMMYFUNCTION("""COMPUTED_VALUE"""),"32GB")</f>
        <v>32GB</v>
      </c>
      <c r="Q699" s="29">
        <f t="shared" si="1"/>
        <v>379.5</v>
      </c>
      <c r="R699" s="28">
        <f t="shared" si="2"/>
        <v>4</v>
      </c>
      <c r="S699" s="29">
        <f t="shared" si="3"/>
        <v>1518</v>
      </c>
      <c r="T699" s="28" t="str">
        <f>IFERROR(__xludf.DUMMYFUNCTION("PROPER(TRIM(
  LET(
    texto1, REGEXREPLACE(G699,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"),"Ilse Ocasio")</f>
        <v>Ilse Ocasio</v>
      </c>
      <c r="U699" s="28" t="str">
        <f t="shared" si="4"/>
        <v>9fa9acba-1ca0-43da-be32-3ee4f9804f9e</v>
      </c>
      <c r="V699" s="30" t="str">
        <f t="shared" si="5"/>
        <v>Teléfono Gama media 32GB</v>
      </c>
    </row>
    <row r="700" ht="15.75" customHeight="1">
      <c r="A700" s="6">
        <v>45648.0</v>
      </c>
      <c r="B700" s="2" t="s">
        <v>27</v>
      </c>
      <c r="C700" s="2" t="s">
        <v>508</v>
      </c>
      <c r="D700" s="7">
        <v>778.63</v>
      </c>
      <c r="E700" s="2">
        <v>1.0</v>
      </c>
      <c r="F700" s="7">
        <v>778.63</v>
      </c>
      <c r="G700" s="2" t="s">
        <v>2402</v>
      </c>
      <c r="H700" s="2" t="s">
        <v>2403</v>
      </c>
      <c r="I700" s="2" t="s">
        <v>2404</v>
      </c>
      <c r="K700" s="19" t="str">
        <f>IFERROR(__xludf.DUMMYFUNCTION("IF(ISBLANK(A700),
  """",
  IF(ISNUMBER(A700),
    TEXT(A700,""dd/mm/yyyy""),
    IF(
      REGEXMATCH(TRIM(A700),""^\d{1,2}/\d{1,2}/\d{4}$""),
      TRIM(A700),
      IFERROR(
        TEXT(DATEVALUE(SUBSTITUTE(SUBSTITUTE(TRIM(A700),""-"",""/""),""."",""/"&amp;""")),""dd/mm/yyyy""),
        TRIM(A700)
      )
    )
  )
)
"),"22/12/2024")</f>
        <v>22/12/2024</v>
      </c>
      <c r="L700" s="20">
        <v>45648.0</v>
      </c>
      <c r="M700" s="21" t="str">
        <f>IFERROR(__xludf.DUMMYFUNCTION("PROPER(TRIM(
  REGEXREPLACE(
    REGEXREPLACE(
      SUBSTITUTE(SUBSTITUTE(SUBSTITUTE(SUBSTITUTE(SUBSTITUTE(SUBSTITUTE(SUBSTITUTE(SUBSTITUTE(SUBSTITUTE(SUBSTITUTE(SUBSTITUTE(
        B700,""√©"",""é""),""√°"",""á""),""√±"",""ñ""),""√≥"",""ó""),""√â"",""é"&amp;"""),""√Å"",""á""),""√ç"",""í""),""√Ç"",""Í""),""√Â"",""é""),""√≠"",""í""),""√º"",""ú""),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00" s="22" t="str">
        <f>IFERROR(__xludf.DUMMYFUNCTION("SPLIT(
  TRIM(
    SUBSTITUTE(
      SUBSTITUTE(
        SUBSTITUTE(
          SUBSTITUTE(
            C700,
            ""√©"", ""é""
          ),
          ""√±"", ""ñ""
        ),
        ""√°"", ""á""
      ),
      ""√≥"", ""ó""
    )
  ),
  ""-""
)
"),"Auriculares")</f>
        <v>Auriculares</v>
      </c>
      <c r="O700" s="22" t="str">
        <f>IFERROR(__xludf.DUMMYFUNCTION("""COMPUTED_VALUE"""),"Cancelación de ruido")</f>
        <v>Cancelación de ruido</v>
      </c>
      <c r="P700" s="22" t="str">
        <f>IFERROR(__xludf.DUMMYFUNCTION("""COMPUTED_VALUE"""),"16GB")</f>
        <v>16GB</v>
      </c>
      <c r="Q700" s="23">
        <f t="shared" si="1"/>
        <v>778.63</v>
      </c>
      <c r="R700" s="22">
        <f t="shared" si="2"/>
        <v>1</v>
      </c>
      <c r="S700" s="23">
        <f t="shared" si="3"/>
        <v>778.63</v>
      </c>
      <c r="T700" s="22" t="str">
        <f>IFERROR(__xludf.DUMMYFUNCTION("PROPER(TRIM(
  LET(
    texto1, REGEXREPLACE(G700,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"),"Antonia Borrego")</f>
        <v>Antonia Borrego</v>
      </c>
      <c r="U700" s="22" t="str">
        <f t="shared" si="4"/>
        <v>9569ccbc-bd8e-4611-8386-71eeb9e0963f</v>
      </c>
      <c r="V700" s="24" t="str">
        <f t="shared" si="5"/>
        <v>Auriculares Cancelación de ruido 16GB</v>
      </c>
    </row>
    <row r="701" ht="15.75" customHeight="1">
      <c r="A701" s="6">
        <v>45580.0</v>
      </c>
      <c r="B701" s="2" t="s">
        <v>101</v>
      </c>
      <c r="C701" s="2" t="s">
        <v>162</v>
      </c>
      <c r="D701" s="7">
        <v>2020.01</v>
      </c>
      <c r="E701" s="2">
        <v>5.0</v>
      </c>
      <c r="F701" s="7">
        <v>10100.05</v>
      </c>
      <c r="G701" s="2" t="s">
        <v>2405</v>
      </c>
      <c r="H701" s="2" t="s">
        <v>2406</v>
      </c>
      <c r="I701" s="2" t="s">
        <v>2407</v>
      </c>
      <c r="K701" s="25" t="str">
        <f>IFERROR(__xludf.DUMMYFUNCTION("IF(ISBLANK(A701),
  """",
  IF(ISNUMBER(A701),
    TEXT(A701,""dd/mm/yyyy""),
    IF(
      REGEXMATCH(TRIM(A701),""^\d{1,2}/\d{1,2}/\d{4}$""),
      TRIM(A701),
      IFERROR(
        TEXT(DATEVALUE(SUBSTITUTE(SUBSTITUTE(TRIM(A701),""-"",""/""),""."",""/"&amp;""")),""dd/mm/yyyy""),
        TRIM(A701)
      )
    )
  )
)
"),"15/10/2024")</f>
        <v>15/10/2024</v>
      </c>
      <c r="L701" s="26">
        <v>45580.0</v>
      </c>
      <c r="M701" s="27" t="str">
        <f>IFERROR(__xludf.DUMMYFUNCTION("PROPER(TRIM(
  REGEXREPLACE(
    REGEXREPLACE(
      SUBSTITUTE(SUBSTITUTE(SUBSTITUTE(SUBSTITUTE(SUBSTITUTE(SUBSTITUTE(SUBSTITUTE(SUBSTITUTE(SUBSTITUTE(SUBSTITUTE(SUBSTITUTE(
        B701,""√©"",""é""),""√°"",""á""),""√±"",""ñ""),""√≥"",""ó""),""√â"",""é"&amp;"""),""√Å"",""á""),""√ç"",""í""),""√Ç"",""Í""),""√Â"",""é""),""√≠"",""í""),""√º"",""ú""),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01" s="28" t="str">
        <f>IFERROR(__xludf.DUMMYFUNCTION("SPLIT(
  TRIM(
    SUBSTITUTE(
      SUBSTITUTE(
        SUBSTITUTE(
          SUBSTITUTE(
            C701,
            ""√©"", ""é""
          ),
          ""√±"", ""ñ""
        ),
        ""√°"", ""á""
      ),
      ""√≥"", ""ó""
    )
  ),
  ""-""
)
"),"Teléfono")</f>
        <v>Teléfono</v>
      </c>
      <c r="O701" s="28" t="str">
        <f>IFERROR(__xludf.DUMMYFUNCTION("""COMPUTED_VALUE"""),"Gama alta")</f>
        <v>Gama alta</v>
      </c>
      <c r="P701" s="28" t="str">
        <f>IFERROR(__xludf.DUMMYFUNCTION("""COMPUTED_VALUE"""),"16GB")</f>
        <v>16GB</v>
      </c>
      <c r="Q701" s="29">
        <f t="shared" si="1"/>
        <v>2020.01</v>
      </c>
      <c r="R701" s="28">
        <f t="shared" si="2"/>
        <v>5</v>
      </c>
      <c r="S701" s="29">
        <f t="shared" si="3"/>
        <v>10100.05</v>
      </c>
      <c r="T701" s="28" t="str">
        <f>IFERROR(__xludf.DUMMYFUNCTION("PROPER(TRIM(
  LET(
    texto1, REGEXREPLACE(G701,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Manuél Indira Ledesma Treviño")</f>
        <v>José Manuél Indira Ledesma Treviño</v>
      </c>
      <c r="U701" s="28" t="str">
        <f t="shared" si="4"/>
        <v>b17b1651-8264-42dd-ac16-7674416db2f4</v>
      </c>
      <c r="V701" s="30" t="str">
        <f t="shared" si="5"/>
        <v>Teléfono Gama alta 16GB</v>
      </c>
    </row>
    <row r="702" ht="15.75" customHeight="1">
      <c r="A702" s="36">
        <v>45576.0</v>
      </c>
      <c r="B702" s="2" t="s">
        <v>101</v>
      </c>
      <c r="C702" s="2" t="s">
        <v>91</v>
      </c>
      <c r="D702" s="7">
        <v>2288.18</v>
      </c>
      <c r="E702" s="2">
        <v>1.0</v>
      </c>
      <c r="F702" s="7">
        <v>2288.18</v>
      </c>
      <c r="G702" s="2" t="s">
        <v>2408</v>
      </c>
      <c r="H702" s="2" t="s">
        <v>2409</v>
      </c>
      <c r="I702" s="2" t="s">
        <v>2410</v>
      </c>
      <c r="K702" s="19" t="str">
        <f>IFERROR(__xludf.DUMMYFUNCTION("IF(ISBLANK(A702),
  """",
  IF(ISNUMBER(A702),
    TEXT(A702,""dd/mm/yyyy""),
    IF(
      REGEXMATCH(TRIM(A702),""^\d{1,2}/\d{1,2}/\d{4}$""),
      TRIM(A702),
      IFERROR(
        TEXT(DATEVALUE(SUBSTITUTE(SUBSTITUTE(TRIM(A702),""-"",""/""),""."",""/"&amp;""")),""dd/mm/yyyy""),
        TRIM(A702)
      )
    )
  )
)
"),"11/10/2024")</f>
        <v>11/10/2024</v>
      </c>
      <c r="L702" s="20">
        <v>45576.0</v>
      </c>
      <c r="M702" s="21" t="str">
        <f>IFERROR(__xludf.DUMMYFUNCTION("PROPER(TRIM(
  REGEXREPLACE(
    REGEXREPLACE(
      SUBSTITUTE(SUBSTITUTE(SUBSTITUTE(SUBSTITUTE(SUBSTITUTE(SUBSTITUTE(SUBSTITUTE(SUBSTITUTE(SUBSTITUTE(SUBSTITUTE(SUBSTITUTE(
        B702,""√©"",""é""),""√°"",""á""),""√±"",""ñ""),""√≥"",""ó""),""√â"",""é"&amp;"""),""√Å"",""á""),""√ç"",""í""),""√Ç"",""Í""),""√Â"",""é""),""√≠"",""í""),""√º"",""ú""),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02" s="22" t="str">
        <f>IFERROR(__xludf.DUMMYFUNCTION("SPLIT(
  TRIM(
    SUBSTITUTE(
      SUBSTITUTE(
        SUBSTITUTE(
          SUBSTITUTE(
            C702,
            ""√©"", ""é""
          ),
          ""√±"", ""ñ""
        ),
        ""√°"", ""á""
      ),
      ""√≥"", ""ó""
    )
  ),
  ""-""
)
"),"Tablet")</f>
        <v>Tablet</v>
      </c>
      <c r="O702" s="22" t="str">
        <f>IFERROR(__xludf.DUMMYFUNCTION("""COMPUTED_VALUE"""),"Mini")</f>
        <v>Mini</v>
      </c>
      <c r="P702" s="22" t="str">
        <f>IFERROR(__xludf.DUMMYFUNCTION("""COMPUTED_VALUE"""),"32GB")</f>
        <v>32GB</v>
      </c>
      <c r="Q702" s="23">
        <f t="shared" si="1"/>
        <v>2288.18</v>
      </c>
      <c r="R702" s="22">
        <f t="shared" si="2"/>
        <v>1</v>
      </c>
      <c r="S702" s="23">
        <f t="shared" si="3"/>
        <v>2288.18</v>
      </c>
      <c r="T702" s="22" t="str">
        <f>IFERROR(__xludf.DUMMYFUNCTION("PROPER(TRIM(
  LET(
    texto1, REGEXREPLACE(G702,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"),"Itzel Puente Téllez")</f>
        <v>Itzel Puente Téllez</v>
      </c>
      <c r="U702" s="22" t="str">
        <f t="shared" si="4"/>
        <v>e1d56019-1e10-4a1a-9dff-bff7048987d6</v>
      </c>
      <c r="V702" s="24" t="str">
        <f t="shared" si="5"/>
        <v>Tablet Mini 32GB</v>
      </c>
    </row>
    <row r="703" ht="15.75" customHeight="1">
      <c r="A703" s="6">
        <v>45611.0</v>
      </c>
      <c r="B703" s="2" t="s">
        <v>16</v>
      </c>
      <c r="C703" s="2" t="s">
        <v>348</v>
      </c>
      <c r="D703" s="7">
        <v>120.49</v>
      </c>
      <c r="E703" s="2">
        <v>3.0</v>
      </c>
      <c r="F703" s="7">
        <v>361.47</v>
      </c>
      <c r="G703" s="2" t="s">
        <v>2411</v>
      </c>
      <c r="H703" s="2" t="s">
        <v>2412</v>
      </c>
      <c r="I703" s="2" t="s">
        <v>2413</v>
      </c>
      <c r="K703" s="25" t="str">
        <f>IFERROR(__xludf.DUMMYFUNCTION("IF(ISBLANK(A703),
  """",
  IF(ISNUMBER(A703),
    TEXT(A703,""dd/mm/yyyy""),
    IF(
      REGEXMATCH(TRIM(A703),""^\d{1,2}/\d{1,2}/\d{4}$""),
      TRIM(A703),
      IFERROR(
        TEXT(DATEVALUE(SUBSTITUTE(SUBSTITUTE(TRIM(A703),""-"",""/""),""."",""/"&amp;""")),""dd/mm/yyyy""),
        TRIM(A703)
      )
    )
  )
)
"),"15/11/2024")</f>
        <v>15/11/2024</v>
      </c>
      <c r="L703" s="26">
        <v>45611.0</v>
      </c>
      <c r="M703" s="27" t="str">
        <f>IFERROR(__xludf.DUMMYFUNCTION("PROPER(TRIM(
  REGEXREPLACE(
    REGEXREPLACE(
      SUBSTITUTE(SUBSTITUTE(SUBSTITUTE(SUBSTITUTE(SUBSTITUTE(SUBSTITUTE(SUBSTITUTE(SUBSTITUTE(SUBSTITUTE(SUBSTITUTE(SUBSTITUTE(
        B703,""√©"",""é""),""√°"",""á""),""√±"",""ñ""),""√≥"",""ó""),""√â"",""é"&amp;"""),""√Å"",""á""),""√ç"",""í""),""√Ç"",""Í""),""√Â"",""é""),""√≠"",""í""),""√º"",""ú""),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03" s="28" t="str">
        <f>IFERROR(__xludf.DUMMYFUNCTION("SPLIT(
  TRIM(
    SUBSTITUTE(
      SUBSTITUTE(
        SUBSTITUTE(
          SUBSTITUTE(
            C703,
            ""√©"", ""é""
          ),
          ""√±"", ""ñ""
        ),
        ""√°"", ""á""
      ),
      ""√≥"", ""ó""
    )
  ),
  ""-""
)
"),"Teléfono")</f>
        <v>Teléfono</v>
      </c>
      <c r="O703" s="28" t="str">
        <f>IFERROR(__xludf.DUMMYFUNCTION("""COMPUTED_VALUE"""),"Gama media")</f>
        <v>Gama media</v>
      </c>
      <c r="P703" s="28" t="str">
        <f>IFERROR(__xludf.DUMMYFUNCTION("""COMPUTED_VALUE"""),"8GB")</f>
        <v>8GB</v>
      </c>
      <c r="Q703" s="29">
        <f t="shared" si="1"/>
        <v>120.49</v>
      </c>
      <c r="R703" s="28">
        <f t="shared" si="2"/>
        <v>3</v>
      </c>
      <c r="S703" s="29">
        <f t="shared" si="3"/>
        <v>361.47</v>
      </c>
      <c r="T703" s="28" t="str">
        <f>IFERROR(__xludf.DUMMYFUNCTION("PROPER(TRIM(
  LET(
    texto1, REGEXREPLACE(G703,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"),"Martín Salma Bermdez")</f>
        <v>Martín Salma Bermdez</v>
      </c>
      <c r="U703" s="28" t="str">
        <f t="shared" si="4"/>
        <v>499a27b8-9b8a-42df-848c-279a1fb88d7a</v>
      </c>
      <c r="V703" s="30" t="str">
        <f t="shared" si="5"/>
        <v>Teléfono Gama media 8GB</v>
      </c>
    </row>
    <row r="704" ht="15.75" customHeight="1">
      <c r="A704" s="6">
        <v>45611.0</v>
      </c>
      <c r="B704" s="2" t="s">
        <v>38</v>
      </c>
      <c r="C704" s="2" t="s">
        <v>452</v>
      </c>
      <c r="D704" s="7">
        <v>84.76</v>
      </c>
      <c r="E704" s="2">
        <v>4.0</v>
      </c>
      <c r="F704" s="7">
        <v>339.04</v>
      </c>
      <c r="G704" s="2" t="s">
        <v>2414</v>
      </c>
      <c r="H704" s="2" t="s">
        <v>2415</v>
      </c>
      <c r="I704" s="2" t="s">
        <v>2416</v>
      </c>
      <c r="K704" s="19" t="str">
        <f>IFERROR(__xludf.DUMMYFUNCTION("IF(ISBLANK(A704),
  """",
  IF(ISNUMBER(A704),
    TEXT(A704,""dd/mm/yyyy""),
    IF(
      REGEXMATCH(TRIM(A704),""^\d{1,2}/\d{1,2}/\d{4}$""),
      TRIM(A704),
      IFERROR(
        TEXT(DATEVALUE(SUBSTITUTE(SUBSTITUTE(TRIM(A704),""-"",""/""),""."",""/"&amp;""")),""dd/mm/yyyy""),
        TRIM(A704)
      )
    )
  )
)
"),"15/11/2024")</f>
        <v>15/11/2024</v>
      </c>
      <c r="L704" s="20">
        <v>45611.0</v>
      </c>
      <c r="M704" s="21" t="str">
        <f>IFERROR(__xludf.DUMMYFUNCTION("PROPER(TRIM(
  REGEXREPLACE(
    REGEXREPLACE(
      SUBSTITUTE(SUBSTITUTE(SUBSTITUTE(SUBSTITUTE(SUBSTITUTE(SUBSTITUTE(SUBSTITUTE(SUBSTITUTE(SUBSTITUTE(SUBSTITUTE(SUBSTITUTE(
        B704,""√©"",""é""),""√°"",""á""),""√±"",""ñ""),""√≥"",""ó""),""√â"",""é"&amp;"""),""√Å"",""á""),""√ç"",""í""),""√Ç"",""Í""),""√Â"",""é""),""√≠"",""í""),""√º"",""ú""),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04" s="22" t="str">
        <f>IFERROR(__xludf.DUMMYFUNCTION("SPLIT(
  TRIM(
    SUBSTITUTE(
      SUBSTITUTE(
        SUBSTITUTE(
          SUBSTITUTE(
            C704,
            ""√©"", ""é""
          ),
          ""√±"", ""ñ""
        ),
        ""√°"", ""á""
      ),
      ""√≥"", ""ó""
    )
  ),
  ""-""
)
"),"Teléfono")</f>
        <v>Teléfono</v>
      </c>
      <c r="O704" s="22" t="str">
        <f>IFERROR(__xludf.DUMMYFUNCTION("""COMPUTED_VALUE"""),"Gama media")</f>
        <v>Gama media</v>
      </c>
      <c r="P704" s="22" t="str">
        <f>IFERROR(__xludf.DUMMYFUNCTION("""COMPUTED_VALUE"""),"16GB")</f>
        <v>16GB</v>
      </c>
      <c r="Q704" s="23">
        <f t="shared" si="1"/>
        <v>84.76</v>
      </c>
      <c r="R704" s="22">
        <f t="shared" si="2"/>
        <v>4</v>
      </c>
      <c r="S704" s="23">
        <f t="shared" si="3"/>
        <v>339.04</v>
      </c>
      <c r="T704" s="22" t="str">
        <f>IFERROR(__xludf.DUMMYFUNCTION("PROPER(TRIM(
  LET(
    texto1, REGEXREPLACE(G704,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"),"Emiliano Emilio Cuellar")</f>
        <v>Emiliano Emilio Cuellar</v>
      </c>
      <c r="U704" s="22" t="str">
        <f t="shared" si="4"/>
        <v>208bb22e-749f-4a4a-a2fd-3ec3a0703858</v>
      </c>
      <c r="V704" s="24" t="str">
        <f t="shared" si="5"/>
        <v>Teléfono Gama media 16GB</v>
      </c>
    </row>
    <row r="705" ht="15.75" customHeight="1">
      <c r="A705" s="36">
        <v>45606.0</v>
      </c>
      <c r="B705" s="2" t="s">
        <v>27</v>
      </c>
      <c r="C705" s="2" t="s">
        <v>11</v>
      </c>
      <c r="D705" s="7">
        <v>1746.28</v>
      </c>
      <c r="E705" s="2">
        <v>2.0</v>
      </c>
      <c r="F705" s="7">
        <v>3492.56</v>
      </c>
      <c r="G705" s="2" t="s">
        <v>2417</v>
      </c>
      <c r="H705" s="2" t="s">
        <v>2418</v>
      </c>
      <c r="I705" s="2" t="s">
        <v>2419</v>
      </c>
      <c r="K705" s="25" t="str">
        <f>IFERROR(__xludf.DUMMYFUNCTION("IF(ISBLANK(A705),
  """",
  IF(ISNUMBER(A705),
    TEXT(A705,""dd/mm/yyyy""),
    IF(
      REGEXMATCH(TRIM(A705),""^\d{1,2}/\d{1,2}/\d{4}$""),
      TRIM(A705),
      IFERROR(
        TEXT(DATEVALUE(SUBSTITUTE(SUBSTITUTE(TRIM(A705),""-"",""/""),""."",""/"&amp;""")),""dd/mm/yyyy""),
        TRIM(A705)
      )
    )
  )
)
"),"10/11/2024")</f>
        <v>10/11/2024</v>
      </c>
      <c r="L705" s="26">
        <v>45606.0</v>
      </c>
      <c r="M705" s="27" t="str">
        <f>IFERROR(__xludf.DUMMYFUNCTION("PROPER(TRIM(
  REGEXREPLACE(
    REGEXREPLACE(
      SUBSTITUTE(SUBSTITUTE(SUBSTITUTE(SUBSTITUTE(SUBSTITUTE(SUBSTITUTE(SUBSTITUTE(SUBSTITUTE(SUBSTITUTE(SUBSTITUTE(SUBSTITUTE(
        B705,""√©"",""é""),""√°"",""á""),""√±"",""ñ""),""√≥"",""ó""),""√â"",""é"&amp;"""),""√Å"",""á""),""√ç"",""í""),""√Ç"",""Í""),""√Â"",""é""),""√≠"",""í""),""√º"",""ú""),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05" s="28" t="str">
        <f>IFERROR(__xludf.DUMMYFUNCTION("SPLIT(
  TRIM(
    SUBSTITUTE(
      SUBSTITUTE(
        SUBSTITUTE(
          SUBSTITUTE(
            C705,
            ""√©"", ""é""
          ),
          ""√±"", ""ñ""
        ),
        ""√°"", ""á""
      ),
      ""√≥"", ""ó""
    )
  ),
  ""-""
)
"),"Auriculares")</f>
        <v>Auriculares</v>
      </c>
      <c r="O705" s="28" t="str">
        <f>IFERROR(__xludf.DUMMYFUNCTION("""COMPUTED_VALUE"""),"Con cable")</f>
        <v>Con cable</v>
      </c>
      <c r="P705" s="28" t="str">
        <f>IFERROR(__xludf.DUMMYFUNCTION("""COMPUTED_VALUE"""),"32GB")</f>
        <v>32GB</v>
      </c>
      <c r="Q705" s="29">
        <f t="shared" si="1"/>
        <v>1746.28</v>
      </c>
      <c r="R705" s="28">
        <f t="shared" si="2"/>
        <v>2</v>
      </c>
      <c r="S705" s="29">
        <f t="shared" si="3"/>
        <v>3492.56</v>
      </c>
      <c r="T705" s="28" t="str">
        <f>IFERROR(__xludf.DUMMYFUNCTION("PROPER(TRIM(
  LET(
    texto1, REGEXREPLACE(G705,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"),"Mitzy Ordóñez")</f>
        <v>Mitzy Ordóñez</v>
      </c>
      <c r="U705" s="28" t="str">
        <f t="shared" si="4"/>
        <v>d0cc2a3f-64b1-4463-bad8-280dbaa0e01e</v>
      </c>
      <c r="V705" s="30" t="str">
        <f t="shared" si="5"/>
        <v>Auriculares Con cable 32GB</v>
      </c>
    </row>
    <row r="706" ht="15.75" customHeight="1">
      <c r="A706" s="6">
        <v>45650.0</v>
      </c>
      <c r="B706" s="2" t="s">
        <v>16</v>
      </c>
      <c r="C706" s="2" t="s">
        <v>369</v>
      </c>
      <c r="D706" s="7">
        <v>2003.92</v>
      </c>
      <c r="E706" s="2">
        <v>2.0</v>
      </c>
      <c r="F706" s="7">
        <v>4007.84</v>
      </c>
      <c r="G706" s="2" t="s">
        <v>2420</v>
      </c>
      <c r="H706" s="2" t="s">
        <v>2421</v>
      </c>
      <c r="I706" s="2" t="s">
        <v>2422</v>
      </c>
      <c r="K706" s="19" t="str">
        <f>IFERROR(__xludf.DUMMYFUNCTION("IF(ISBLANK(A706),
  """",
  IF(ISNUMBER(A706),
    TEXT(A706,""dd/mm/yyyy""),
    IF(
      REGEXMATCH(TRIM(A706),""^\d{1,2}/\d{1,2}/\d{4}$""),
      TRIM(A706),
      IFERROR(
        TEXT(DATEVALUE(SUBSTITUTE(SUBSTITUTE(TRIM(A706),""-"",""/""),""."",""/"&amp;""")),""dd/mm/yyyy""),
        TRIM(A706)
      )
    )
  )
)
"),"24/12/2024")</f>
        <v>24/12/2024</v>
      </c>
      <c r="L706" s="20">
        <v>45650.0</v>
      </c>
      <c r="M706" s="21" t="str">
        <f>IFERROR(__xludf.DUMMYFUNCTION("PROPER(TRIM(
  REGEXREPLACE(
    REGEXREPLACE(
      SUBSTITUTE(SUBSTITUTE(SUBSTITUTE(SUBSTITUTE(SUBSTITUTE(SUBSTITUTE(SUBSTITUTE(SUBSTITUTE(SUBSTITUTE(SUBSTITUTE(SUBSTITUTE(
        B706,""√©"",""é""),""√°"",""á""),""√±"",""ñ""),""√≥"",""ó""),""√â"",""é"&amp;"""),""√Å"",""á""),""√ç"",""í""),""√Ç"",""Í""),""√Â"",""é""),""√≠"",""í""),""√º"",""ú""),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06" s="22" t="str">
        <f>IFERROR(__xludf.DUMMYFUNCTION("SPLIT(
  TRIM(
    SUBSTITUTE(
      SUBSTITUTE(
        SUBSTITUTE(
          SUBSTITUTE(
            C706,
            ""√©"", ""é""
          ),
          ""√±"", ""ñ""
        ),
        ""√°"", ""á""
      ),
      ""√≥"", ""ó""
    )
  ),
  ""-""
)
"),"Tablet")</f>
        <v>Tablet</v>
      </c>
      <c r="O706" s="22" t="str">
        <f>IFERROR(__xludf.DUMMYFUNCTION("""COMPUTED_VALUE"""),"Pro")</f>
        <v>Pro</v>
      </c>
      <c r="P706" s="22" t="str">
        <f>IFERROR(__xludf.DUMMYFUNCTION("""COMPUTED_VALUE"""),"16GB")</f>
        <v>16GB</v>
      </c>
      <c r="Q706" s="23">
        <f t="shared" si="1"/>
        <v>2003.92</v>
      </c>
      <c r="R706" s="22">
        <f t="shared" si="2"/>
        <v>2</v>
      </c>
      <c r="S706" s="23">
        <f t="shared" si="3"/>
        <v>4007.84</v>
      </c>
      <c r="T706" s="22" t="str">
        <f>IFERROR(__xludf.DUMMYFUNCTION("PROPER(TRIM(
  LET(
    texto1, REGEXREPLACE(G706,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"),"Yolanda Joaquín Barela Méndez")</f>
        <v>Yolanda Joaquín Barela Méndez</v>
      </c>
      <c r="U706" s="22" t="str">
        <f t="shared" si="4"/>
        <v>d8cce44d-2d8e-494b-b543-022a5aa32bef</v>
      </c>
      <c r="V706" s="24" t="str">
        <f t="shared" si="5"/>
        <v>Tablet Pro 16GB</v>
      </c>
    </row>
    <row r="707" ht="15.75" customHeight="1">
      <c r="A707" s="36">
        <v>45362.0</v>
      </c>
      <c r="B707" s="2" t="s">
        <v>101</v>
      </c>
      <c r="C707" s="2" t="s">
        <v>226</v>
      </c>
      <c r="D707" s="7">
        <v>2332.13</v>
      </c>
      <c r="E707" s="2">
        <v>1.0</v>
      </c>
      <c r="F707" s="7">
        <v>2332.13</v>
      </c>
      <c r="G707" s="2" t="s">
        <v>2423</v>
      </c>
      <c r="H707" s="2" t="s">
        <v>2424</v>
      </c>
      <c r="I707" s="2" t="s">
        <v>2425</v>
      </c>
      <c r="K707" s="25" t="str">
        <f>IFERROR(__xludf.DUMMYFUNCTION("IF(ISBLANK(A707),
  """",
  IF(ISNUMBER(A707),
    TEXT(A707,""dd/mm/yyyy""),
    IF(
      REGEXMATCH(TRIM(A707),""^\d{1,2}/\d{1,2}/\d{4}$""),
      TRIM(A707),
      IFERROR(
        TEXT(DATEVALUE(SUBSTITUTE(SUBSTITUTE(TRIM(A707),""-"",""/""),""."",""/"&amp;""")),""dd/mm/yyyy""),
        TRIM(A707)
      )
    )
  )
)
"),"11/03/2024")</f>
        <v>11/03/2024</v>
      </c>
      <c r="L707" s="26">
        <v>45362.0</v>
      </c>
      <c r="M707" s="27" t="str">
        <f>IFERROR(__xludf.DUMMYFUNCTION("PROPER(TRIM(
  REGEXREPLACE(
    REGEXREPLACE(
      SUBSTITUTE(SUBSTITUTE(SUBSTITUTE(SUBSTITUTE(SUBSTITUTE(SUBSTITUTE(SUBSTITUTE(SUBSTITUTE(SUBSTITUTE(SUBSTITUTE(SUBSTITUTE(
        B707,""√©"",""é""),""√°"",""á""),""√±"",""ñ""),""√≥"",""ó""),""√â"",""é"&amp;"""),""√Å"",""á""),""√ç"",""í""),""√Ç"",""Í""),""√Â"",""é""),""√≠"",""í""),""√º"",""ú""),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07" s="28" t="str">
        <f>IFERROR(__xludf.DUMMYFUNCTION("SPLIT(
  TRIM(
    SUBSTITUTE(
      SUBSTITUTE(
        SUBSTITUTE(
          SUBSTITUTE(
            C707,
            ""√©"", ""é""
          ),
          ""√±"", ""ñ""
        ),
        ""√°"", ""á""
      ),
      ""√≥"", ""ó""
    )
  ),
  ""-""
)
"),"Tablet")</f>
        <v>Tablet</v>
      </c>
      <c r="O707" s="28" t="str">
        <f>IFERROR(__xludf.DUMMYFUNCTION("""COMPUTED_VALUE"""),"Mini")</f>
        <v>Mini</v>
      </c>
      <c r="P707" s="28" t="str">
        <f>IFERROR(__xludf.DUMMYFUNCTION("""COMPUTED_VALUE"""),"16GB")</f>
        <v>16GB</v>
      </c>
      <c r="Q707" s="29">
        <f t="shared" si="1"/>
        <v>2332.13</v>
      </c>
      <c r="R707" s="28">
        <f t="shared" si="2"/>
        <v>1</v>
      </c>
      <c r="S707" s="29">
        <f t="shared" si="3"/>
        <v>2332.13</v>
      </c>
      <c r="T707" s="28" t="str">
        <f>IFERROR(__xludf.DUMMYFUNCTION("PROPER(TRIM(
  LET(
    texto1, REGEXREPLACE(G707,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"),"Ivonne Inés Solorzano")</f>
        <v>Ivonne Inés Solorzano</v>
      </c>
      <c r="U707" s="28" t="str">
        <f t="shared" si="4"/>
        <v>a9080111-fd89-4e06-96e1-327168122bd3</v>
      </c>
      <c r="V707" s="30" t="str">
        <f t="shared" si="5"/>
        <v>Tablet Mini 16GB</v>
      </c>
    </row>
    <row r="708" ht="15.75" customHeight="1">
      <c r="A708" s="6">
        <v>45649.0</v>
      </c>
      <c r="B708" s="2" t="s">
        <v>50</v>
      </c>
      <c r="C708" s="2" t="s">
        <v>397</v>
      </c>
      <c r="D708" s="7">
        <v>1918.04</v>
      </c>
      <c r="E708" s="2">
        <v>5.0</v>
      </c>
      <c r="F708" s="7">
        <v>9590.2</v>
      </c>
      <c r="G708" s="2" t="s">
        <v>2426</v>
      </c>
      <c r="H708" s="2" t="s">
        <v>2427</v>
      </c>
      <c r="I708" s="2" t="s">
        <v>2428</v>
      </c>
      <c r="K708" s="19" t="str">
        <f>IFERROR(__xludf.DUMMYFUNCTION("IF(ISBLANK(A708),
  """",
  IF(ISNUMBER(A708),
    TEXT(A708,""dd/mm/yyyy""),
    IF(
      REGEXMATCH(TRIM(A708),""^\d{1,2}/\d{1,2}/\d{4}$""),
      TRIM(A708),
      IFERROR(
        TEXT(DATEVALUE(SUBSTITUTE(SUBSTITUTE(TRIM(A708),""-"",""/""),""."",""/"&amp;""")),""dd/mm/yyyy""),
        TRIM(A708)
      )
    )
  )
)
"),"23/12/2024")</f>
        <v>23/12/2024</v>
      </c>
      <c r="L708" s="20">
        <v>45649.0</v>
      </c>
      <c r="M708" s="21" t="str">
        <f>IFERROR(__xludf.DUMMYFUNCTION("PROPER(TRIM(
  REGEXREPLACE(
    REGEXREPLACE(
      SUBSTITUTE(SUBSTITUTE(SUBSTITUTE(SUBSTITUTE(SUBSTITUTE(SUBSTITUTE(SUBSTITUTE(SUBSTITUTE(SUBSTITUTE(SUBSTITUTE(SUBSTITUTE(
        B708,""√©"",""é""),""√°"",""á""),""√±"",""ñ""),""√≥"",""ó""),""√â"",""é"&amp;"""),""√Å"",""á""),""√ç"",""í""),""√Ç"",""Í""),""√Â"",""é""),""√≠"",""í""),""√º"",""ú""),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08" s="22" t="str">
        <f>IFERROR(__xludf.DUMMYFUNCTION("SPLIT(
  TRIM(
    SUBSTITUTE(
      SUBSTITUTE(
        SUBSTITUTE(
          SUBSTITUTE(
            C708,
            ""√©"", ""é""
          ),
          ""√±"", ""ñ""
        ),
        ""√°"", ""á""
      ),
      ""√≥"", ""ó""
    )
  ),
  ""-""
)
"),"Teléfono")</f>
        <v>Teléfono</v>
      </c>
      <c r="O708" s="22" t="str">
        <f>IFERROR(__xludf.DUMMYFUNCTION("""COMPUTED_VALUE"""),"Gama media")</f>
        <v>Gama media</v>
      </c>
      <c r="P708" s="22" t="str">
        <f>IFERROR(__xludf.DUMMYFUNCTION("""COMPUTED_VALUE"""),"32GB")</f>
        <v>32GB</v>
      </c>
      <c r="Q708" s="23">
        <f t="shared" si="1"/>
        <v>1918.04</v>
      </c>
      <c r="R708" s="22">
        <f t="shared" si="2"/>
        <v>5</v>
      </c>
      <c r="S708" s="23">
        <f t="shared" si="3"/>
        <v>9590.2</v>
      </c>
      <c r="T708" s="22" t="str">
        <f>IFERROR(__xludf.DUMMYFUNCTION("PROPER(TRIM(
  LET(
    texto1, REGEXREPLACE(G708,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"),"Anabel Carreón")</f>
        <v>Anabel Carreón</v>
      </c>
      <c r="U708" s="22" t="str">
        <f t="shared" si="4"/>
        <v>700aef49-fe52-4fd6-8401-bbfa8ba48024</v>
      </c>
      <c r="V708" s="24" t="str">
        <f t="shared" si="5"/>
        <v>Teléfono Gama media 32GB</v>
      </c>
    </row>
    <row r="709" ht="15.75" customHeight="1">
      <c r="A709" s="6">
        <v>45578.0</v>
      </c>
      <c r="B709" s="2" t="s">
        <v>85</v>
      </c>
      <c r="C709" s="2" t="s">
        <v>75</v>
      </c>
      <c r="D709" s="7">
        <v>233.85</v>
      </c>
      <c r="E709" s="2">
        <v>4.0</v>
      </c>
      <c r="F709" s="7">
        <v>935.4</v>
      </c>
      <c r="G709" s="2" t="s">
        <v>2429</v>
      </c>
      <c r="H709" s="2" t="s">
        <v>2430</v>
      </c>
      <c r="I709" s="2" t="s">
        <v>2431</v>
      </c>
      <c r="K709" s="25" t="str">
        <f>IFERROR(__xludf.DUMMYFUNCTION("IF(ISBLANK(A709),
  """",
  IF(ISNUMBER(A709),
    TEXT(A709,""dd/mm/yyyy""),
    IF(
      REGEXMATCH(TRIM(A709),""^\d{1,2}/\d{1,2}/\d{4}$""),
      TRIM(A709),
      IFERROR(
        TEXT(DATEVALUE(SUBSTITUTE(SUBSTITUTE(TRIM(A709),""-"",""/""),""."",""/"&amp;""")),""dd/mm/yyyy""),
        TRIM(A709)
      )
    )
  )
)
"),"13/10/2024")</f>
        <v>13/10/2024</v>
      </c>
      <c r="L709" s="26">
        <v>45578.0</v>
      </c>
      <c r="M709" s="27" t="str">
        <f>IFERROR(__xludf.DUMMYFUNCTION("PROPER(TRIM(
  REGEXREPLACE(
    REGEXREPLACE(
      SUBSTITUTE(SUBSTITUTE(SUBSTITUTE(SUBSTITUTE(SUBSTITUTE(SUBSTITUTE(SUBSTITUTE(SUBSTITUTE(SUBSTITUTE(SUBSTITUTE(SUBSTITUTE(
        B709,""√©"",""é""),""√°"",""á""),""√±"",""ñ""),""√≥"",""ó""),""√â"",""é"&amp;"""),""√Å"",""á""),""√ç"",""í""),""√Ç"",""Í""),""√Â"",""é""),""√≠"",""í""),""√º"",""ú""),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09" s="28" t="str">
        <f>IFERROR(__xludf.DUMMYFUNCTION("SPLIT(
  TRIM(
    SUBSTITUTE(
      SUBSTITUTE(
        SUBSTITUTE(
          SUBSTITUTE(
            C709,
            ""√©"", ""é""
          ),
          ""√±"", ""ñ""
        ),
        ""√°"", ""á""
      ),
      ""√≥"", ""ó""
    )
  ),
  ""-""
)
"),"Tablet")</f>
        <v>Tablet</v>
      </c>
      <c r="O709" s="28" t="str">
        <f>IFERROR(__xludf.DUMMYFUNCTION("""COMPUTED_VALUE"""),"Pro")</f>
        <v>Pro</v>
      </c>
      <c r="P709" s="28" t="str">
        <f>IFERROR(__xludf.DUMMYFUNCTION("""COMPUTED_VALUE"""),"4GB")</f>
        <v>4GB</v>
      </c>
      <c r="Q709" s="29">
        <f t="shared" si="1"/>
        <v>233.85</v>
      </c>
      <c r="R709" s="28">
        <f t="shared" si="2"/>
        <v>4</v>
      </c>
      <c r="S709" s="29">
        <f t="shared" si="3"/>
        <v>935.4</v>
      </c>
      <c r="T709" s="28" t="str">
        <f>IFERROR(__xludf.DUMMYFUNCTION("PROPER(TRIM(
  LET(
    texto1, REGEXREPLACE(G709,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"),"Rafaél Nájera")</f>
        <v>Rafaél Nájera</v>
      </c>
      <c r="U709" s="28" t="str">
        <f t="shared" si="4"/>
        <v>7594ffab-c88c-40b4-b851-6897e6230fb0</v>
      </c>
      <c r="V709" s="30" t="str">
        <f t="shared" si="5"/>
        <v>Tablet Pro 4GB</v>
      </c>
    </row>
    <row r="710" ht="15.75" customHeight="1">
      <c r="A710" s="36">
        <v>45454.0</v>
      </c>
      <c r="B710" s="2" t="s">
        <v>50</v>
      </c>
      <c r="C710" s="2" t="s">
        <v>508</v>
      </c>
      <c r="D710" s="7">
        <v>800.91</v>
      </c>
      <c r="E710" s="2">
        <v>5.0</v>
      </c>
      <c r="F710" s="7">
        <v>4004.55</v>
      </c>
      <c r="G710" s="2" t="s">
        <v>2432</v>
      </c>
      <c r="H710" s="2" t="s">
        <v>2433</v>
      </c>
      <c r="I710" s="2" t="s">
        <v>2434</v>
      </c>
      <c r="K710" s="19" t="str">
        <f>IFERROR(__xludf.DUMMYFUNCTION("IF(ISBLANK(A710),
  """",
  IF(ISNUMBER(A710),
    TEXT(A710,""dd/mm/yyyy""),
    IF(
      REGEXMATCH(TRIM(A710),""^\d{1,2}/\d{1,2}/\d{4}$""),
      TRIM(A710),
      IFERROR(
        TEXT(DATEVALUE(SUBSTITUTE(SUBSTITUTE(TRIM(A710),""-"",""/""),""."",""/"&amp;""")),""dd/mm/yyyy""),
        TRIM(A710)
      )
    )
  )
)
"),"11/06/2024")</f>
        <v>11/06/2024</v>
      </c>
      <c r="L710" s="20">
        <v>45454.0</v>
      </c>
      <c r="M710" s="21" t="str">
        <f>IFERROR(__xludf.DUMMYFUNCTION("PROPER(TRIM(
  REGEXREPLACE(
    REGEXREPLACE(
      SUBSTITUTE(SUBSTITUTE(SUBSTITUTE(SUBSTITUTE(SUBSTITUTE(SUBSTITUTE(SUBSTITUTE(SUBSTITUTE(SUBSTITUTE(SUBSTITUTE(SUBSTITUTE(
        B710,""√©"",""é""),""√°"",""á""),""√±"",""ñ""),""√≥"",""ó""),""√â"",""é"&amp;"""),""√Å"",""á""),""√ç"",""í""),""√Ç"",""Í""),""√Â"",""é""),""√≠"",""í""),""√º"",""ú""),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10" s="22" t="str">
        <f>IFERROR(__xludf.DUMMYFUNCTION("SPLIT(
  TRIM(
    SUBSTITUTE(
      SUBSTITUTE(
        SUBSTITUTE(
          SUBSTITUTE(
            C710,
            ""√©"", ""é""
          ),
          ""√±"", ""ñ""
        ),
        ""√°"", ""á""
      ),
      ""√≥"", ""ó""
    )
  ),
  ""-""
)
"),"Auriculares")</f>
        <v>Auriculares</v>
      </c>
      <c r="O710" s="22" t="str">
        <f>IFERROR(__xludf.DUMMYFUNCTION("""COMPUTED_VALUE"""),"Cancelación de ruido")</f>
        <v>Cancelación de ruido</v>
      </c>
      <c r="P710" s="22" t="str">
        <f>IFERROR(__xludf.DUMMYFUNCTION("""COMPUTED_VALUE"""),"16GB")</f>
        <v>16GB</v>
      </c>
      <c r="Q710" s="23">
        <f t="shared" si="1"/>
        <v>800.91</v>
      </c>
      <c r="R710" s="22">
        <f t="shared" si="2"/>
        <v>5</v>
      </c>
      <c r="S710" s="23">
        <f t="shared" si="3"/>
        <v>4004.55</v>
      </c>
      <c r="T710" s="22" t="str">
        <f>IFERROR(__xludf.DUMMYFUNCTION("PROPER(TRIM(
  LET(
    texto1, REGEXREPLACE(G710,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"),"Gonzalo Leonel Pulido")</f>
        <v>Gonzalo Leonel Pulido</v>
      </c>
      <c r="U710" s="22" t="str">
        <f t="shared" si="4"/>
        <v>5a8a2ee8-3161-4250-96ee-39982c89933d</v>
      </c>
      <c r="V710" s="24" t="str">
        <f t="shared" si="5"/>
        <v>Auriculares Cancelación de ruido 16GB</v>
      </c>
    </row>
    <row r="711" ht="15.75" customHeight="1">
      <c r="A711" s="36">
        <v>45334.0</v>
      </c>
      <c r="B711" s="2" t="s">
        <v>50</v>
      </c>
      <c r="C711" s="2" t="s">
        <v>147</v>
      </c>
      <c r="D711" s="7">
        <v>1129.0</v>
      </c>
      <c r="E711" s="2">
        <v>5.0</v>
      </c>
      <c r="F711" s="7">
        <v>5645.0</v>
      </c>
      <c r="G711" s="2" t="s">
        <v>2435</v>
      </c>
      <c r="H711" s="2" t="s">
        <v>2436</v>
      </c>
      <c r="I711" s="2" t="s">
        <v>2437</v>
      </c>
      <c r="K711" s="25" t="str">
        <f>IFERROR(__xludf.DUMMYFUNCTION("IF(ISBLANK(A711),
  """",
  IF(ISNUMBER(A711),
    TEXT(A711,""dd/mm/yyyy""),
    IF(
      REGEXMATCH(TRIM(A711),""^\d{1,2}/\d{1,2}/\d{4}$""),
      TRIM(A711),
      IFERROR(
        TEXT(DATEVALUE(SUBSTITUTE(SUBSTITUTE(TRIM(A711),""-"",""/""),""."",""/"&amp;""")),""dd/mm/yyyy""),
        TRIM(A711)
      )
    )
  )
)
"),"12/02/2024")</f>
        <v>12/02/2024</v>
      </c>
      <c r="L711" s="26">
        <v>45334.0</v>
      </c>
      <c r="M711" s="27" t="str">
        <f>IFERROR(__xludf.DUMMYFUNCTION("PROPER(TRIM(
  REGEXREPLACE(
    REGEXREPLACE(
      SUBSTITUTE(SUBSTITUTE(SUBSTITUTE(SUBSTITUTE(SUBSTITUTE(SUBSTITUTE(SUBSTITUTE(SUBSTITUTE(SUBSTITUTE(SUBSTITUTE(SUBSTITUTE(
        B711,""√©"",""é""),""√°"",""á""),""√±"",""ñ""),""√≥"",""ó""),""√â"",""é"&amp;"""),""√Å"",""á""),""√ç"",""í""),""√Ç"",""Í""),""√Â"",""é""),""√≠"",""í""),""√º"",""ú""),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11" s="28" t="str">
        <f>IFERROR(__xludf.DUMMYFUNCTION("SPLIT(
  TRIM(
    SUBSTITUTE(
      SUBSTITUTE(
        SUBSTITUTE(
          SUBSTITUTE(
            C711,
            ""√©"", ""é""
          ),
          ""√±"", ""ñ""
        ),
        ""√°"", ""á""
      ),
      ""√≥"", ""ó""
    )
  ),
  ""-""
)
"),"Laptop")</f>
        <v>Laptop</v>
      </c>
      <c r="O711" s="28" t="str">
        <f>IFERROR(__xludf.DUMMYFUNCTION("""COMPUTED_VALUE"""),"Oficina")</f>
        <v>Oficina</v>
      </c>
      <c r="P711" s="28" t="str">
        <f>IFERROR(__xludf.DUMMYFUNCTION("""COMPUTED_VALUE"""),"16GB")</f>
        <v>16GB</v>
      </c>
      <c r="Q711" s="29">
        <f t="shared" si="1"/>
        <v>1129</v>
      </c>
      <c r="R711" s="28">
        <f t="shared" si="2"/>
        <v>5</v>
      </c>
      <c r="S711" s="29">
        <f t="shared" si="3"/>
        <v>5645</v>
      </c>
      <c r="T711" s="28" t="str">
        <f>IFERROR(__xludf.DUMMYFUNCTION("PROPER(TRIM(
  LET(
    texto1, REGEXREPLACE(G711,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"),"Francisco Javier Mitzy Zedillo")</f>
        <v>Francisco Javier Mitzy Zedillo</v>
      </c>
      <c r="U711" s="28" t="str">
        <f t="shared" si="4"/>
        <v>2ec74e7f-5da0-49a5-b478-4adfba45fdd6</v>
      </c>
      <c r="V711" s="30" t="str">
        <f t="shared" si="5"/>
        <v>Laptop Oficina 16GB</v>
      </c>
    </row>
    <row r="712" ht="15.75" customHeight="1">
      <c r="A712" s="36">
        <v>45394.0</v>
      </c>
      <c r="B712" s="2" t="s">
        <v>38</v>
      </c>
      <c r="C712" s="2" t="s">
        <v>698</v>
      </c>
      <c r="D712" s="7">
        <v>2399.48</v>
      </c>
      <c r="E712" s="2">
        <v>2.0</v>
      </c>
      <c r="F712" s="7">
        <v>4798.96</v>
      </c>
      <c r="G712" s="2" t="s">
        <v>2438</v>
      </c>
      <c r="H712" s="2" t="s">
        <v>2439</v>
      </c>
      <c r="I712" s="2" t="s">
        <v>2440</v>
      </c>
      <c r="K712" s="19" t="str">
        <f>IFERROR(__xludf.DUMMYFUNCTION("IF(ISBLANK(A712),
  """",
  IF(ISNUMBER(A712),
    TEXT(A712,""dd/mm/yyyy""),
    IF(
      REGEXMATCH(TRIM(A712),""^\d{1,2}/\d{1,2}/\d{4}$""),
      TRIM(A712),
      IFERROR(
        TEXT(DATEVALUE(SUBSTITUTE(SUBSTITUTE(TRIM(A712),""-"",""/""),""."",""/"&amp;""")),""dd/mm/yyyy""),
        TRIM(A712)
      )
    )
  )
)
"),"12/04/2024")</f>
        <v>12/04/2024</v>
      </c>
      <c r="L712" s="20">
        <v>45394.0</v>
      </c>
      <c r="M712" s="21" t="str">
        <f>IFERROR(__xludf.DUMMYFUNCTION("PROPER(TRIM(
  REGEXREPLACE(
    REGEXREPLACE(
      SUBSTITUTE(SUBSTITUTE(SUBSTITUTE(SUBSTITUTE(SUBSTITUTE(SUBSTITUTE(SUBSTITUTE(SUBSTITUTE(SUBSTITUTE(SUBSTITUTE(SUBSTITUTE(
        B712,""√©"",""é""),""√°"",""á""),""√±"",""ñ""),""√≥"",""ó""),""√â"",""é"&amp;"""),""√Å"",""á""),""√ç"",""í""),""√Ç"",""Í""),""√Â"",""é""),""√≠"",""í""),""√º"",""ú""),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12" s="22" t="str">
        <f>IFERROR(__xludf.DUMMYFUNCTION("SPLIT(
  TRIM(
    SUBSTITUTE(
      SUBSTITUTE(
        SUBSTITUTE(
          SUBSTITUTE(
            C712,
            ""√©"", ""é""
          ),
          ""√±"", ""ñ""
        ),
        ""√°"", ""á""
      ),
      ""√≥"", ""ó""
    )
  ),
  ""-""
)
"),"Laptop")</f>
        <v>Laptop</v>
      </c>
      <c r="O712" s="22" t="str">
        <f>IFERROR(__xludf.DUMMYFUNCTION("""COMPUTED_VALUE"""),"Ultraliviana")</f>
        <v>Ultraliviana</v>
      </c>
      <c r="P712" s="22" t="str">
        <f>IFERROR(__xludf.DUMMYFUNCTION("""COMPUTED_VALUE"""),"8GB")</f>
        <v>8GB</v>
      </c>
      <c r="Q712" s="23">
        <f t="shared" si="1"/>
        <v>2399.48</v>
      </c>
      <c r="R712" s="22">
        <f t="shared" si="2"/>
        <v>2</v>
      </c>
      <c r="S712" s="23">
        <f t="shared" si="3"/>
        <v>4798.96</v>
      </c>
      <c r="T712" s="22" t="str">
        <f>IFERROR(__xludf.DUMMYFUNCTION("PROPER(TRIM(
  LET(
    texto1, REGEXREPLACE(G712,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Granados")</f>
        <v>Gilberto Granados</v>
      </c>
      <c r="U712" s="22" t="str">
        <f t="shared" si="4"/>
        <v>bb041e3e-efa8-46cc-b7a3-9b103ff31b8a</v>
      </c>
      <c r="V712" s="24" t="str">
        <f t="shared" si="5"/>
        <v>Laptop Ultraliviana 8GB</v>
      </c>
    </row>
    <row r="713" ht="15.75" customHeight="1">
      <c r="A713" s="6">
        <v>45642.0</v>
      </c>
      <c r="B713" s="2" t="s">
        <v>16</v>
      </c>
      <c r="C713" s="2" t="s">
        <v>17</v>
      </c>
      <c r="D713" s="7">
        <v>763.21</v>
      </c>
      <c r="E713" s="2">
        <v>5.0</v>
      </c>
      <c r="F713" s="7">
        <v>3816.05</v>
      </c>
      <c r="G713" s="2" t="s">
        <v>2441</v>
      </c>
      <c r="H713" s="2" t="s">
        <v>2442</v>
      </c>
      <c r="I713" s="2" t="s">
        <v>2443</v>
      </c>
      <c r="K713" s="25" t="str">
        <f>IFERROR(__xludf.DUMMYFUNCTION("IF(ISBLANK(A713),
  """",
  IF(ISNUMBER(A713),
    TEXT(A713,""dd/mm/yyyy""),
    IF(
      REGEXMATCH(TRIM(A713),""^\d{1,2}/\d{1,2}/\d{4}$""),
      TRIM(A713),
      IFERROR(
        TEXT(DATEVALUE(SUBSTITUTE(SUBSTITUTE(TRIM(A713),""-"",""/""),""."",""/"&amp;""")),""dd/mm/yyyy""),
        TRIM(A713)
      )
    )
  )
)
"),"16/12/2024")</f>
        <v>16/12/2024</v>
      </c>
      <c r="L713" s="26">
        <v>45642.0</v>
      </c>
      <c r="M713" s="27" t="str">
        <f>IFERROR(__xludf.DUMMYFUNCTION("PROPER(TRIM(
  REGEXREPLACE(
    REGEXREPLACE(
      SUBSTITUTE(SUBSTITUTE(SUBSTITUTE(SUBSTITUTE(SUBSTITUTE(SUBSTITUTE(SUBSTITUTE(SUBSTITUTE(SUBSTITUTE(SUBSTITUTE(SUBSTITUTE(
        B713,""√©"",""é""),""√°"",""á""),""√±"",""ñ""),""√≥"",""ó""),""√â"",""é"&amp;"""),""√Å"",""á""),""√ç"",""í""),""√Ç"",""Í""),""√Â"",""é""),""√≠"",""í""),""√º"",""ú""),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13" s="28" t="str">
        <f>IFERROR(__xludf.DUMMYFUNCTION("SPLIT(
  TRIM(
    SUBSTITUTE(
      SUBSTITUTE(
        SUBSTITUTE(
          SUBSTITUTE(
            C713,
            ""√©"", ""é""
          ),
          ""√±"", ""ñ""
        ),
        ""√°"", ""á""
      ),
      ""√≥"", ""ó""
    )
  ),
  ""-""
)
"),"Auriculares")</f>
        <v>Auriculares</v>
      </c>
      <c r="O713" s="28" t="str">
        <f>IFERROR(__xludf.DUMMYFUNCTION("""COMPUTED_VALUE"""),"Bluetooth")</f>
        <v>Bluetooth</v>
      </c>
      <c r="P713" s="28" t="str">
        <f>IFERROR(__xludf.DUMMYFUNCTION("""COMPUTED_VALUE"""),"8GB")</f>
        <v>8GB</v>
      </c>
      <c r="Q713" s="29">
        <f t="shared" si="1"/>
        <v>763.21</v>
      </c>
      <c r="R713" s="28">
        <f t="shared" si="2"/>
        <v>5</v>
      </c>
      <c r="S713" s="29">
        <f t="shared" si="3"/>
        <v>3816.05</v>
      </c>
      <c r="T713" s="28" t="str">
        <f>IFERROR(__xludf.DUMMYFUNCTION("PROPER(TRIM(
  LET(
    texto1, REGEXREPLACE(G713,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"),"Magdalena Bustamante")</f>
        <v>Magdalena Bustamante</v>
      </c>
      <c r="U713" s="28" t="str">
        <f t="shared" si="4"/>
        <v>9fd5d30c-2b67-444a-b0bd-e6ce0c2a3c03</v>
      </c>
      <c r="V713" s="30" t="str">
        <f t="shared" si="5"/>
        <v>Auriculares Bluetooth 8GB</v>
      </c>
    </row>
    <row r="714" ht="15.75" customHeight="1">
      <c r="A714" s="6">
        <v>45654.0</v>
      </c>
      <c r="B714" s="2" t="s">
        <v>50</v>
      </c>
      <c r="C714" s="2" t="s">
        <v>135</v>
      </c>
      <c r="D714" s="7">
        <v>1061.9</v>
      </c>
      <c r="E714" s="2">
        <v>4.0</v>
      </c>
      <c r="F714" s="7">
        <v>4247.6</v>
      </c>
      <c r="G714" s="2" t="s">
        <v>2444</v>
      </c>
      <c r="H714" s="2" t="s">
        <v>2445</v>
      </c>
      <c r="I714" s="2" t="s">
        <v>2446</v>
      </c>
      <c r="K714" s="19" t="str">
        <f>IFERROR(__xludf.DUMMYFUNCTION("IF(ISBLANK(A714),
  """",
  IF(ISNUMBER(A714),
    TEXT(A714,""dd/mm/yyyy""),
    IF(
      REGEXMATCH(TRIM(A714),""^\d{1,2}/\d{1,2}/\d{4}$""),
      TRIM(A714),
      IFERROR(
        TEXT(DATEVALUE(SUBSTITUTE(SUBSTITUTE(TRIM(A714),""-"",""/""),""."",""/"&amp;""")),""dd/mm/yyyy""),
        TRIM(A714)
      )
    )
  )
)
"),"28/12/2024")</f>
        <v>28/12/2024</v>
      </c>
      <c r="L714" s="20">
        <v>45654.0</v>
      </c>
      <c r="M714" s="21" t="str">
        <f>IFERROR(__xludf.DUMMYFUNCTION("PROPER(TRIM(
  REGEXREPLACE(
    REGEXREPLACE(
      SUBSTITUTE(SUBSTITUTE(SUBSTITUTE(SUBSTITUTE(SUBSTITUTE(SUBSTITUTE(SUBSTITUTE(SUBSTITUTE(SUBSTITUTE(SUBSTITUTE(SUBSTITUTE(
        B714,""√©"",""é""),""√°"",""á""),""√±"",""ñ""),""√≥"",""ó""),""√â"",""é"&amp;"""),""√Å"",""á""),""√ç"",""í""),""√Ç"",""Í""),""√Â"",""é""),""√≠"",""í""),""√º"",""ú""),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14" s="22" t="str">
        <f>IFERROR(__xludf.DUMMYFUNCTION("SPLIT(
  TRIM(
    SUBSTITUTE(
      SUBSTITUTE(
        SUBSTITUTE(
          SUBSTITUTE(
            C714,
            ""√©"", ""é""
          ),
          ""√±"", ""ñ""
        ),
        ""√°"", ""á""
      ),
      ""√≥"", ""ó""
    )
  ),
  ""-""
)
"),"Laptop")</f>
        <v>Laptop</v>
      </c>
      <c r="O714" s="22" t="str">
        <f>IFERROR(__xludf.DUMMYFUNCTION("""COMPUTED_VALUE"""),"Ultraliviana")</f>
        <v>Ultraliviana</v>
      </c>
      <c r="P714" s="22" t="str">
        <f>IFERROR(__xludf.DUMMYFUNCTION("""COMPUTED_VALUE"""),"32GB")</f>
        <v>32GB</v>
      </c>
      <c r="Q714" s="23">
        <f t="shared" si="1"/>
        <v>1061.9</v>
      </c>
      <c r="R714" s="22">
        <f t="shared" si="2"/>
        <v>4</v>
      </c>
      <c r="S714" s="23">
        <f t="shared" si="3"/>
        <v>4247.6</v>
      </c>
      <c r="T714" s="22" t="str">
        <f>IFERROR(__xludf.DUMMYFUNCTION("PROPER(TRIM(
  LET(
    texto1, REGEXREPLACE(G714,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Eduardo Moreno")</f>
        <v>José Eduardo Moreno</v>
      </c>
      <c r="U714" s="22" t="str">
        <f t="shared" si="4"/>
        <v>017b54f8-9568-458c-be6a-2127e15e3349</v>
      </c>
      <c r="V714" s="24" t="str">
        <f t="shared" si="5"/>
        <v>Laptop Ultraliviana 32GB</v>
      </c>
    </row>
    <row r="715" ht="15.75" customHeight="1">
      <c r="A715" s="6">
        <v>45584.0</v>
      </c>
      <c r="B715" s="2" t="s">
        <v>85</v>
      </c>
      <c r="C715" s="2" t="s">
        <v>33</v>
      </c>
      <c r="D715" s="7">
        <v>2329.03</v>
      </c>
      <c r="E715" s="2">
        <v>4.0</v>
      </c>
      <c r="F715" s="7">
        <v>9316.12</v>
      </c>
      <c r="G715" s="2" t="s">
        <v>2447</v>
      </c>
      <c r="H715" s="2" t="s">
        <v>2448</v>
      </c>
      <c r="I715" s="2" t="s">
        <v>2449</v>
      </c>
      <c r="K715" s="25" t="str">
        <f>IFERROR(__xludf.DUMMYFUNCTION("IF(ISBLANK(A715),
  """",
  IF(ISNUMBER(A715),
    TEXT(A715,""dd/mm/yyyy""),
    IF(
      REGEXMATCH(TRIM(A715),""^\d{1,2}/\d{1,2}/\d{4}$""),
      TRIM(A715),
      IFERROR(
        TEXT(DATEVALUE(SUBSTITUTE(SUBSTITUTE(TRIM(A715),""-"",""/""),""."",""/"&amp;""")),""dd/mm/yyyy""),
        TRIM(A715)
      )
    )
  )
)
"),"19/10/2024")</f>
        <v>19/10/2024</v>
      </c>
      <c r="L715" s="26">
        <v>45584.0</v>
      </c>
      <c r="M715" s="27" t="str">
        <f>IFERROR(__xludf.DUMMYFUNCTION("PROPER(TRIM(
  REGEXREPLACE(
    REGEXREPLACE(
      SUBSTITUTE(SUBSTITUTE(SUBSTITUTE(SUBSTITUTE(SUBSTITUTE(SUBSTITUTE(SUBSTITUTE(SUBSTITUTE(SUBSTITUTE(SUBSTITUTE(SUBSTITUTE(
        B715,""√©"",""é""),""√°"",""á""),""√±"",""ñ""),""√≥"",""ó""),""√â"",""é"&amp;"""),""√Å"",""á""),""√ç"",""í""),""√Ç"",""Í""),""√Â"",""é""),""√≠"",""í""),""√º"",""ú""),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15" s="28" t="str">
        <f>IFERROR(__xludf.DUMMYFUNCTION("SPLIT(
  TRIM(
    SUBSTITUTE(
      SUBSTITUTE(
        SUBSTITUTE(
          SUBSTITUTE(
            C715,
            ""√©"", ""é""
          ),
          ""√±"", ""ñ""
        ),
        ""√°"", ""á""
      ),
      ""√≥"", ""ó""
    )
  ),
  ""-""
)
"),"Teléfono")</f>
        <v>Teléfono</v>
      </c>
      <c r="O715" s="28" t="str">
        <f>IFERROR(__xludf.DUMMYFUNCTION("""COMPUTED_VALUE"""),"Gama alta")</f>
        <v>Gama alta</v>
      </c>
      <c r="P715" s="28" t="str">
        <f>IFERROR(__xludf.DUMMYFUNCTION("""COMPUTED_VALUE"""),"4GB")</f>
        <v>4GB</v>
      </c>
      <c r="Q715" s="29">
        <f t="shared" si="1"/>
        <v>2329.03</v>
      </c>
      <c r="R715" s="28">
        <f t="shared" si="2"/>
        <v>4</v>
      </c>
      <c r="S715" s="29">
        <f t="shared" si="3"/>
        <v>9316.12</v>
      </c>
      <c r="T715" s="28" t="str">
        <f>IFERROR(__xludf.DUMMYFUNCTION("PROPER(TRIM(
  LET(
    texto1, REGEXREPLACE(G715,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Zamora Téllez")</f>
        <v>Estela Zamora Téllez</v>
      </c>
      <c r="U715" s="28" t="str">
        <f t="shared" si="4"/>
        <v>8ce73f48-2cc5-4586-974b-db612bc9d6ae</v>
      </c>
      <c r="V715" s="30" t="str">
        <f t="shared" si="5"/>
        <v>Teléfono Gama alta 4GB</v>
      </c>
    </row>
    <row r="716" ht="15.75" customHeight="1">
      <c r="A716" s="6">
        <v>45618.0</v>
      </c>
      <c r="B716" s="2" t="s">
        <v>101</v>
      </c>
      <c r="C716" s="2" t="s">
        <v>121</v>
      </c>
      <c r="D716" s="7">
        <v>1249.46</v>
      </c>
      <c r="E716" s="2">
        <v>1.0</v>
      </c>
      <c r="F716" s="7">
        <v>1249.46</v>
      </c>
      <c r="G716" s="2" t="s">
        <v>2450</v>
      </c>
      <c r="H716" s="2" t="s">
        <v>2451</v>
      </c>
      <c r="I716" s="3" t="s">
        <v>2452</v>
      </c>
      <c r="K716" s="19" t="str">
        <f>IFERROR(__xludf.DUMMYFUNCTION("IF(ISBLANK(A716),
  """",
  IF(ISNUMBER(A716),
    TEXT(A716,""dd/mm/yyyy""),
    IF(
      REGEXMATCH(TRIM(A716),""^\d{1,2}/\d{1,2}/\d{4}$""),
      TRIM(A716),
      IFERROR(
        TEXT(DATEVALUE(SUBSTITUTE(SUBSTITUTE(TRIM(A716),""-"",""/""),""."",""/"&amp;""")),""dd/mm/yyyy""),
        TRIM(A716)
      )
    )
  )
)
"),"22/11/2024")</f>
        <v>22/11/2024</v>
      </c>
      <c r="L716" s="20">
        <v>45618.0</v>
      </c>
      <c r="M716" s="21" t="str">
        <f>IFERROR(__xludf.DUMMYFUNCTION("PROPER(TRIM(
  REGEXREPLACE(
    REGEXREPLACE(
      SUBSTITUTE(SUBSTITUTE(SUBSTITUTE(SUBSTITUTE(SUBSTITUTE(SUBSTITUTE(SUBSTITUTE(SUBSTITUTE(SUBSTITUTE(SUBSTITUTE(SUBSTITUTE(
        B716,""√©"",""é""),""√°"",""á""),""√±"",""ñ""),""√≥"",""ó""),""√â"",""é"&amp;"""),""√Å"",""á""),""√ç"",""í""),""√Ç"",""Í""),""√Â"",""é""),""√≠"",""í""),""√º"",""ú""),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16" s="22" t="str">
        <f>IFERROR(__xludf.DUMMYFUNCTION("SPLIT(
  TRIM(
    SUBSTITUTE(
      SUBSTITUTE(
        SUBSTITUTE(
          SUBSTITUTE(
            C716,
            ""√©"", ""é""
          ),
          ""√±"", ""ñ""
        ),
        ""√°"", ""á""
      ),
      ""√≥"", ""ó""
    )
  ),
  ""-""
)
"),"Teléfono")</f>
        <v>Teléfono</v>
      </c>
      <c r="O716" s="22" t="str">
        <f>IFERROR(__xludf.DUMMYFUNCTION("""COMPUTED_VALUE"""),"Gama baja")</f>
        <v>Gama baja</v>
      </c>
      <c r="P716" s="22" t="str">
        <f>IFERROR(__xludf.DUMMYFUNCTION("""COMPUTED_VALUE"""),"8GB")</f>
        <v>8GB</v>
      </c>
      <c r="Q716" s="23">
        <f t="shared" si="1"/>
        <v>1249.46</v>
      </c>
      <c r="R716" s="22">
        <f t="shared" si="2"/>
        <v>1</v>
      </c>
      <c r="S716" s="23">
        <f t="shared" si="3"/>
        <v>1249.46</v>
      </c>
      <c r="T716" s="22" t="str">
        <f>IFERROR(__xludf.DUMMYFUNCTION("PROPER(TRIM(
  LET(
    texto1, REGEXREPLACE(G716,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"),"Mayte Muro")</f>
        <v>Mayte Muro</v>
      </c>
      <c r="U716" s="33" t="str">
        <f t="shared" si="4"/>
        <v>69e33745-af53-42a9-8a08-ab9b741268f8</v>
      </c>
      <c r="V716" s="24" t="str">
        <f t="shared" si="5"/>
        <v>Teléfono Gama baja 8GB</v>
      </c>
    </row>
    <row r="717" ht="15.75" customHeight="1">
      <c r="A717" s="36">
        <v>45393.0</v>
      </c>
      <c r="B717" s="2" t="s">
        <v>27</v>
      </c>
      <c r="C717" s="2" t="s">
        <v>11</v>
      </c>
      <c r="D717" s="7">
        <v>1905.51</v>
      </c>
      <c r="E717" s="2">
        <v>2.0</v>
      </c>
      <c r="F717" s="7">
        <v>3811.02</v>
      </c>
      <c r="G717" s="2" t="s">
        <v>2453</v>
      </c>
      <c r="H717" s="2" t="s">
        <v>2454</v>
      </c>
      <c r="I717" s="2" t="s">
        <v>2455</v>
      </c>
      <c r="K717" s="25" t="str">
        <f>IFERROR(__xludf.DUMMYFUNCTION("IF(ISBLANK(A717),
  """",
  IF(ISNUMBER(A717),
    TEXT(A717,""dd/mm/yyyy""),
    IF(
      REGEXMATCH(TRIM(A717),""^\d{1,2}/\d{1,2}/\d{4}$""),
      TRIM(A717),
      IFERROR(
        TEXT(DATEVALUE(SUBSTITUTE(SUBSTITUTE(TRIM(A717),""-"",""/""),""."",""/"&amp;""")),""dd/mm/yyyy""),
        TRIM(A717)
      )
    )
  )
)
"),"11/04/2024")</f>
        <v>11/04/2024</v>
      </c>
      <c r="L717" s="26">
        <v>45393.0</v>
      </c>
      <c r="M717" s="27" t="str">
        <f>IFERROR(__xludf.DUMMYFUNCTION("PROPER(TRIM(
  REGEXREPLACE(
    REGEXREPLACE(
      SUBSTITUTE(SUBSTITUTE(SUBSTITUTE(SUBSTITUTE(SUBSTITUTE(SUBSTITUTE(SUBSTITUTE(SUBSTITUTE(SUBSTITUTE(SUBSTITUTE(SUBSTITUTE(
        B717,""√©"",""é""),""√°"",""á""),""√±"",""ñ""),""√≥"",""ó""),""√â"",""é"&amp;"""),""√Å"",""á""),""√ç"",""í""),""√Ç"",""Í""),""√Â"",""é""),""√≠"",""í""),""√º"",""ú""),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17" s="28" t="str">
        <f>IFERROR(__xludf.DUMMYFUNCTION("SPLIT(
  TRIM(
    SUBSTITUTE(
      SUBSTITUTE(
        SUBSTITUTE(
          SUBSTITUTE(
            C717,
            ""√©"", ""é""
          ),
          ""√±"", ""ñ""
        ),
        ""√°"", ""á""
      ),
      ""√≥"", ""ó""
    )
  ),
  ""-""
)
"),"Auriculares")</f>
        <v>Auriculares</v>
      </c>
      <c r="O717" s="28" t="str">
        <f>IFERROR(__xludf.DUMMYFUNCTION("""COMPUTED_VALUE"""),"Con cable")</f>
        <v>Con cable</v>
      </c>
      <c r="P717" s="28" t="str">
        <f>IFERROR(__xludf.DUMMYFUNCTION("""COMPUTED_VALUE"""),"32GB")</f>
        <v>32GB</v>
      </c>
      <c r="Q717" s="29">
        <f t="shared" si="1"/>
        <v>1905.51</v>
      </c>
      <c r="R717" s="28">
        <f t="shared" si="2"/>
        <v>2</v>
      </c>
      <c r="S717" s="29">
        <f t="shared" si="3"/>
        <v>3811.02</v>
      </c>
      <c r="T717" s="28" t="str">
        <f>IFERROR(__xludf.DUMMYFUNCTION("PROPER(TRIM(
  LET(
    texto1, REGEXREPLACE(G717,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Abigail Henríquez")</f>
        <v>Diego Abigail Henríquez</v>
      </c>
      <c r="U717" s="28" t="str">
        <f t="shared" si="4"/>
        <v>1a445c40-669c-4d48-9f7e-e41b2c6006d6</v>
      </c>
      <c r="V717" s="30" t="str">
        <f t="shared" si="5"/>
        <v>Auriculares Con cable 32GB</v>
      </c>
    </row>
    <row r="718" ht="15.75" customHeight="1">
      <c r="A718" s="36">
        <v>45608.0</v>
      </c>
      <c r="B718" s="2" t="s">
        <v>27</v>
      </c>
      <c r="C718" s="2" t="s">
        <v>75</v>
      </c>
      <c r="D718" s="7">
        <v>1151.85</v>
      </c>
      <c r="E718" s="2">
        <v>5.0</v>
      </c>
      <c r="F718" s="7">
        <v>5759.25</v>
      </c>
      <c r="G718" s="2" t="s">
        <v>2456</v>
      </c>
      <c r="H718" s="2" t="s">
        <v>2457</v>
      </c>
      <c r="I718" s="2" t="s">
        <v>2458</v>
      </c>
      <c r="K718" s="19" t="str">
        <f>IFERROR(__xludf.DUMMYFUNCTION("IF(ISBLANK(A718),
  """",
  IF(ISNUMBER(A718),
    TEXT(A718,""dd/mm/yyyy""),
    IF(
      REGEXMATCH(TRIM(A718),""^\d{1,2}/\d{1,2}/\d{4}$""),
      TRIM(A718),
      IFERROR(
        TEXT(DATEVALUE(SUBSTITUTE(SUBSTITUTE(TRIM(A718),""-"",""/""),""."",""/"&amp;""")),""dd/mm/yyyy""),
        TRIM(A718)
      )
    )
  )
)
"),"12/11/2024")</f>
        <v>12/11/2024</v>
      </c>
      <c r="L718" s="20">
        <v>45608.0</v>
      </c>
      <c r="M718" s="21" t="str">
        <f>IFERROR(__xludf.DUMMYFUNCTION("PROPER(TRIM(
  REGEXREPLACE(
    REGEXREPLACE(
      SUBSTITUTE(SUBSTITUTE(SUBSTITUTE(SUBSTITUTE(SUBSTITUTE(SUBSTITUTE(SUBSTITUTE(SUBSTITUTE(SUBSTITUTE(SUBSTITUTE(SUBSTITUTE(
        B718,""√©"",""é""),""√°"",""á""),""√±"",""ñ""),""√≥"",""ó""),""√â"",""é"&amp;"""),""√Å"",""á""),""√ç"",""í""),""√Ç"",""Í""),""√Â"",""é""),""√≠"",""í""),""√º"",""ú""),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18" s="22" t="str">
        <f>IFERROR(__xludf.DUMMYFUNCTION("SPLIT(
  TRIM(
    SUBSTITUTE(
      SUBSTITUTE(
        SUBSTITUTE(
          SUBSTITUTE(
            C718,
            ""√©"", ""é""
          ),
          ""√±"", ""ñ""
        ),
        ""√°"", ""á""
      ),
      ""√≥"", ""ó""
    )
  ),
  ""-""
)
"),"Tablet")</f>
        <v>Tablet</v>
      </c>
      <c r="O718" s="22" t="str">
        <f>IFERROR(__xludf.DUMMYFUNCTION("""COMPUTED_VALUE"""),"Pro")</f>
        <v>Pro</v>
      </c>
      <c r="P718" s="22" t="str">
        <f>IFERROR(__xludf.DUMMYFUNCTION("""COMPUTED_VALUE"""),"4GB")</f>
        <v>4GB</v>
      </c>
      <c r="Q718" s="23">
        <f t="shared" si="1"/>
        <v>1151.85</v>
      </c>
      <c r="R718" s="22">
        <f t="shared" si="2"/>
        <v>5</v>
      </c>
      <c r="S718" s="23">
        <f t="shared" si="3"/>
        <v>5759.25</v>
      </c>
      <c r="T718" s="22" t="str">
        <f>IFERROR(__xludf.DUMMYFUNCTION("PROPER(TRIM(
  LET(
    texto1, REGEXREPLACE(G718,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"),"Uriel Abel Rivero Vargas")</f>
        <v>Uriel Abel Rivero Vargas</v>
      </c>
      <c r="U718" s="22" t="str">
        <f t="shared" si="4"/>
        <v>b5d71709-4790-49a2-b5ad-435f7ed9b979</v>
      </c>
      <c r="V718" s="24" t="str">
        <f t="shared" si="5"/>
        <v>Tablet Pro 4GB</v>
      </c>
    </row>
    <row r="719" ht="15.75" customHeight="1">
      <c r="A719" s="6">
        <v>45580.0</v>
      </c>
      <c r="B719" s="2" t="s">
        <v>101</v>
      </c>
      <c r="C719" s="2" t="s">
        <v>11</v>
      </c>
      <c r="D719" s="7">
        <v>428.56</v>
      </c>
      <c r="E719" s="2">
        <v>1.0</v>
      </c>
      <c r="F719" s="7">
        <v>428.56</v>
      </c>
      <c r="G719" s="2" t="s">
        <v>2459</v>
      </c>
      <c r="H719" s="2" t="s">
        <v>2460</v>
      </c>
      <c r="I719" s="2" t="s">
        <v>2461</v>
      </c>
      <c r="K719" s="25" t="str">
        <f>IFERROR(__xludf.DUMMYFUNCTION("IF(ISBLANK(A719),
  """",
  IF(ISNUMBER(A719),
    TEXT(A719,""dd/mm/yyyy""),
    IF(
      REGEXMATCH(TRIM(A719),""^\d{1,2}/\d{1,2}/\d{4}$""),
      TRIM(A719),
      IFERROR(
        TEXT(DATEVALUE(SUBSTITUTE(SUBSTITUTE(TRIM(A719),""-"",""/""),""."",""/"&amp;""")),""dd/mm/yyyy""),
        TRIM(A719)
      )
    )
  )
)
"),"15/10/2024")</f>
        <v>15/10/2024</v>
      </c>
      <c r="L719" s="26">
        <v>45580.0</v>
      </c>
      <c r="M719" s="27" t="str">
        <f>IFERROR(__xludf.DUMMYFUNCTION("PROPER(TRIM(
  REGEXREPLACE(
    REGEXREPLACE(
      SUBSTITUTE(SUBSTITUTE(SUBSTITUTE(SUBSTITUTE(SUBSTITUTE(SUBSTITUTE(SUBSTITUTE(SUBSTITUTE(SUBSTITUTE(SUBSTITUTE(SUBSTITUTE(
        B719,""√©"",""é""),""√°"",""á""),""√±"",""ñ""),""√≥"",""ó""),""√â"",""é"&amp;"""),""√Å"",""á""),""√ç"",""í""),""√Ç"",""Í""),""√Â"",""é""),""√≠"",""í""),""√º"",""ú""),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19" s="28" t="str">
        <f>IFERROR(__xludf.DUMMYFUNCTION("SPLIT(
  TRIM(
    SUBSTITUTE(
      SUBSTITUTE(
        SUBSTITUTE(
          SUBSTITUTE(
            C719,
            ""√©"", ""é""
          ),
          ""√±"", ""ñ""
        ),
        ""√°"", ""á""
      ),
      ""√≥"", ""ó""
    )
  ),
  ""-""
)
"),"Auriculares")</f>
        <v>Auriculares</v>
      </c>
      <c r="O719" s="28" t="str">
        <f>IFERROR(__xludf.DUMMYFUNCTION("""COMPUTED_VALUE"""),"Con cable")</f>
        <v>Con cable</v>
      </c>
      <c r="P719" s="28" t="str">
        <f>IFERROR(__xludf.DUMMYFUNCTION("""COMPUTED_VALUE"""),"32GB")</f>
        <v>32GB</v>
      </c>
      <c r="Q719" s="29">
        <f t="shared" si="1"/>
        <v>428.56</v>
      </c>
      <c r="R719" s="28">
        <f t="shared" si="2"/>
        <v>1</v>
      </c>
      <c r="S719" s="29">
        <f t="shared" si="3"/>
        <v>428.56</v>
      </c>
      <c r="T719" s="28" t="str">
        <f>IFERROR(__xludf.DUMMYFUNCTION("PROPER(TRIM(
  LET(
    texto1, REGEXREPLACE(G719,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José Santana")</f>
        <v>Vanesa José Santana</v>
      </c>
      <c r="U719" s="28" t="str">
        <f t="shared" si="4"/>
        <v>165c0023-40a6-48a9-847c-8e2378c194fd</v>
      </c>
      <c r="V719" s="30" t="str">
        <f t="shared" si="5"/>
        <v>Auriculares Con cable 32GB</v>
      </c>
    </row>
    <row r="720" ht="15.75" customHeight="1">
      <c r="A720" s="36">
        <v>45637.0</v>
      </c>
      <c r="B720" s="2" t="s">
        <v>16</v>
      </c>
      <c r="C720" s="2" t="s">
        <v>111</v>
      </c>
      <c r="D720" s="7">
        <v>1672.13</v>
      </c>
      <c r="E720" s="2">
        <v>4.0</v>
      </c>
      <c r="F720" s="7">
        <v>6688.52</v>
      </c>
      <c r="G720" s="2" t="s">
        <v>2462</v>
      </c>
      <c r="H720" s="2" t="s">
        <v>2463</v>
      </c>
      <c r="I720" s="2" t="s">
        <v>2464</v>
      </c>
      <c r="K720" s="19" t="str">
        <f>IFERROR(__xludf.DUMMYFUNCTION("IF(ISBLANK(A720),
  """",
  IF(ISNUMBER(A720),
    TEXT(A720,""dd/mm/yyyy""),
    IF(
      REGEXMATCH(TRIM(A720),""^\d{1,2}/\d{1,2}/\d{4}$""),
      TRIM(A720),
      IFERROR(
        TEXT(DATEVALUE(SUBSTITUTE(SUBSTITUTE(TRIM(A720),""-"",""/""),""."",""/"&amp;""")),""dd/mm/yyyy""),
        TRIM(A720)
      )
    )
  )
)
"),"11/12/2024")</f>
        <v>11/12/2024</v>
      </c>
      <c r="L720" s="20">
        <v>45637.0</v>
      </c>
      <c r="M720" s="21" t="str">
        <f>IFERROR(__xludf.DUMMYFUNCTION("PROPER(TRIM(
  REGEXREPLACE(
    REGEXREPLACE(
      SUBSTITUTE(SUBSTITUTE(SUBSTITUTE(SUBSTITUTE(SUBSTITUTE(SUBSTITUTE(SUBSTITUTE(SUBSTITUTE(SUBSTITUTE(SUBSTITUTE(SUBSTITUTE(
        B720,""√©"",""é""),""√°"",""á""),""√±"",""ñ""),""√≥"",""ó""),""√â"",""é"&amp;"""),""√Å"",""á""),""√ç"",""í""),""√Ç"",""Í""),""√Â"",""é""),""√≠"",""í""),""√º"",""ú""),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20" s="22" t="str">
        <f>IFERROR(__xludf.DUMMYFUNCTION("SPLIT(
  TRIM(
    SUBSTITUTE(
      SUBSTITUTE(
        SUBSTITUTE(
          SUBSTITUTE(
            C720,
            ""√©"", ""é""
          ),
          ""√±"", ""ñ""
        ),
        ""√°"", ""á""
      ),
      ""√≥"", ""ó""
    )
  ),
  ""-""
)
"),"Tablet")</f>
        <v>Tablet</v>
      </c>
      <c r="O720" s="22" t="str">
        <f>IFERROR(__xludf.DUMMYFUNCTION("""COMPUTED_VALUE"""),"Estándar")</f>
        <v>Estándar</v>
      </c>
      <c r="P720" s="22" t="str">
        <f>IFERROR(__xludf.DUMMYFUNCTION("""COMPUTED_VALUE"""),"16GB")</f>
        <v>16GB</v>
      </c>
      <c r="Q720" s="23">
        <f t="shared" si="1"/>
        <v>1672.13</v>
      </c>
      <c r="R720" s="22">
        <f t="shared" si="2"/>
        <v>4</v>
      </c>
      <c r="S720" s="23">
        <f t="shared" si="3"/>
        <v>6688.52</v>
      </c>
      <c r="T720" s="22" t="str">
        <f>IFERROR(__xludf.DUMMYFUNCTION("PROPER(TRIM(
  LET(
    texto1, REGEXREPLACE(G720,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Cristina Amelia Rosario Trujillo")</f>
        <v>María Cristina Amelia Rosario Trujillo</v>
      </c>
      <c r="U720" s="22" t="str">
        <f t="shared" si="4"/>
        <v>4b28f4e5-d521-4d6e-94a1-2e2d06559b71</v>
      </c>
      <c r="V720" s="24" t="str">
        <f t="shared" si="5"/>
        <v>Tablet Estándar 16GB</v>
      </c>
    </row>
    <row r="721" ht="15.75" customHeight="1">
      <c r="A721" s="36">
        <v>45422.0</v>
      </c>
      <c r="B721" s="2" t="s">
        <v>101</v>
      </c>
      <c r="C721" s="2" t="s">
        <v>593</v>
      </c>
      <c r="D721" s="7">
        <v>1312.69</v>
      </c>
      <c r="E721" s="2">
        <v>5.0</v>
      </c>
      <c r="F721" s="7">
        <v>6563.45</v>
      </c>
      <c r="G721" s="2" t="s">
        <v>2465</v>
      </c>
      <c r="H721" s="2" t="s">
        <v>2466</v>
      </c>
      <c r="I721" s="2" t="s">
        <v>2467</v>
      </c>
      <c r="K721" s="25" t="str">
        <f>IFERROR(__xludf.DUMMYFUNCTION("IF(ISBLANK(A721),
  """",
  IF(ISNUMBER(A721),
    TEXT(A721,""dd/mm/yyyy""),
    IF(
      REGEXMATCH(TRIM(A721),""^\d{1,2}/\d{1,2}/\d{4}$""),
      TRIM(A721),
      IFERROR(
        TEXT(DATEVALUE(SUBSTITUTE(SUBSTITUTE(TRIM(A721),""-"",""/""),""."",""/"&amp;""")),""dd/mm/yyyy""),
        TRIM(A721)
      )
    )
  )
)
"),"10/05/2024")</f>
        <v>10/05/2024</v>
      </c>
      <c r="L721" s="26">
        <v>45422.0</v>
      </c>
      <c r="M721" s="27" t="str">
        <f>IFERROR(__xludf.DUMMYFUNCTION("PROPER(TRIM(
  REGEXREPLACE(
    REGEXREPLACE(
      SUBSTITUTE(SUBSTITUTE(SUBSTITUTE(SUBSTITUTE(SUBSTITUTE(SUBSTITUTE(SUBSTITUTE(SUBSTITUTE(SUBSTITUTE(SUBSTITUTE(SUBSTITUTE(
        B721,""√©"",""é""),""√°"",""á""),""√±"",""ñ""),""√≥"",""ó""),""√â"",""é"&amp;"""),""√Å"",""á""),""√ç"",""í""),""√Ç"",""Í""),""√Â"",""é""),""√≠"",""í""),""√º"",""ú""),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21" s="28" t="str">
        <f>IFERROR(__xludf.DUMMYFUNCTION("SPLIT(
  TRIM(
    SUBSTITUTE(
      SUBSTITUTE(
        SUBSTITUTE(
          SUBSTITUTE(
            C721,
            ""√©"", ""é""
          ),
          ""√±"", ""ñ""
        ),
        ""√°"", ""á""
      ),
      ""√≥"", ""ó""
    )
  ),
  ""-""
)
"),"Laptop")</f>
        <v>Laptop</v>
      </c>
      <c r="O721" s="28" t="str">
        <f>IFERROR(__xludf.DUMMYFUNCTION("""COMPUTED_VALUE"""),"Gaming")</f>
        <v>Gaming</v>
      </c>
      <c r="P721" s="28" t="str">
        <f>IFERROR(__xludf.DUMMYFUNCTION("""COMPUTED_VALUE"""),"16GB")</f>
        <v>16GB</v>
      </c>
      <c r="Q721" s="29">
        <f t="shared" si="1"/>
        <v>1312.69</v>
      </c>
      <c r="R721" s="28">
        <f t="shared" si="2"/>
        <v>5</v>
      </c>
      <c r="S721" s="29">
        <f t="shared" si="3"/>
        <v>6563.45</v>
      </c>
      <c r="T721" s="28" t="str">
        <f>IFERROR(__xludf.DUMMYFUNCTION("PROPER(TRIM(
  LET(
    texto1, REGEXREPLACE(G721,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"),"Miriam Rosales")</f>
        <v>Miriam Rosales</v>
      </c>
      <c r="U721" s="28" t="str">
        <f t="shared" si="4"/>
        <v>2fe40e73-e64d-4041-8cab-8d5839371f3e</v>
      </c>
      <c r="V721" s="30" t="str">
        <f t="shared" si="5"/>
        <v>Laptop Gaming 16GB</v>
      </c>
    </row>
    <row r="722" ht="15.75" customHeight="1">
      <c r="A722" s="36">
        <v>45333.0</v>
      </c>
      <c r="B722" s="2" t="s">
        <v>27</v>
      </c>
      <c r="C722" s="2" t="s">
        <v>397</v>
      </c>
      <c r="D722" s="7">
        <v>1306.96</v>
      </c>
      <c r="E722" s="2">
        <v>2.0</v>
      </c>
      <c r="F722" s="7">
        <v>2613.92</v>
      </c>
      <c r="G722" s="2" t="s">
        <v>2469</v>
      </c>
      <c r="H722" s="2" t="s">
        <v>2470</v>
      </c>
      <c r="I722" s="2" t="s">
        <v>2471</v>
      </c>
      <c r="K722" s="19" t="str">
        <f>IFERROR(__xludf.DUMMYFUNCTION("IF(ISBLANK(A722),
  """",
  IF(ISNUMBER(A722),
    TEXT(A722,""dd/mm/yyyy""),
    IF(
      REGEXMATCH(TRIM(A722),""^\d{1,2}/\d{1,2}/\d{4}$""),
      TRIM(A722),
      IFERROR(
        TEXT(DATEVALUE(SUBSTITUTE(SUBSTITUTE(TRIM(A722),""-"",""/""),""."",""/"&amp;""")),""dd/mm/yyyy""),
        TRIM(A722)
      )
    )
  )
)
"),"11/02/2024")</f>
        <v>11/02/2024</v>
      </c>
      <c r="L722" s="20">
        <v>45333.0</v>
      </c>
      <c r="M722" s="21" t="str">
        <f>IFERROR(__xludf.DUMMYFUNCTION("PROPER(TRIM(
  REGEXREPLACE(
    REGEXREPLACE(
      SUBSTITUTE(SUBSTITUTE(SUBSTITUTE(SUBSTITUTE(SUBSTITUTE(SUBSTITUTE(SUBSTITUTE(SUBSTITUTE(SUBSTITUTE(SUBSTITUTE(SUBSTITUTE(
        B722,""√©"",""é""),""√°"",""á""),""√±"",""ñ""),""√≥"",""ó""),""√â"",""é"&amp;"""),""√Å"",""á""),""√ç"",""í""),""√Ç"",""Í""),""√Â"",""é""),""√≠"",""í""),""√º"",""ú""),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22" s="22" t="str">
        <f>IFERROR(__xludf.DUMMYFUNCTION("SPLIT(
  TRIM(
    SUBSTITUTE(
      SUBSTITUTE(
        SUBSTITUTE(
          SUBSTITUTE(
            C722,
            ""√©"", ""é""
          ),
          ""√±"", ""ñ""
        ),
        ""√°"", ""á""
      ),
      ""√≥"", ""ó""
    )
  ),
  ""-""
)
"),"Teléfono")</f>
        <v>Teléfono</v>
      </c>
      <c r="O722" s="22" t="str">
        <f>IFERROR(__xludf.DUMMYFUNCTION("""COMPUTED_VALUE"""),"Gama media")</f>
        <v>Gama media</v>
      </c>
      <c r="P722" s="22" t="str">
        <f>IFERROR(__xludf.DUMMYFUNCTION("""COMPUTED_VALUE"""),"32GB")</f>
        <v>32GB</v>
      </c>
      <c r="Q722" s="23">
        <f t="shared" si="1"/>
        <v>1306.96</v>
      </c>
      <c r="R722" s="22">
        <f t="shared" si="2"/>
        <v>2</v>
      </c>
      <c r="S722" s="23">
        <f t="shared" si="3"/>
        <v>2613.92</v>
      </c>
      <c r="T722" s="22" t="str">
        <f>IFERROR(__xludf.DUMMYFUNCTION("PROPER(TRIM(
  LET(
    texto1, REGEXREPLACE(G722,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"),"Eugenia Franco")</f>
        <v>Eugenia Franco</v>
      </c>
      <c r="U722" s="22" t="str">
        <f t="shared" si="4"/>
        <v>ea9a5757-0b3d-4e68-a589-fa1e990cd6ce</v>
      </c>
      <c r="V722" s="24" t="str">
        <f t="shared" si="5"/>
        <v>Teléfono Gama media 32GB</v>
      </c>
    </row>
    <row r="723" ht="15.75" customHeight="1">
      <c r="A723" s="36">
        <v>45453.0</v>
      </c>
      <c r="B723" s="2" t="s">
        <v>101</v>
      </c>
      <c r="C723" s="2" t="s">
        <v>91</v>
      </c>
      <c r="D723" s="7">
        <v>164.87</v>
      </c>
      <c r="E723" s="2">
        <v>3.0</v>
      </c>
      <c r="F723" s="7">
        <v>494.61</v>
      </c>
      <c r="G723" s="2" t="s">
        <v>2472</v>
      </c>
      <c r="H723" s="2" t="s">
        <v>2473</v>
      </c>
      <c r="I723" s="2" t="s">
        <v>2474</v>
      </c>
      <c r="K723" s="25" t="str">
        <f>IFERROR(__xludf.DUMMYFUNCTION("IF(ISBLANK(A723),
  """",
  IF(ISNUMBER(A723),
    TEXT(A723,""dd/mm/yyyy""),
    IF(
      REGEXMATCH(TRIM(A723),""^\d{1,2}/\d{1,2}/\d{4}$""),
      TRIM(A723),
      IFERROR(
        TEXT(DATEVALUE(SUBSTITUTE(SUBSTITUTE(TRIM(A723),""-"",""/""),""."",""/"&amp;""")),""dd/mm/yyyy""),
        TRIM(A723)
      )
    )
  )
)
"),"10/06/2024")</f>
        <v>10/06/2024</v>
      </c>
      <c r="L723" s="26">
        <v>45453.0</v>
      </c>
      <c r="M723" s="27" t="str">
        <f>IFERROR(__xludf.DUMMYFUNCTION("PROPER(TRIM(
  REGEXREPLACE(
    REGEXREPLACE(
      SUBSTITUTE(SUBSTITUTE(SUBSTITUTE(SUBSTITUTE(SUBSTITUTE(SUBSTITUTE(SUBSTITUTE(SUBSTITUTE(SUBSTITUTE(SUBSTITUTE(SUBSTITUTE(
        B723,""√©"",""é""),""√°"",""á""),""√±"",""ñ""),""√≥"",""ó""),""√â"",""é"&amp;"""),""√Å"",""á""),""√ç"",""í""),""√Ç"",""Í""),""√Â"",""é""),""√≠"",""í""),""√º"",""ú""),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23" s="28" t="str">
        <f>IFERROR(__xludf.DUMMYFUNCTION("SPLIT(
  TRIM(
    SUBSTITUTE(
      SUBSTITUTE(
        SUBSTITUTE(
          SUBSTITUTE(
            C723,
            ""√©"", ""é""
          ),
          ""√±"", ""ñ""
        ),
        ""√°"", ""á""
      ),
      ""√≥"", ""ó""
    )
  ),
  ""-""
)
"),"Tablet")</f>
        <v>Tablet</v>
      </c>
      <c r="O723" s="28" t="str">
        <f>IFERROR(__xludf.DUMMYFUNCTION("""COMPUTED_VALUE"""),"Mini")</f>
        <v>Mini</v>
      </c>
      <c r="P723" s="28" t="str">
        <f>IFERROR(__xludf.DUMMYFUNCTION("""COMPUTED_VALUE"""),"32GB")</f>
        <v>32GB</v>
      </c>
      <c r="Q723" s="29">
        <f t="shared" si="1"/>
        <v>164.87</v>
      </c>
      <c r="R723" s="28">
        <f t="shared" si="2"/>
        <v>3</v>
      </c>
      <c r="S723" s="29">
        <f t="shared" si="3"/>
        <v>494.61</v>
      </c>
      <c r="T723" s="28" t="str">
        <f>IFERROR(__xludf.DUMMYFUNCTION("PROPER(TRIM(
  LET(
    texto1, REGEXREPLACE(G723,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Gómez Montañez")</f>
        <v>Estela Gómez Montañez</v>
      </c>
      <c r="U723" s="28" t="str">
        <f t="shared" si="4"/>
        <v>35f1d04b-c1d9-4983-9fa7-6f9262ea97cc</v>
      </c>
      <c r="V723" s="30" t="str">
        <f t="shared" si="5"/>
        <v>Tablet Mini 32GB</v>
      </c>
    </row>
    <row r="724" ht="15.75" customHeight="1">
      <c r="A724" s="6">
        <v>45654.0</v>
      </c>
      <c r="B724" s="2" t="s">
        <v>50</v>
      </c>
      <c r="C724" s="2" t="s">
        <v>385</v>
      </c>
      <c r="D724" s="7">
        <v>1152.78</v>
      </c>
      <c r="E724" s="2">
        <v>4.0</v>
      </c>
      <c r="F724" s="7">
        <v>4611.12</v>
      </c>
      <c r="G724" s="2" t="s">
        <v>2475</v>
      </c>
      <c r="H724" s="2" t="s">
        <v>2476</v>
      </c>
      <c r="I724" s="2" t="s">
        <v>2477</v>
      </c>
      <c r="K724" s="19" t="str">
        <f>IFERROR(__xludf.DUMMYFUNCTION("IF(ISBLANK(A724),
  """",
  IF(ISNUMBER(A724),
    TEXT(A724,""dd/mm/yyyy""),
    IF(
      REGEXMATCH(TRIM(A724),""^\d{1,2}/\d{1,2}/\d{4}$""),
      TRIM(A724),
      IFERROR(
        TEXT(DATEVALUE(SUBSTITUTE(SUBSTITUTE(TRIM(A724),""-"",""/""),""."",""/"&amp;""")),""dd/mm/yyyy""),
        TRIM(A724)
      )
    )
  )
)
"),"28/12/2024")</f>
        <v>28/12/2024</v>
      </c>
      <c r="L724" s="20">
        <v>45654.0</v>
      </c>
      <c r="M724" s="21" t="str">
        <f>IFERROR(__xludf.DUMMYFUNCTION("PROPER(TRIM(
  REGEXREPLACE(
    REGEXREPLACE(
      SUBSTITUTE(SUBSTITUTE(SUBSTITUTE(SUBSTITUTE(SUBSTITUTE(SUBSTITUTE(SUBSTITUTE(SUBSTITUTE(SUBSTITUTE(SUBSTITUTE(SUBSTITUTE(
        B724,""√©"",""é""),""√°"",""á""),""√±"",""ñ""),""√≥"",""ó""),""√â"",""é"&amp;"""),""√Å"",""á""),""√ç"",""í""),""√Ç"",""Í""),""√Â"",""é""),""√≠"",""í""),""√º"",""ú""),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24" s="22" t="str">
        <f>IFERROR(__xludf.DUMMYFUNCTION("SPLIT(
  TRIM(
    SUBSTITUTE(
      SUBSTITUTE(
        SUBSTITUTE(
          SUBSTITUTE(
            C724,
            ""√©"", ""é""
          ),
          ""√±"", ""ñ""
        ),
        ""√°"", ""á""
      ),
      ""√≥"", ""ó""
    )
  ),
  ""-""
)
"),"Tablet")</f>
        <v>Tablet</v>
      </c>
      <c r="O724" s="22" t="str">
        <f>IFERROR(__xludf.DUMMYFUNCTION("""COMPUTED_VALUE"""),"Estándar")</f>
        <v>Estándar</v>
      </c>
      <c r="P724" s="22" t="str">
        <f>IFERROR(__xludf.DUMMYFUNCTION("""COMPUTED_VALUE"""),"32GB")</f>
        <v>32GB</v>
      </c>
      <c r="Q724" s="23">
        <f t="shared" si="1"/>
        <v>1152.78</v>
      </c>
      <c r="R724" s="22">
        <f t="shared" si="2"/>
        <v>4</v>
      </c>
      <c r="S724" s="23">
        <f t="shared" si="3"/>
        <v>4611.12</v>
      </c>
      <c r="T724" s="22" t="str">
        <f>IFERROR(__xludf.DUMMYFUNCTION("PROPER(TRIM(
  LET(
    texto1, REGEXREPLACE(G724,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"),"Rsula Palacios")</f>
        <v>Rsula Palacios</v>
      </c>
      <c r="U724" s="22" t="str">
        <f t="shared" si="4"/>
        <v>8d755bac-229c-4065-93f5-cba971acb014</v>
      </c>
      <c r="V724" s="24" t="str">
        <f t="shared" si="5"/>
        <v>Tablet Estándar 32GB</v>
      </c>
    </row>
    <row r="725" ht="15.75" customHeight="1">
      <c r="A725" s="6">
        <v>45587.0</v>
      </c>
      <c r="B725" s="2" t="s">
        <v>16</v>
      </c>
      <c r="C725" s="2" t="s">
        <v>250</v>
      </c>
      <c r="D725" s="7">
        <v>2063.13</v>
      </c>
      <c r="E725" s="2">
        <v>4.0</v>
      </c>
      <c r="F725" s="7">
        <v>8252.52</v>
      </c>
      <c r="G725" s="2" t="s">
        <v>2478</v>
      </c>
      <c r="H725" s="2" t="s">
        <v>2479</v>
      </c>
      <c r="I725" s="2" t="s">
        <v>2480</v>
      </c>
      <c r="K725" s="25" t="str">
        <f>IFERROR(__xludf.DUMMYFUNCTION("IF(ISBLANK(A725),
  """",
  IF(ISNUMBER(A725),
    TEXT(A725,""dd/mm/yyyy""),
    IF(
      REGEXMATCH(TRIM(A725),""^\d{1,2}/\d{1,2}/\d{4}$""),
      TRIM(A725),
      IFERROR(
        TEXT(DATEVALUE(SUBSTITUTE(SUBSTITUTE(TRIM(A725),""-"",""/""),""."",""/"&amp;""")),""dd/mm/yyyy""),
        TRIM(A725)
      )
    )
  )
)
"),"22/10/2024")</f>
        <v>22/10/2024</v>
      </c>
      <c r="L725" s="26">
        <v>45587.0</v>
      </c>
      <c r="M725" s="27" t="str">
        <f>IFERROR(__xludf.DUMMYFUNCTION("PROPER(TRIM(
  REGEXREPLACE(
    REGEXREPLACE(
      SUBSTITUTE(SUBSTITUTE(SUBSTITUTE(SUBSTITUTE(SUBSTITUTE(SUBSTITUTE(SUBSTITUTE(SUBSTITUTE(SUBSTITUTE(SUBSTITUTE(SUBSTITUTE(
        B725,""√©"",""é""),""√°"",""á""),""√±"",""ñ""),""√≥"",""ó""),""√â"",""é"&amp;"""),""√Å"",""á""),""√ç"",""í""),""√Ç"",""Í""),""√Â"",""é""),""√≠"",""í""),""√º"",""ú""),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25" s="28" t="str">
        <f>IFERROR(__xludf.DUMMYFUNCTION("SPLIT(
  TRIM(
    SUBSTITUTE(
      SUBSTITUTE(
        SUBSTITUTE(
          SUBSTITUTE(
            C725,
            ""√©"", ""é""
          ),
          ""√±"", ""ñ""
        ),
        ""√°"", ""á""
      ),
      ""√≥"", ""ó""
    )
  ),
  ""-""
)
"),"Laptop")</f>
        <v>Laptop</v>
      </c>
      <c r="O725" s="28" t="str">
        <f>IFERROR(__xludf.DUMMYFUNCTION("""COMPUTED_VALUE"""),"Oficina")</f>
        <v>Oficina</v>
      </c>
      <c r="P725" s="28" t="str">
        <f>IFERROR(__xludf.DUMMYFUNCTION("""COMPUTED_VALUE"""),"32GB")</f>
        <v>32GB</v>
      </c>
      <c r="Q725" s="29">
        <f t="shared" si="1"/>
        <v>2063.13</v>
      </c>
      <c r="R725" s="28">
        <f t="shared" si="2"/>
        <v>4</v>
      </c>
      <c r="S725" s="29">
        <f t="shared" si="3"/>
        <v>8252.52</v>
      </c>
      <c r="T725" s="28" t="str">
        <f>IFERROR(__xludf.DUMMYFUNCTION("PROPER(TRIM(
  LET(
    texto1, REGEXREPLACE(G725,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"),"Flavio Terán")</f>
        <v>Flavio Terán</v>
      </c>
      <c r="U725" s="28" t="str">
        <f t="shared" si="4"/>
        <v>59db14ef-c72f-4719-807c-e681756eb5ee</v>
      </c>
      <c r="V725" s="30" t="str">
        <f t="shared" si="5"/>
        <v>Laptop Oficina 32GB</v>
      </c>
    </row>
    <row r="726" ht="15.75" customHeight="1">
      <c r="A726" s="6">
        <v>45622.0</v>
      </c>
      <c r="B726" s="2" t="s">
        <v>16</v>
      </c>
      <c r="C726" s="2" t="s">
        <v>397</v>
      </c>
      <c r="D726" s="7">
        <v>2210.34</v>
      </c>
      <c r="E726" s="2">
        <v>3.0</v>
      </c>
      <c r="F726" s="7">
        <v>6631.02</v>
      </c>
      <c r="G726" s="2" t="s">
        <v>2481</v>
      </c>
      <c r="H726" s="2" t="s">
        <v>2482</v>
      </c>
      <c r="I726" s="2" t="s">
        <v>2483</v>
      </c>
      <c r="K726" s="19" t="str">
        <f>IFERROR(__xludf.DUMMYFUNCTION("IF(ISBLANK(A726),
  """",
  IF(ISNUMBER(A726),
    TEXT(A726,""dd/mm/yyyy""),
    IF(
      REGEXMATCH(TRIM(A726),""^\d{1,2}/\d{1,2}/\d{4}$""),
      TRIM(A726),
      IFERROR(
        TEXT(DATEVALUE(SUBSTITUTE(SUBSTITUTE(TRIM(A726),""-"",""/""),""."",""/"&amp;""")),""dd/mm/yyyy""),
        TRIM(A726)
      )
    )
  )
)
"),"26/11/2024")</f>
        <v>26/11/2024</v>
      </c>
      <c r="L726" s="20">
        <v>45622.0</v>
      </c>
      <c r="M726" s="21" t="str">
        <f>IFERROR(__xludf.DUMMYFUNCTION("PROPER(TRIM(
  REGEXREPLACE(
    REGEXREPLACE(
      SUBSTITUTE(SUBSTITUTE(SUBSTITUTE(SUBSTITUTE(SUBSTITUTE(SUBSTITUTE(SUBSTITUTE(SUBSTITUTE(SUBSTITUTE(SUBSTITUTE(SUBSTITUTE(
        B726,""√©"",""é""),""√°"",""á""),""√±"",""ñ""),""√≥"",""ó""),""√â"",""é"&amp;"""),""√Å"",""á""),""√ç"",""í""),""√Ç"",""Í""),""√Â"",""é""),""√≠"",""í""),""√º"",""ú""),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26" s="22" t="str">
        <f>IFERROR(__xludf.DUMMYFUNCTION("SPLIT(
  TRIM(
    SUBSTITUTE(
      SUBSTITUTE(
        SUBSTITUTE(
          SUBSTITUTE(
            C726,
            ""√©"", ""é""
          ),
          ""√±"", ""ñ""
        ),
        ""√°"", ""á""
      ),
      ""√≥"", ""ó""
    )
  ),
  ""-""
)
"),"Teléfono")</f>
        <v>Teléfono</v>
      </c>
      <c r="O726" s="22" t="str">
        <f>IFERROR(__xludf.DUMMYFUNCTION("""COMPUTED_VALUE"""),"Gama media")</f>
        <v>Gama media</v>
      </c>
      <c r="P726" s="22" t="str">
        <f>IFERROR(__xludf.DUMMYFUNCTION("""COMPUTED_VALUE"""),"32GB")</f>
        <v>32GB</v>
      </c>
      <c r="Q726" s="23">
        <f t="shared" si="1"/>
        <v>2210.34</v>
      </c>
      <c r="R726" s="22">
        <f t="shared" si="2"/>
        <v>3</v>
      </c>
      <c r="S726" s="23">
        <f t="shared" si="3"/>
        <v>6631.02</v>
      </c>
      <c r="T726" s="22" t="str">
        <f>IFERROR(__xludf.DUMMYFUNCTION("PROPER(TRIM(
  LET(
    texto1, REGEXREPLACE(G726,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"),"Conchita Barrientos Olvera")</f>
        <v>Conchita Barrientos Olvera</v>
      </c>
      <c r="U726" s="22" t="str">
        <f t="shared" si="4"/>
        <v>03e2d336-f9ca-4b38-a731-4fc42de09dfd</v>
      </c>
      <c r="V726" s="24" t="str">
        <f t="shared" si="5"/>
        <v>Teléfono Gama media 32GB</v>
      </c>
    </row>
    <row r="727" ht="15.75" customHeight="1">
      <c r="A727" s="36">
        <v>45547.0</v>
      </c>
      <c r="B727" s="2" t="s">
        <v>50</v>
      </c>
      <c r="C727" s="2" t="s">
        <v>245</v>
      </c>
      <c r="D727" s="7">
        <v>1125.48</v>
      </c>
      <c r="E727" s="2">
        <v>2.0</v>
      </c>
      <c r="F727" s="7">
        <v>2250.96</v>
      </c>
      <c r="G727" s="2" t="s">
        <v>2484</v>
      </c>
      <c r="H727" s="2" t="s">
        <v>2485</v>
      </c>
      <c r="I727" s="2" t="s">
        <v>2486</v>
      </c>
      <c r="K727" s="25" t="str">
        <f>IFERROR(__xludf.DUMMYFUNCTION("IF(ISBLANK(A727),
  """",
  IF(ISNUMBER(A727),
    TEXT(A727,""dd/mm/yyyy""),
    IF(
      REGEXMATCH(TRIM(A727),""^\d{1,2}/\d{1,2}/\d{4}$""),
      TRIM(A727),
      IFERROR(
        TEXT(DATEVALUE(SUBSTITUTE(SUBSTITUTE(TRIM(A727),""-"",""/""),""."",""/"&amp;""")),""dd/mm/yyyy""),
        TRIM(A727)
      )
    )
  )
)
"),"12/09/2024")</f>
        <v>12/09/2024</v>
      </c>
      <c r="L727" s="26">
        <v>45547.0</v>
      </c>
      <c r="M727" s="27" t="str">
        <f>IFERROR(__xludf.DUMMYFUNCTION("PROPER(TRIM(
  REGEXREPLACE(
    REGEXREPLACE(
      SUBSTITUTE(SUBSTITUTE(SUBSTITUTE(SUBSTITUTE(SUBSTITUTE(SUBSTITUTE(SUBSTITUTE(SUBSTITUTE(SUBSTITUTE(SUBSTITUTE(SUBSTITUTE(
        B727,""√©"",""é""),""√°"",""á""),""√±"",""ñ""),""√≥"",""ó""),""√â"",""é"&amp;"""),""√Å"",""á""),""√ç"",""í""),""√Ç"",""Í""),""√Â"",""é""),""√≠"",""í""),""√º"",""ú""),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27" s="28" t="str">
        <f>IFERROR(__xludf.DUMMYFUNCTION("SPLIT(
  TRIM(
    SUBSTITUTE(
      SUBSTITUTE(
        SUBSTITUTE(
          SUBSTITUTE(
            C727,
            ""√©"", ""é""
          ),
          ""√±"", ""ñ""
        ),
        ""√°"", ""á""
      ),
      ""√≥"", ""ó""
    )
  ),
  ""-""
)
"),"Teléfono")</f>
        <v>Teléfono</v>
      </c>
      <c r="O727" s="28" t="str">
        <f>IFERROR(__xludf.DUMMYFUNCTION("""COMPUTED_VALUE"""),"Gama baja")</f>
        <v>Gama baja</v>
      </c>
      <c r="P727" s="28" t="str">
        <f>IFERROR(__xludf.DUMMYFUNCTION("""COMPUTED_VALUE"""),"32GB")</f>
        <v>32GB</v>
      </c>
      <c r="Q727" s="29">
        <f t="shared" si="1"/>
        <v>1125.48</v>
      </c>
      <c r="R727" s="28">
        <f t="shared" si="2"/>
        <v>2</v>
      </c>
      <c r="S727" s="29">
        <f t="shared" si="3"/>
        <v>2250.96</v>
      </c>
      <c r="T727" s="28" t="str">
        <f>IFERROR(__xludf.DUMMYFUNCTION("PROPER(TRIM(
  LET(
    texto1, REGEXREPLACE(G727,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"),"Humberto Benavides")</f>
        <v>Humberto Benavides</v>
      </c>
      <c r="U727" s="28" t="str">
        <f t="shared" si="4"/>
        <v>4473f6a9-94d1-4880-bb1c-9090765954e5</v>
      </c>
      <c r="V727" s="30" t="str">
        <f t="shared" si="5"/>
        <v>Teléfono Gama baja 32GB</v>
      </c>
    </row>
    <row r="728" ht="15.75" customHeight="1">
      <c r="A728" s="6">
        <v>45578.0</v>
      </c>
      <c r="B728" s="2" t="s">
        <v>50</v>
      </c>
      <c r="C728" s="2" t="s">
        <v>11</v>
      </c>
      <c r="D728" s="7">
        <v>142.14</v>
      </c>
      <c r="E728" s="2">
        <v>3.0</v>
      </c>
      <c r="F728" s="7">
        <v>426.42</v>
      </c>
      <c r="G728" s="2" t="s">
        <v>2487</v>
      </c>
      <c r="H728" s="2" t="s">
        <v>2488</v>
      </c>
      <c r="I728" s="2" t="s">
        <v>2489</v>
      </c>
      <c r="K728" s="19" t="str">
        <f>IFERROR(__xludf.DUMMYFUNCTION("IF(ISBLANK(A728),
  """",
  IF(ISNUMBER(A728),
    TEXT(A728,""dd/mm/yyyy""),
    IF(
      REGEXMATCH(TRIM(A728),""^\d{1,2}/\d{1,2}/\d{4}$""),
      TRIM(A728),
      IFERROR(
        TEXT(DATEVALUE(SUBSTITUTE(SUBSTITUTE(TRIM(A728),""-"",""/""),""."",""/"&amp;""")),""dd/mm/yyyy""),
        TRIM(A728)
      )
    )
  )
)
"),"13/10/2024")</f>
        <v>13/10/2024</v>
      </c>
      <c r="L728" s="20">
        <v>45578.0</v>
      </c>
      <c r="M728" s="21" t="str">
        <f>IFERROR(__xludf.DUMMYFUNCTION("PROPER(TRIM(
  REGEXREPLACE(
    REGEXREPLACE(
      SUBSTITUTE(SUBSTITUTE(SUBSTITUTE(SUBSTITUTE(SUBSTITUTE(SUBSTITUTE(SUBSTITUTE(SUBSTITUTE(SUBSTITUTE(SUBSTITUTE(SUBSTITUTE(
        B728,""√©"",""é""),""√°"",""á""),""√±"",""ñ""),""√≥"",""ó""),""√â"",""é"&amp;"""),""√Å"",""á""),""√ç"",""í""),""√Ç"",""Í""),""√Â"",""é""),""√≠"",""í""),""√º"",""ú""),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28" s="22" t="str">
        <f>IFERROR(__xludf.DUMMYFUNCTION("SPLIT(
  TRIM(
    SUBSTITUTE(
      SUBSTITUTE(
        SUBSTITUTE(
          SUBSTITUTE(
            C728,
            ""√©"", ""é""
          ),
          ""√±"", ""ñ""
        ),
        ""√°"", ""á""
      ),
      ""√≥"", ""ó""
    )
  ),
  ""-""
)
"),"Auriculares")</f>
        <v>Auriculares</v>
      </c>
      <c r="O728" s="22" t="str">
        <f>IFERROR(__xludf.DUMMYFUNCTION("""COMPUTED_VALUE"""),"Con cable")</f>
        <v>Con cable</v>
      </c>
      <c r="P728" s="22" t="str">
        <f>IFERROR(__xludf.DUMMYFUNCTION("""COMPUTED_VALUE"""),"32GB")</f>
        <v>32GB</v>
      </c>
      <c r="Q728" s="23">
        <f t="shared" si="1"/>
        <v>142.14</v>
      </c>
      <c r="R728" s="22">
        <f t="shared" si="2"/>
        <v>3</v>
      </c>
      <c r="S728" s="23">
        <f t="shared" si="3"/>
        <v>426.42</v>
      </c>
      <c r="T728" s="22" t="str">
        <f>IFERROR(__xludf.DUMMYFUNCTION("PROPER(TRIM(
  LET(
    texto1, REGEXREPLACE(G728,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"),"Clemente Lucas De La Crz Flórez")</f>
        <v>Clemente Lucas De La Crz Flórez</v>
      </c>
      <c r="U728" s="22" t="str">
        <f t="shared" si="4"/>
        <v>306238f0-70d8-49c3-bc3f-5c9df03698bf</v>
      </c>
      <c r="V728" s="24" t="str">
        <f t="shared" si="5"/>
        <v>Auriculares Con cable 32GB</v>
      </c>
    </row>
    <row r="729" ht="15.75" customHeight="1">
      <c r="A729" s="36">
        <v>45514.0</v>
      </c>
      <c r="B729" s="2" t="s">
        <v>101</v>
      </c>
      <c r="C729" s="2" t="s">
        <v>28</v>
      </c>
      <c r="D729" s="7">
        <v>66.73</v>
      </c>
      <c r="E729" s="2">
        <v>4.0</v>
      </c>
      <c r="F729" s="7">
        <v>266.92</v>
      </c>
      <c r="G729" s="2" t="s">
        <v>2490</v>
      </c>
      <c r="H729" s="2" t="s">
        <v>2491</v>
      </c>
      <c r="I729" s="2" t="s">
        <v>2492</v>
      </c>
      <c r="K729" s="25" t="str">
        <f>IFERROR(__xludf.DUMMYFUNCTION("IF(ISBLANK(A729),
  """",
  IF(ISNUMBER(A729),
    TEXT(A729,""dd/mm/yyyy""),
    IF(
      REGEXMATCH(TRIM(A729),""^\d{1,2}/\d{1,2}/\d{4}$""),
      TRIM(A729),
      IFERROR(
        TEXT(DATEVALUE(SUBSTITUTE(SUBSTITUTE(TRIM(A729),""-"",""/""),""."",""/"&amp;""")),""dd/mm/yyyy""),
        TRIM(A729)
      )
    )
  )
)
"),"10/08/2024")</f>
        <v>10/08/2024</v>
      </c>
      <c r="L729" s="26">
        <v>45514.0</v>
      </c>
      <c r="M729" s="27" t="str">
        <f>IFERROR(__xludf.DUMMYFUNCTION("PROPER(TRIM(
  REGEXREPLACE(
    REGEXREPLACE(
      SUBSTITUTE(SUBSTITUTE(SUBSTITUTE(SUBSTITUTE(SUBSTITUTE(SUBSTITUTE(SUBSTITUTE(SUBSTITUTE(SUBSTITUTE(SUBSTITUTE(SUBSTITUTE(
        B729,""√©"",""é""),""√°"",""á""),""√±"",""ñ""),""√≥"",""ó""),""√â"",""é"&amp;"""),""√Å"",""á""),""√ç"",""í""),""√Ç"",""Í""),""√Â"",""é""),""√≠"",""í""),""√º"",""ú""),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29" s="28" t="str">
        <f>IFERROR(__xludf.DUMMYFUNCTION("SPLIT(
  TRIM(
    SUBSTITUTE(
      SUBSTITUTE(
        SUBSTITUTE(
          SUBSTITUTE(
            C729,
            ""√©"", ""é""
          ),
          ""√±"", ""ñ""
        ),
        ""√°"", ""á""
      ),
      ""√≥"", ""ó""
    )
  ),
  ""-""
)
"),"Tablet")</f>
        <v>Tablet</v>
      </c>
      <c r="O729" s="28" t="str">
        <f>IFERROR(__xludf.DUMMYFUNCTION("""COMPUTED_VALUE"""),"Pro")</f>
        <v>Pro</v>
      </c>
      <c r="P729" s="28" t="str">
        <f>IFERROR(__xludf.DUMMYFUNCTION("""COMPUTED_VALUE"""),"8GB")</f>
        <v>8GB</v>
      </c>
      <c r="Q729" s="29">
        <f t="shared" si="1"/>
        <v>66.73</v>
      </c>
      <c r="R729" s="28">
        <f t="shared" si="2"/>
        <v>4</v>
      </c>
      <c r="S729" s="29">
        <f t="shared" si="3"/>
        <v>266.92</v>
      </c>
      <c r="T729" s="28" t="str">
        <f>IFERROR(__xludf.DUMMYFUNCTION("PROPER(TRIM(
  LET(
    texto1, REGEXREPLACE(G729,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"),"Agustín Alba")</f>
        <v>Agustín Alba</v>
      </c>
      <c r="U729" s="28" t="str">
        <f t="shared" si="4"/>
        <v>1e6eeb8f-b60f-44ee-ba31-3a83169211cc</v>
      </c>
      <c r="V729" s="30" t="str">
        <f t="shared" si="5"/>
        <v>Tablet Pro 8GB</v>
      </c>
    </row>
    <row r="730" ht="15.75" customHeight="1">
      <c r="A730" s="36">
        <v>45301.0</v>
      </c>
      <c r="B730" s="2" t="s">
        <v>38</v>
      </c>
      <c r="C730" s="2" t="s">
        <v>360</v>
      </c>
      <c r="D730" s="7">
        <v>1021.75</v>
      </c>
      <c r="E730" s="2">
        <v>2.0</v>
      </c>
      <c r="F730" s="7">
        <v>2043.5</v>
      </c>
      <c r="G730" s="2" t="s">
        <v>2493</v>
      </c>
      <c r="H730" s="2" t="s">
        <v>2494</v>
      </c>
      <c r="I730" s="2" t="s">
        <v>2495</v>
      </c>
      <c r="K730" s="19" t="str">
        <f>IFERROR(__xludf.DUMMYFUNCTION("IF(ISBLANK(A730),
  """",
  IF(ISNUMBER(A730),
    TEXT(A730,""dd/mm/yyyy""),
    IF(
      REGEXMATCH(TRIM(A730),""^\d{1,2}/\d{1,2}/\d{4}$""),
      TRIM(A730),
      IFERROR(
        TEXT(DATEVALUE(SUBSTITUTE(SUBSTITUTE(TRIM(A730),""-"",""/""),""."",""/"&amp;""")),""dd/mm/yyyy""),
        TRIM(A730)
      )
    )
  )
)
"),"10/01/2024")</f>
        <v>10/01/2024</v>
      </c>
      <c r="L730" s="20">
        <v>45301.0</v>
      </c>
      <c r="M730" s="21" t="str">
        <f>IFERROR(__xludf.DUMMYFUNCTION("PROPER(TRIM(
  REGEXREPLACE(
    REGEXREPLACE(
      SUBSTITUTE(SUBSTITUTE(SUBSTITUTE(SUBSTITUTE(SUBSTITUTE(SUBSTITUTE(SUBSTITUTE(SUBSTITUTE(SUBSTITUTE(SUBSTITUTE(SUBSTITUTE(
        B730,""√©"",""é""),""√°"",""á""),""√±"",""ñ""),""√≥"",""ó""),""√â"",""é"&amp;"""),""√Å"",""á""),""√ç"",""í""),""√Ç"",""Í""),""√Â"",""é""),""√≠"",""í""),""√º"",""ú""),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30" s="22" t="str">
        <f>IFERROR(__xludf.DUMMYFUNCTION("SPLIT(
  TRIM(
    SUBSTITUTE(
      SUBSTITUTE(
        SUBSTITUTE(
          SUBSTITUTE(
            C730,
            ""√©"", ""é""
          ),
          ""√±"", ""ñ""
        ),
        ""√°"", ""á""
      ),
      ""√≥"", ""ó""
    )
  ),
  ""-""
)
"),"Tablet")</f>
        <v>Tablet</v>
      </c>
      <c r="O730" s="22" t="str">
        <f>IFERROR(__xludf.DUMMYFUNCTION("""COMPUTED_VALUE"""),"Estándar")</f>
        <v>Estándar</v>
      </c>
      <c r="P730" s="22" t="str">
        <f>IFERROR(__xludf.DUMMYFUNCTION("""COMPUTED_VALUE"""),"8GB")</f>
        <v>8GB</v>
      </c>
      <c r="Q730" s="23">
        <f t="shared" si="1"/>
        <v>1021.75</v>
      </c>
      <c r="R730" s="22">
        <f t="shared" si="2"/>
        <v>2</v>
      </c>
      <c r="S730" s="23">
        <f t="shared" si="3"/>
        <v>2043.5</v>
      </c>
      <c r="T730" s="22" t="str">
        <f>IFERROR(__xludf.DUMMYFUNCTION("PROPER(TRIM(
  LET(
    texto1, REGEXREPLACE(G730,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"),"Maximiliano Pizarro Escamilla")</f>
        <v>Maximiliano Pizarro Escamilla</v>
      </c>
      <c r="U730" s="22" t="str">
        <f t="shared" si="4"/>
        <v>3e03b8c9-f4af-4cc6-9900-836221bba3da</v>
      </c>
      <c r="V730" s="24" t="str">
        <f t="shared" si="5"/>
        <v>Tablet Estándar 8GB</v>
      </c>
    </row>
    <row r="731" ht="15.75" customHeight="1">
      <c r="A731" s="6">
        <v>45655.0</v>
      </c>
      <c r="B731" s="2" t="s">
        <v>101</v>
      </c>
      <c r="C731" s="2" t="s">
        <v>250</v>
      </c>
      <c r="D731" s="7">
        <v>620.05</v>
      </c>
      <c r="E731" s="2">
        <v>5.0</v>
      </c>
      <c r="F731" s="7">
        <v>3100.25</v>
      </c>
      <c r="G731" s="2" t="s">
        <v>2496</v>
      </c>
      <c r="H731" s="2" t="s">
        <v>2497</v>
      </c>
      <c r="I731" s="2" t="s">
        <v>2498</v>
      </c>
      <c r="K731" s="25" t="str">
        <f>IFERROR(__xludf.DUMMYFUNCTION("IF(ISBLANK(A731),
  """",
  IF(ISNUMBER(A731),
    TEXT(A731,""dd/mm/yyyy""),
    IF(
      REGEXMATCH(TRIM(A731),""^\d{1,2}/\d{1,2}/\d{4}$""),
      TRIM(A731),
      IFERROR(
        TEXT(DATEVALUE(SUBSTITUTE(SUBSTITUTE(TRIM(A731),""-"",""/""),""."",""/"&amp;""")),""dd/mm/yyyy""),
        TRIM(A731)
      )
    )
  )
)
"),"29/12/2024")</f>
        <v>29/12/2024</v>
      </c>
      <c r="L731" s="26">
        <v>45655.0</v>
      </c>
      <c r="M731" s="27" t="str">
        <f>IFERROR(__xludf.DUMMYFUNCTION("PROPER(TRIM(
  REGEXREPLACE(
    REGEXREPLACE(
      SUBSTITUTE(SUBSTITUTE(SUBSTITUTE(SUBSTITUTE(SUBSTITUTE(SUBSTITUTE(SUBSTITUTE(SUBSTITUTE(SUBSTITUTE(SUBSTITUTE(SUBSTITUTE(
        B731,""√©"",""é""),""√°"",""á""),""√±"",""ñ""),""√≥"",""ó""),""√â"",""é"&amp;"""),""√Å"",""á""),""√ç"",""í""),""√Ç"",""Í""),""√Â"",""é""),""√≠"",""í""),""√º"",""ú""),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31" s="28" t="str">
        <f>IFERROR(__xludf.DUMMYFUNCTION("SPLIT(
  TRIM(
    SUBSTITUTE(
      SUBSTITUTE(
        SUBSTITUTE(
          SUBSTITUTE(
            C731,
            ""√©"", ""é""
          ),
          ""√±"", ""ñ""
        ),
        ""√°"", ""á""
      ),
      ""√≥"", ""ó""
    )
  ),
  ""-""
)
"),"Laptop")</f>
        <v>Laptop</v>
      </c>
      <c r="O731" s="28" t="str">
        <f>IFERROR(__xludf.DUMMYFUNCTION("""COMPUTED_VALUE"""),"Oficina")</f>
        <v>Oficina</v>
      </c>
      <c r="P731" s="28" t="str">
        <f>IFERROR(__xludf.DUMMYFUNCTION("""COMPUTED_VALUE"""),"32GB")</f>
        <v>32GB</v>
      </c>
      <c r="Q731" s="29">
        <f t="shared" si="1"/>
        <v>620.05</v>
      </c>
      <c r="R731" s="28">
        <f t="shared" si="2"/>
        <v>5</v>
      </c>
      <c r="S731" s="29">
        <f t="shared" si="3"/>
        <v>3100.25</v>
      </c>
      <c r="T731" s="28" t="str">
        <f>IFERROR(__xludf.DUMMYFUNCTION("PROPER(TRIM(
  LET(
    texto1, REGEXREPLACE(G731,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"),"Ramiro Adriana Botello")</f>
        <v>Ramiro Adriana Botello</v>
      </c>
      <c r="U731" s="28" t="str">
        <f t="shared" si="4"/>
        <v>0fcf615c-8bf9-42ad-9b7b-8c8dfce43c46</v>
      </c>
      <c r="V731" s="30" t="str">
        <f t="shared" si="5"/>
        <v>Laptop Oficina 32GB</v>
      </c>
    </row>
    <row r="732" ht="15.75" customHeight="1">
      <c r="A732" s="36">
        <v>45483.0</v>
      </c>
      <c r="B732" s="2" t="s">
        <v>16</v>
      </c>
      <c r="C732" s="2" t="s">
        <v>80</v>
      </c>
      <c r="D732" s="7">
        <v>1588.14</v>
      </c>
      <c r="E732" s="2">
        <v>4.0</v>
      </c>
      <c r="F732" s="7">
        <v>6352.56</v>
      </c>
      <c r="G732" s="2" t="s">
        <v>2499</v>
      </c>
      <c r="H732" s="2" t="s">
        <v>2500</v>
      </c>
      <c r="I732" s="3" t="s">
        <v>2501</v>
      </c>
      <c r="K732" s="19" t="str">
        <f>IFERROR(__xludf.DUMMYFUNCTION("IF(ISBLANK(A732),
  """",
  IF(ISNUMBER(A732),
    TEXT(A732,""dd/mm/yyyy""),
    IF(
      REGEXMATCH(TRIM(A732),""^\d{1,2}/\d{1,2}/\d{4}$""),
      TRIM(A732),
      IFERROR(
        TEXT(DATEVALUE(SUBSTITUTE(SUBSTITUTE(TRIM(A732),""-"",""/""),""."",""/"&amp;""")),""dd/mm/yyyy""),
        TRIM(A732)
      )
    )
  )
)
"),"10/07/2024")</f>
        <v>10/07/2024</v>
      </c>
      <c r="L732" s="20">
        <v>45483.0</v>
      </c>
      <c r="M732" s="21" t="str">
        <f>IFERROR(__xludf.DUMMYFUNCTION("PROPER(TRIM(
  REGEXREPLACE(
    REGEXREPLACE(
      SUBSTITUTE(SUBSTITUTE(SUBSTITUTE(SUBSTITUTE(SUBSTITUTE(SUBSTITUTE(SUBSTITUTE(SUBSTITUTE(SUBSTITUTE(SUBSTITUTE(SUBSTITUTE(
        B732,""√©"",""é""),""√°"",""á""),""√±"",""ñ""),""√≥"",""ó""),""√â"",""é"&amp;"""),""√Å"",""á""),""√ç"",""í""),""√Ç"",""Í""),""√Â"",""é""),""√≠"",""í""),""√º"",""ú""),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32" s="22" t="str">
        <f>IFERROR(__xludf.DUMMYFUNCTION("SPLIT(
  TRIM(
    SUBSTITUTE(
      SUBSTITUTE(
        SUBSTITUTE(
          SUBSTITUTE(
            C732,
            ""√©"", ""é""
          ),
          ""√±"", ""ñ""
        ),
        ""√°"", ""á""
      ),
      ""√≥"", ""ó""
    )
  ),
  ""-""
)
"),"Teléfono")</f>
        <v>Teléfono</v>
      </c>
      <c r="O732" s="22" t="str">
        <f>IFERROR(__xludf.DUMMYFUNCTION("""COMPUTED_VALUE"""),"Gama baja")</f>
        <v>Gama baja</v>
      </c>
      <c r="P732" s="22" t="str">
        <f>IFERROR(__xludf.DUMMYFUNCTION("""COMPUTED_VALUE"""),"16GB")</f>
        <v>16GB</v>
      </c>
      <c r="Q732" s="23">
        <f t="shared" si="1"/>
        <v>1588.14</v>
      </c>
      <c r="R732" s="22">
        <f t="shared" si="2"/>
        <v>4</v>
      </c>
      <c r="S732" s="23">
        <f t="shared" si="3"/>
        <v>6352.56</v>
      </c>
      <c r="T732" s="22" t="str">
        <f>IFERROR(__xludf.DUMMYFUNCTION("PROPER(TRIM(
  LET(
    texto1, REGEXREPLACE(G732,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"),"Eric Yolanda Saldivar")</f>
        <v>Eric Yolanda Saldivar</v>
      </c>
      <c r="U732" s="33" t="str">
        <f t="shared" si="4"/>
        <v>15e836b2-b0d6-4cf5-8d89-60e52bb5cf43</v>
      </c>
      <c r="V732" s="24" t="str">
        <f t="shared" si="5"/>
        <v>Teléfono Gama baja 16GB</v>
      </c>
    </row>
    <row r="733" ht="15.75" customHeight="1">
      <c r="A733" s="36">
        <v>45514.0</v>
      </c>
      <c r="B733" s="2" t="s">
        <v>50</v>
      </c>
      <c r="C733" s="2" t="s">
        <v>397</v>
      </c>
      <c r="D733" s="7">
        <v>379.46</v>
      </c>
      <c r="E733" s="2">
        <v>5.0</v>
      </c>
      <c r="F733" s="7">
        <v>1897.3</v>
      </c>
      <c r="G733" s="2" t="s">
        <v>2502</v>
      </c>
      <c r="H733" s="2" t="s">
        <v>2503</v>
      </c>
      <c r="I733" s="2" t="s">
        <v>2504</v>
      </c>
      <c r="K733" s="25" t="str">
        <f>IFERROR(__xludf.DUMMYFUNCTION("IF(ISBLANK(A733),
  """",
  IF(ISNUMBER(A733),
    TEXT(A733,""dd/mm/yyyy""),
    IF(
      REGEXMATCH(TRIM(A733),""^\d{1,2}/\d{1,2}/\d{4}$""),
      TRIM(A733),
      IFERROR(
        TEXT(DATEVALUE(SUBSTITUTE(SUBSTITUTE(TRIM(A733),""-"",""/""),""."",""/"&amp;""")),""dd/mm/yyyy""),
        TRIM(A733)
      )
    )
  )
)
"),"10/08/2024")</f>
        <v>10/08/2024</v>
      </c>
      <c r="L733" s="26">
        <v>45514.0</v>
      </c>
      <c r="M733" s="27" t="str">
        <f>IFERROR(__xludf.DUMMYFUNCTION("PROPER(TRIM(
  REGEXREPLACE(
    REGEXREPLACE(
      SUBSTITUTE(SUBSTITUTE(SUBSTITUTE(SUBSTITUTE(SUBSTITUTE(SUBSTITUTE(SUBSTITUTE(SUBSTITUTE(SUBSTITUTE(SUBSTITUTE(SUBSTITUTE(
        B733,""√©"",""é""),""√°"",""á""),""√±"",""ñ""),""√≥"",""ó""),""√â"",""é"&amp;"""),""√Å"",""á""),""√ç"",""í""),""√Ç"",""Í""),""√Â"",""é""),""√≠"",""í""),""√º"",""ú""),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33" s="28" t="str">
        <f>IFERROR(__xludf.DUMMYFUNCTION("SPLIT(
  TRIM(
    SUBSTITUTE(
      SUBSTITUTE(
        SUBSTITUTE(
          SUBSTITUTE(
            C733,
            ""√©"", ""é""
          ),
          ""√±"", ""ñ""
        ),
        ""√°"", ""á""
      ),
      ""√≥"", ""ó""
    )
  ),
  ""-""
)
"),"Teléfono")</f>
        <v>Teléfono</v>
      </c>
      <c r="O733" s="28" t="str">
        <f>IFERROR(__xludf.DUMMYFUNCTION("""COMPUTED_VALUE"""),"Gama media")</f>
        <v>Gama media</v>
      </c>
      <c r="P733" s="28" t="str">
        <f>IFERROR(__xludf.DUMMYFUNCTION("""COMPUTED_VALUE"""),"32GB")</f>
        <v>32GB</v>
      </c>
      <c r="Q733" s="29">
        <f t="shared" si="1"/>
        <v>379.46</v>
      </c>
      <c r="R733" s="28">
        <f t="shared" si="2"/>
        <v>5</v>
      </c>
      <c r="S733" s="29">
        <f t="shared" si="3"/>
        <v>1897.3</v>
      </c>
      <c r="T733" s="28" t="str">
        <f>IFERROR(__xludf.DUMMYFUNCTION("PROPER(TRIM(
  LET(
    texto1, REGEXREPLACE(G733,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"),"Josefina Varela")</f>
        <v>Josefina Varela</v>
      </c>
      <c r="U733" s="28" t="str">
        <f t="shared" si="4"/>
        <v>591e6a00-aa0b-4b7e-b547-bcc9b6807a94</v>
      </c>
      <c r="V733" s="30" t="str">
        <f t="shared" si="5"/>
        <v>Teléfono Gama media 32GB</v>
      </c>
    </row>
    <row r="734" ht="15.75" customHeight="1">
      <c r="A734" s="36">
        <v>45453.0</v>
      </c>
      <c r="B734" s="2" t="s">
        <v>38</v>
      </c>
      <c r="C734" s="2" t="s">
        <v>500</v>
      </c>
      <c r="D734" s="7">
        <v>495.86</v>
      </c>
      <c r="E734" s="2">
        <v>1.0</v>
      </c>
      <c r="F734" s="7">
        <v>495.86</v>
      </c>
      <c r="G734" s="2" t="s">
        <v>2505</v>
      </c>
      <c r="H734" s="2" t="s">
        <v>2506</v>
      </c>
      <c r="I734" s="2" t="s">
        <v>2507</v>
      </c>
      <c r="K734" s="19" t="str">
        <f>IFERROR(__xludf.DUMMYFUNCTION("IF(ISBLANK(A734),
  """",
  IF(ISNUMBER(A734),
    TEXT(A734,""dd/mm/yyyy""),
    IF(
      REGEXMATCH(TRIM(A734),""^\d{1,2}/\d{1,2}/\d{4}$""),
      TRIM(A734),
      IFERROR(
        TEXT(DATEVALUE(SUBSTITUTE(SUBSTITUTE(TRIM(A734),""-"",""/""),""."",""/"&amp;""")),""dd/mm/yyyy""),
        TRIM(A734)
      )
    )
  )
)
"),"10/06/2024")</f>
        <v>10/06/2024</v>
      </c>
      <c r="L734" s="20">
        <v>45453.0</v>
      </c>
      <c r="M734" s="21" t="str">
        <f>IFERROR(__xludf.DUMMYFUNCTION("PROPER(TRIM(
  REGEXREPLACE(
    REGEXREPLACE(
      SUBSTITUTE(SUBSTITUTE(SUBSTITUTE(SUBSTITUTE(SUBSTITUTE(SUBSTITUTE(SUBSTITUTE(SUBSTITUTE(SUBSTITUTE(SUBSTITUTE(SUBSTITUTE(
        B734,""√©"",""é""),""√°"",""á""),""√±"",""ñ""),""√≥"",""ó""),""√â"",""é"&amp;"""),""√Å"",""á""),""√ç"",""í""),""√Ç"",""Í""),""√Â"",""é""),""√≠"",""í""),""√º"",""ú""),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34" s="22" t="str">
        <f>IFERROR(__xludf.DUMMYFUNCTION("SPLIT(
  TRIM(
    SUBSTITUTE(
      SUBSTITUTE(
        SUBSTITUTE(
          SUBSTITUTE(
            C734,
            ""√©"", ""é""
          ),
          ""√±"", ""ñ""
        ),
        ""√°"", ""á""
      ),
      ""√≥"", ""ó""
    )
  ),
  ""-""
)
"),"Teléfono")</f>
        <v>Teléfono</v>
      </c>
      <c r="O734" s="22" t="str">
        <f>IFERROR(__xludf.DUMMYFUNCTION("""COMPUTED_VALUE"""),"Gama alta")</f>
        <v>Gama alta</v>
      </c>
      <c r="P734" s="22" t="str">
        <f>IFERROR(__xludf.DUMMYFUNCTION("""COMPUTED_VALUE"""),"32GB")</f>
        <v>32GB</v>
      </c>
      <c r="Q734" s="23">
        <f t="shared" si="1"/>
        <v>495.86</v>
      </c>
      <c r="R734" s="22">
        <f t="shared" si="2"/>
        <v>1</v>
      </c>
      <c r="S734" s="23">
        <f t="shared" si="3"/>
        <v>495.86</v>
      </c>
      <c r="T734" s="22" t="str">
        <f>IFERROR(__xludf.DUMMYFUNCTION("PROPER(TRIM(
  LET(
    texto1, REGEXREPLACE(G734,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 Treviño Almaraz")</f>
        <v>Daniel Treviño Almaraz</v>
      </c>
      <c r="U734" s="22" t="str">
        <f t="shared" si="4"/>
        <v>04587e83-9d1b-4d06-bd12-0b5cc9b5f549</v>
      </c>
      <c r="V734" s="24" t="str">
        <f t="shared" si="5"/>
        <v>Teléfono Gama alta 32GB</v>
      </c>
    </row>
    <row r="735" ht="15.75" customHeight="1">
      <c r="A735" s="6">
        <v>45593.0</v>
      </c>
      <c r="B735" s="2" t="s">
        <v>85</v>
      </c>
      <c r="C735" s="2" t="s">
        <v>245</v>
      </c>
      <c r="D735" s="7">
        <v>1010.17</v>
      </c>
      <c r="E735" s="2">
        <v>1.0</v>
      </c>
      <c r="F735" s="7">
        <v>1010.17</v>
      </c>
      <c r="G735" s="2" t="s">
        <v>2508</v>
      </c>
      <c r="H735" s="2" t="s">
        <v>2509</v>
      </c>
      <c r="I735" s="2" t="s">
        <v>2510</v>
      </c>
      <c r="K735" s="25" t="str">
        <f>IFERROR(__xludf.DUMMYFUNCTION("IF(ISBLANK(A735),
  """",
  IF(ISNUMBER(A735),
    TEXT(A735,""dd/mm/yyyy""),
    IF(
      REGEXMATCH(TRIM(A735),""^\d{1,2}/\d{1,2}/\d{4}$""),
      TRIM(A735),
      IFERROR(
        TEXT(DATEVALUE(SUBSTITUTE(SUBSTITUTE(TRIM(A735),""-"",""/""),""."",""/"&amp;""")),""dd/mm/yyyy""),
        TRIM(A735)
      )
    )
  )
)
"),"28/10/2024")</f>
        <v>28/10/2024</v>
      </c>
      <c r="L735" s="26">
        <v>45593.0</v>
      </c>
      <c r="M735" s="27" t="str">
        <f>IFERROR(__xludf.DUMMYFUNCTION("PROPER(TRIM(
  REGEXREPLACE(
    REGEXREPLACE(
      SUBSTITUTE(SUBSTITUTE(SUBSTITUTE(SUBSTITUTE(SUBSTITUTE(SUBSTITUTE(SUBSTITUTE(SUBSTITUTE(SUBSTITUTE(SUBSTITUTE(SUBSTITUTE(
        B735,""√©"",""é""),""√°"",""á""),""√±"",""ñ""),""√≥"",""ó""),""√â"",""é"&amp;"""),""√Å"",""á""),""√ç"",""í""),""√Ç"",""Í""),""√Â"",""é""),""√≠"",""í""),""√º"",""ú""),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35" s="28" t="str">
        <f>IFERROR(__xludf.DUMMYFUNCTION("SPLIT(
  TRIM(
    SUBSTITUTE(
      SUBSTITUTE(
        SUBSTITUTE(
          SUBSTITUTE(
            C735,
            ""√©"", ""é""
          ),
          ""√±"", ""ñ""
        ),
        ""√°"", ""á""
      ),
      ""√≥"", ""ó""
    )
  ),
  ""-""
)
"),"Teléfono")</f>
        <v>Teléfono</v>
      </c>
      <c r="O735" s="28" t="str">
        <f>IFERROR(__xludf.DUMMYFUNCTION("""COMPUTED_VALUE"""),"Gama baja")</f>
        <v>Gama baja</v>
      </c>
      <c r="P735" s="28" t="str">
        <f>IFERROR(__xludf.DUMMYFUNCTION("""COMPUTED_VALUE"""),"32GB")</f>
        <v>32GB</v>
      </c>
      <c r="Q735" s="29">
        <f t="shared" si="1"/>
        <v>1010.17</v>
      </c>
      <c r="R735" s="28">
        <f t="shared" si="2"/>
        <v>1</v>
      </c>
      <c r="S735" s="29">
        <f t="shared" si="3"/>
        <v>1010.17</v>
      </c>
      <c r="T735" s="28" t="str">
        <f>IFERROR(__xludf.DUMMYFUNCTION("PROPER(TRIM(
  LET(
    texto1, REGEXREPLACE(G735,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"),"Lorenzo Zaragoza Niño")</f>
        <v>Lorenzo Zaragoza Niño</v>
      </c>
      <c r="U735" s="28" t="str">
        <f t="shared" si="4"/>
        <v>afbe8b22-f099-435c-a4a9-2882252b6103</v>
      </c>
      <c r="V735" s="30" t="str">
        <f t="shared" si="5"/>
        <v>Teléfono Gama baja 32GB</v>
      </c>
    </row>
    <row r="736" ht="15.75" customHeight="1">
      <c r="A736" s="6">
        <v>45611.0</v>
      </c>
      <c r="B736" s="2" t="s">
        <v>16</v>
      </c>
      <c r="C736" s="2" t="s">
        <v>250</v>
      </c>
      <c r="D736" s="7">
        <v>969.37</v>
      </c>
      <c r="E736" s="2">
        <v>3.0</v>
      </c>
      <c r="F736" s="7">
        <v>2908.11</v>
      </c>
      <c r="G736" s="2" t="s">
        <v>2511</v>
      </c>
      <c r="H736" s="2" t="s">
        <v>2512</v>
      </c>
      <c r="I736" s="2" t="s">
        <v>2513</v>
      </c>
      <c r="K736" s="19" t="str">
        <f>IFERROR(__xludf.DUMMYFUNCTION("IF(ISBLANK(A736),
  """",
  IF(ISNUMBER(A736),
    TEXT(A736,""dd/mm/yyyy""),
    IF(
      REGEXMATCH(TRIM(A736),""^\d{1,2}/\d{1,2}/\d{4}$""),
      TRIM(A736),
      IFERROR(
        TEXT(DATEVALUE(SUBSTITUTE(SUBSTITUTE(TRIM(A736),""-"",""/""),""."",""/"&amp;""")),""dd/mm/yyyy""),
        TRIM(A736)
      )
    )
  )
)
"),"15/11/2024")</f>
        <v>15/11/2024</v>
      </c>
      <c r="L736" s="20">
        <v>45611.0</v>
      </c>
      <c r="M736" s="21" t="str">
        <f>IFERROR(__xludf.DUMMYFUNCTION("PROPER(TRIM(
  REGEXREPLACE(
    REGEXREPLACE(
      SUBSTITUTE(SUBSTITUTE(SUBSTITUTE(SUBSTITUTE(SUBSTITUTE(SUBSTITUTE(SUBSTITUTE(SUBSTITUTE(SUBSTITUTE(SUBSTITUTE(SUBSTITUTE(
        B736,""√©"",""é""),""√°"",""á""),""√±"",""ñ""),""√≥"",""ó""),""√â"",""é"&amp;"""),""√Å"",""á""),""√ç"",""í""),""√Ç"",""Í""),""√Â"",""é""),""√≠"",""í""),""√º"",""ú""),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36" s="22" t="str">
        <f>IFERROR(__xludf.DUMMYFUNCTION("SPLIT(
  TRIM(
    SUBSTITUTE(
      SUBSTITUTE(
        SUBSTITUTE(
          SUBSTITUTE(
            C736,
            ""√©"", ""é""
          ),
          ""√±"", ""ñ""
        ),
        ""√°"", ""á""
      ),
      ""√≥"", ""ó""
    )
  ),
  ""-""
)
"),"Laptop")</f>
        <v>Laptop</v>
      </c>
      <c r="O736" s="22" t="str">
        <f>IFERROR(__xludf.DUMMYFUNCTION("""COMPUTED_VALUE"""),"Oficina")</f>
        <v>Oficina</v>
      </c>
      <c r="P736" s="22" t="str">
        <f>IFERROR(__xludf.DUMMYFUNCTION("""COMPUTED_VALUE"""),"32GB")</f>
        <v>32GB</v>
      </c>
      <c r="Q736" s="23">
        <f t="shared" si="1"/>
        <v>969.37</v>
      </c>
      <c r="R736" s="22">
        <f t="shared" si="2"/>
        <v>3</v>
      </c>
      <c r="S736" s="23">
        <f t="shared" si="3"/>
        <v>2908.11</v>
      </c>
      <c r="T736" s="22" t="str">
        <f>IFERROR(__xludf.DUMMYFUNCTION("PROPER(TRIM(
  LET(
    texto1, REGEXREPLACE(G736,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Vanegas")</f>
        <v>Estela Vanegas</v>
      </c>
      <c r="U736" s="22" t="str">
        <f t="shared" si="4"/>
        <v>24f20540-a81a-4ad1-acf0-df3af36dae7d</v>
      </c>
      <c r="V736" s="24" t="str">
        <f t="shared" si="5"/>
        <v>Laptop Oficina 32GB</v>
      </c>
    </row>
    <row r="737" ht="15.75" customHeight="1">
      <c r="A737" s="6">
        <v>45581.0</v>
      </c>
      <c r="B737" s="2" t="s">
        <v>50</v>
      </c>
      <c r="C737" s="2" t="s">
        <v>22</v>
      </c>
      <c r="D737" s="7">
        <v>100.75</v>
      </c>
      <c r="E737" s="2">
        <v>1.0</v>
      </c>
      <c r="F737" s="7">
        <v>100.75</v>
      </c>
      <c r="G737" s="2" t="s">
        <v>2514</v>
      </c>
      <c r="H737" s="2" t="s">
        <v>2515</v>
      </c>
      <c r="I737" s="2" t="s">
        <v>2516</v>
      </c>
      <c r="K737" s="25" t="str">
        <f>IFERROR(__xludf.DUMMYFUNCTION("IF(ISBLANK(A737),
  """",
  IF(ISNUMBER(A737),
    TEXT(A737,""dd/mm/yyyy""),
    IF(
      REGEXMATCH(TRIM(A737),""^\d{1,2}/\d{1,2}/\d{4}$""),
      TRIM(A737),
      IFERROR(
        TEXT(DATEVALUE(SUBSTITUTE(SUBSTITUTE(TRIM(A737),""-"",""/""),""."",""/"&amp;""")),""dd/mm/yyyy""),
        TRIM(A737)
      )
    )
  )
)
"),"16/10/2024")</f>
        <v>16/10/2024</v>
      </c>
      <c r="L737" s="26">
        <v>45581.0</v>
      </c>
      <c r="M737" s="27" t="str">
        <f>IFERROR(__xludf.DUMMYFUNCTION("PROPER(TRIM(
  REGEXREPLACE(
    REGEXREPLACE(
      SUBSTITUTE(SUBSTITUTE(SUBSTITUTE(SUBSTITUTE(SUBSTITUTE(SUBSTITUTE(SUBSTITUTE(SUBSTITUTE(SUBSTITUTE(SUBSTITUTE(SUBSTITUTE(
        B737,""√©"",""é""),""√°"",""á""),""√±"",""ñ""),""√≥"",""ó""),""√â"",""é"&amp;"""),""√Å"",""á""),""√ç"",""í""),""√Ç"",""Í""),""√Â"",""é""),""√≠"",""í""),""√º"",""ú""),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37" s="28" t="str">
        <f>IFERROR(__xludf.DUMMYFUNCTION("SPLIT(
  TRIM(
    SUBSTITUTE(
      SUBSTITUTE(
        SUBSTITUTE(
          SUBSTITUTE(
            C737,
            ""√©"", ""é""
          ),
          ""√±"", ""ñ""
        ),
        ""√°"", ""á""
      ),
      ""√≥"", ""ó""
    )
  ),
  ""-""
)
"),"Laptop")</f>
        <v>Laptop</v>
      </c>
      <c r="O737" s="28" t="str">
        <f>IFERROR(__xludf.DUMMYFUNCTION("""COMPUTED_VALUE"""),"Gaming")</f>
        <v>Gaming</v>
      </c>
      <c r="P737" s="28" t="str">
        <f>IFERROR(__xludf.DUMMYFUNCTION("""COMPUTED_VALUE"""),"32GB")</f>
        <v>32GB</v>
      </c>
      <c r="Q737" s="29">
        <f t="shared" si="1"/>
        <v>100.75</v>
      </c>
      <c r="R737" s="28">
        <f t="shared" si="2"/>
        <v>1</v>
      </c>
      <c r="S737" s="29">
        <f t="shared" si="3"/>
        <v>100.75</v>
      </c>
      <c r="T737" s="28" t="str">
        <f>IFERROR(__xludf.DUMMYFUNCTION("PROPER(TRIM(
  LET(
    texto1, REGEXREPLACE(G737,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"),"Asunción Badillo")</f>
        <v>Asunción Badillo</v>
      </c>
      <c r="U737" s="28" t="str">
        <f t="shared" si="4"/>
        <v>a279348c-c747-4e18-b056-f066a8c54d22</v>
      </c>
      <c r="V737" s="30" t="str">
        <f t="shared" si="5"/>
        <v>Laptop Gaming 32GB</v>
      </c>
    </row>
    <row r="738" ht="15.75" customHeight="1">
      <c r="A738" s="6">
        <v>45590.0</v>
      </c>
      <c r="B738" s="2" t="s">
        <v>85</v>
      </c>
      <c r="C738" s="2" t="s">
        <v>33</v>
      </c>
      <c r="D738" s="7">
        <v>2242.64</v>
      </c>
      <c r="E738" s="2">
        <v>4.0</v>
      </c>
      <c r="F738" s="7">
        <v>8970.56</v>
      </c>
      <c r="G738" s="2" t="s">
        <v>2517</v>
      </c>
      <c r="H738" s="2" t="s">
        <v>2518</v>
      </c>
      <c r="I738" s="2" t="s">
        <v>2519</v>
      </c>
      <c r="K738" s="19" t="str">
        <f>IFERROR(__xludf.DUMMYFUNCTION("IF(ISBLANK(A738),
  """",
  IF(ISNUMBER(A738),
    TEXT(A738,""dd/mm/yyyy""),
    IF(
      REGEXMATCH(TRIM(A738),""^\d{1,2}/\d{1,2}/\d{4}$""),
      TRIM(A738),
      IFERROR(
        TEXT(DATEVALUE(SUBSTITUTE(SUBSTITUTE(TRIM(A738),""-"",""/""),""."",""/"&amp;""")),""dd/mm/yyyy""),
        TRIM(A738)
      )
    )
  )
)
"),"25/10/2024")</f>
        <v>25/10/2024</v>
      </c>
      <c r="L738" s="20">
        <v>45590.0</v>
      </c>
      <c r="M738" s="21" t="str">
        <f>IFERROR(__xludf.DUMMYFUNCTION("PROPER(TRIM(
  REGEXREPLACE(
    REGEXREPLACE(
      SUBSTITUTE(SUBSTITUTE(SUBSTITUTE(SUBSTITUTE(SUBSTITUTE(SUBSTITUTE(SUBSTITUTE(SUBSTITUTE(SUBSTITUTE(SUBSTITUTE(SUBSTITUTE(
        B738,""√©"",""é""),""√°"",""á""),""√±"",""ñ""),""√≥"",""ó""),""√â"",""é"&amp;"""),""√Å"",""á""),""√ç"",""í""),""√Ç"",""Í""),""√Â"",""é""),""√≠"",""í""),""√º"",""ú""),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38" s="22" t="str">
        <f>IFERROR(__xludf.DUMMYFUNCTION("SPLIT(
  TRIM(
    SUBSTITUTE(
      SUBSTITUTE(
        SUBSTITUTE(
          SUBSTITUTE(
            C738,
            ""√©"", ""é""
          ),
          ""√±"", ""ñ""
        ),
        ""√°"", ""á""
      ),
      ""√≥"", ""ó""
    )
  ),
  ""-""
)
"),"Teléfono")</f>
        <v>Teléfono</v>
      </c>
      <c r="O738" s="22" t="str">
        <f>IFERROR(__xludf.DUMMYFUNCTION("""COMPUTED_VALUE"""),"Gama alta")</f>
        <v>Gama alta</v>
      </c>
      <c r="P738" s="22" t="str">
        <f>IFERROR(__xludf.DUMMYFUNCTION("""COMPUTED_VALUE"""),"4GB")</f>
        <v>4GB</v>
      </c>
      <c r="Q738" s="23">
        <f t="shared" si="1"/>
        <v>2242.64</v>
      </c>
      <c r="R738" s="22">
        <f t="shared" si="2"/>
        <v>4</v>
      </c>
      <c r="S738" s="23">
        <f t="shared" si="3"/>
        <v>8970.56</v>
      </c>
      <c r="T738" s="22" t="str">
        <f>IFERROR(__xludf.DUMMYFUNCTION("PROPER(TRIM(
  LET(
    texto1, REGEXREPLACE(G738,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"),"Ignacio Corrales")</f>
        <v>Ignacio Corrales</v>
      </c>
      <c r="U738" s="22" t="str">
        <f t="shared" si="4"/>
        <v>68461278-65b9-41b1-b4b7-f73c4451f4cf</v>
      </c>
      <c r="V738" s="24" t="str">
        <f t="shared" si="5"/>
        <v>Teléfono Gama alta 4GB</v>
      </c>
    </row>
    <row r="739" ht="15.75" customHeight="1">
      <c r="A739" s="36">
        <v>45483.0</v>
      </c>
      <c r="B739" s="2" t="s">
        <v>101</v>
      </c>
      <c r="C739" s="2" t="s">
        <v>33</v>
      </c>
      <c r="D739" s="7">
        <v>774.69</v>
      </c>
      <c r="E739" s="2">
        <v>1.0</v>
      </c>
      <c r="F739" s="7">
        <v>774.69</v>
      </c>
      <c r="G739" s="2" t="s">
        <v>2520</v>
      </c>
      <c r="H739" s="2" t="s">
        <v>2521</v>
      </c>
      <c r="I739" s="2" t="s">
        <v>2522</v>
      </c>
      <c r="K739" s="25" t="str">
        <f>IFERROR(__xludf.DUMMYFUNCTION("IF(ISBLANK(A739),
  """",
  IF(ISNUMBER(A739),
    TEXT(A739,""dd/mm/yyyy""),
    IF(
      REGEXMATCH(TRIM(A739),""^\d{1,2}/\d{1,2}/\d{4}$""),
      TRIM(A739),
      IFERROR(
        TEXT(DATEVALUE(SUBSTITUTE(SUBSTITUTE(TRIM(A739),""-"",""/""),""."",""/"&amp;""")),""dd/mm/yyyy""),
        TRIM(A739)
      )
    )
  )
)
"),"10/07/2024")</f>
        <v>10/07/2024</v>
      </c>
      <c r="L739" s="26">
        <v>45483.0</v>
      </c>
      <c r="M739" s="27" t="str">
        <f>IFERROR(__xludf.DUMMYFUNCTION("PROPER(TRIM(
  REGEXREPLACE(
    REGEXREPLACE(
      SUBSTITUTE(SUBSTITUTE(SUBSTITUTE(SUBSTITUTE(SUBSTITUTE(SUBSTITUTE(SUBSTITUTE(SUBSTITUTE(SUBSTITUTE(SUBSTITUTE(SUBSTITUTE(
        B739,""√©"",""é""),""√°"",""á""),""√±"",""ñ""),""√≥"",""ó""),""√â"",""é"&amp;"""),""√Å"",""á""),""√ç"",""í""),""√Ç"",""Í""),""√Â"",""é""),""√≠"",""í""),""√º"",""ú""),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39" s="28" t="str">
        <f>IFERROR(__xludf.DUMMYFUNCTION("SPLIT(
  TRIM(
    SUBSTITUTE(
      SUBSTITUTE(
        SUBSTITUTE(
          SUBSTITUTE(
            C739,
            ""√©"", ""é""
          ),
          ""√±"", ""ñ""
        ),
        ""√°"", ""á""
      ),
      ""√≥"", ""ó""
    )
  ),
  ""-""
)
"),"Teléfono")</f>
        <v>Teléfono</v>
      </c>
      <c r="O739" s="28" t="str">
        <f>IFERROR(__xludf.DUMMYFUNCTION("""COMPUTED_VALUE"""),"Gama alta")</f>
        <v>Gama alta</v>
      </c>
      <c r="P739" s="28" t="str">
        <f>IFERROR(__xludf.DUMMYFUNCTION("""COMPUTED_VALUE"""),"4GB")</f>
        <v>4GB</v>
      </c>
      <c r="Q739" s="29">
        <f t="shared" si="1"/>
        <v>774.69</v>
      </c>
      <c r="R739" s="28">
        <f t="shared" si="2"/>
        <v>1</v>
      </c>
      <c r="S739" s="29">
        <f t="shared" si="3"/>
        <v>774.69</v>
      </c>
      <c r="T739" s="28" t="str">
        <f>IFERROR(__xludf.DUMMYFUNCTION("PROPER(TRIM(
  LET(
    texto1, REGEXREPLACE(G739,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"),"Bruno Linda Flores")</f>
        <v>Bruno Linda Flores</v>
      </c>
      <c r="U739" s="28" t="str">
        <f t="shared" si="4"/>
        <v>45af360d-59f3-48b1-859a-152f251ca886</v>
      </c>
      <c r="V739" s="30" t="str">
        <f t="shared" si="5"/>
        <v>Teléfono Gama alta 4GB</v>
      </c>
    </row>
    <row r="740" ht="15.75" customHeight="1">
      <c r="A740" s="36">
        <v>45363.0</v>
      </c>
      <c r="B740" s="2" t="s">
        <v>50</v>
      </c>
      <c r="C740" s="2" t="s">
        <v>500</v>
      </c>
      <c r="D740" s="7">
        <v>535.75</v>
      </c>
      <c r="E740" s="2">
        <v>2.0</v>
      </c>
      <c r="F740" s="7">
        <v>1071.5</v>
      </c>
      <c r="G740" s="2" t="s">
        <v>2523</v>
      </c>
      <c r="H740" s="2" t="s">
        <v>2524</v>
      </c>
      <c r="I740" s="2" t="s">
        <v>2525</v>
      </c>
      <c r="K740" s="19" t="str">
        <f>IFERROR(__xludf.DUMMYFUNCTION("IF(ISBLANK(A740),
  """",
  IF(ISNUMBER(A740),
    TEXT(A740,""dd/mm/yyyy""),
    IF(
      REGEXMATCH(TRIM(A740),""^\d{1,2}/\d{1,2}/\d{4}$""),
      TRIM(A740),
      IFERROR(
        TEXT(DATEVALUE(SUBSTITUTE(SUBSTITUTE(TRIM(A740),""-"",""/""),""."",""/"&amp;""")),""dd/mm/yyyy""),
        TRIM(A740)
      )
    )
  )
)
"),"12/03/2024")</f>
        <v>12/03/2024</v>
      </c>
      <c r="L740" s="20">
        <v>45363.0</v>
      </c>
      <c r="M740" s="21" t="str">
        <f>IFERROR(__xludf.DUMMYFUNCTION("PROPER(TRIM(
  REGEXREPLACE(
    REGEXREPLACE(
      SUBSTITUTE(SUBSTITUTE(SUBSTITUTE(SUBSTITUTE(SUBSTITUTE(SUBSTITUTE(SUBSTITUTE(SUBSTITUTE(SUBSTITUTE(SUBSTITUTE(SUBSTITUTE(
        B740,""√©"",""é""),""√°"",""á""),""√±"",""ñ""),""√≥"",""ó""),""√â"",""é"&amp;"""),""√Å"",""á""),""√ç"",""í""),""√Ç"",""Í""),""√Â"",""é""),""√≠"",""í""),""√º"",""ú""),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40" s="22" t="str">
        <f>IFERROR(__xludf.DUMMYFUNCTION("SPLIT(
  TRIM(
    SUBSTITUTE(
      SUBSTITUTE(
        SUBSTITUTE(
          SUBSTITUTE(
            C740,
            ""√©"", ""é""
          ),
          ""√±"", ""ñ""
        ),
        ""√°"", ""á""
      ),
      ""√≥"", ""ó""
    )
  ),
  ""-""
)
"),"Teléfono")</f>
        <v>Teléfono</v>
      </c>
      <c r="O740" s="22" t="str">
        <f>IFERROR(__xludf.DUMMYFUNCTION("""COMPUTED_VALUE"""),"Gama alta")</f>
        <v>Gama alta</v>
      </c>
      <c r="P740" s="22" t="str">
        <f>IFERROR(__xludf.DUMMYFUNCTION("""COMPUTED_VALUE"""),"32GB")</f>
        <v>32GB</v>
      </c>
      <c r="Q740" s="23">
        <f t="shared" si="1"/>
        <v>535.75</v>
      </c>
      <c r="R740" s="22">
        <f t="shared" si="2"/>
        <v>2</v>
      </c>
      <c r="S740" s="23">
        <f t="shared" si="3"/>
        <v>1071.5</v>
      </c>
      <c r="T740" s="22" t="str">
        <f>IFERROR(__xludf.DUMMYFUNCTION("PROPER(TRIM(
  LET(
    texto1, REGEXREPLACE(G740,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"),"Carla Urbina")</f>
        <v>Carla Urbina</v>
      </c>
      <c r="U740" s="22" t="str">
        <f t="shared" si="4"/>
        <v>fb731060-72a0-4e77-a717-4072694bb2db</v>
      </c>
      <c r="V740" s="24" t="str">
        <f t="shared" si="5"/>
        <v>Teléfono Gama alta 32GB</v>
      </c>
    </row>
    <row r="741" ht="15.75" customHeight="1">
      <c r="A741" s="6">
        <v>45611.0</v>
      </c>
      <c r="B741" s="2" t="s">
        <v>85</v>
      </c>
      <c r="C741" s="2" t="s">
        <v>28</v>
      </c>
      <c r="D741" s="7">
        <v>1318.47</v>
      </c>
      <c r="E741" s="2">
        <v>1.0</v>
      </c>
      <c r="F741" s="7">
        <v>1318.47</v>
      </c>
      <c r="G741" s="2" t="s">
        <v>2526</v>
      </c>
      <c r="H741" s="2" t="s">
        <v>2527</v>
      </c>
      <c r="I741" s="2" t="s">
        <v>2528</v>
      </c>
      <c r="K741" s="25" t="str">
        <f>IFERROR(__xludf.DUMMYFUNCTION("IF(ISBLANK(A741),
  """",
  IF(ISNUMBER(A741),
    TEXT(A741,""dd/mm/yyyy""),
    IF(
      REGEXMATCH(TRIM(A741),""^\d{1,2}/\d{1,2}/\d{4}$""),
      TRIM(A741),
      IFERROR(
        TEXT(DATEVALUE(SUBSTITUTE(SUBSTITUTE(TRIM(A741),""-"",""/""),""."",""/"&amp;""")),""dd/mm/yyyy""),
        TRIM(A741)
      )
    )
  )
)
"),"15/11/2024")</f>
        <v>15/11/2024</v>
      </c>
      <c r="L741" s="26">
        <v>45611.0</v>
      </c>
      <c r="M741" s="27" t="str">
        <f>IFERROR(__xludf.DUMMYFUNCTION("PROPER(TRIM(
  REGEXREPLACE(
    REGEXREPLACE(
      SUBSTITUTE(SUBSTITUTE(SUBSTITUTE(SUBSTITUTE(SUBSTITUTE(SUBSTITUTE(SUBSTITUTE(SUBSTITUTE(SUBSTITUTE(SUBSTITUTE(SUBSTITUTE(
        B741,""√©"",""é""),""√°"",""á""),""√±"",""ñ""),""√≥"",""ó""),""√â"",""é"&amp;"""),""√Å"",""á""),""√ç"",""í""),""√Ç"",""Í""),""√Â"",""é""),""√≠"",""í""),""√º"",""ú""),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41" s="28" t="str">
        <f>IFERROR(__xludf.DUMMYFUNCTION("SPLIT(
  TRIM(
    SUBSTITUTE(
      SUBSTITUTE(
        SUBSTITUTE(
          SUBSTITUTE(
            C741,
            ""√©"", ""é""
          ),
          ""√±"", ""ñ""
        ),
        ""√°"", ""á""
      ),
      ""√≥"", ""ó""
    )
  ),
  ""-""
)
"),"Tablet")</f>
        <v>Tablet</v>
      </c>
      <c r="O741" s="28" t="str">
        <f>IFERROR(__xludf.DUMMYFUNCTION("""COMPUTED_VALUE"""),"Pro")</f>
        <v>Pro</v>
      </c>
      <c r="P741" s="28" t="str">
        <f>IFERROR(__xludf.DUMMYFUNCTION("""COMPUTED_VALUE"""),"8GB")</f>
        <v>8GB</v>
      </c>
      <c r="Q741" s="29">
        <f t="shared" si="1"/>
        <v>1318.47</v>
      </c>
      <c r="R741" s="28">
        <f t="shared" si="2"/>
        <v>1</v>
      </c>
      <c r="S741" s="29">
        <f t="shared" si="3"/>
        <v>1318.47</v>
      </c>
      <c r="T741" s="28" t="str">
        <f>IFERROR(__xludf.DUMMYFUNCTION("PROPER(TRIM(
  LET(
    texto1, REGEXREPLACE(G741,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"),"Ángela Homero Bravo")</f>
        <v>Ángela Homero Bravo</v>
      </c>
      <c r="U741" s="28" t="str">
        <f t="shared" si="4"/>
        <v>7a1fbf36-eb1f-47d5-9a36-263dd8af1257</v>
      </c>
      <c r="V741" s="30" t="str">
        <f t="shared" si="5"/>
        <v>Tablet Pro 8GB</v>
      </c>
    </row>
    <row r="742" ht="15.75" customHeight="1">
      <c r="A742" s="6">
        <v>45642.0</v>
      </c>
      <c r="B742" s="2" t="s">
        <v>38</v>
      </c>
      <c r="C742" s="2" t="s">
        <v>201</v>
      </c>
      <c r="D742" s="7">
        <v>1711.88</v>
      </c>
      <c r="E742" s="2">
        <v>2.0</v>
      </c>
      <c r="F742" s="7">
        <v>3423.76</v>
      </c>
      <c r="G742" s="2" t="s">
        <v>2529</v>
      </c>
      <c r="H742" s="2" t="s">
        <v>2530</v>
      </c>
      <c r="I742" s="2" t="s">
        <v>2531</v>
      </c>
      <c r="K742" s="19" t="str">
        <f>IFERROR(__xludf.DUMMYFUNCTION("IF(ISBLANK(A742),
  """",
  IF(ISNUMBER(A742),
    TEXT(A742,""dd/mm/yyyy""),
    IF(
      REGEXMATCH(TRIM(A742),""^\d{1,2}/\d{1,2}/\d{4}$""),
      TRIM(A742),
      IFERROR(
        TEXT(DATEVALUE(SUBSTITUTE(SUBSTITUTE(TRIM(A742),""-"",""/""),""."",""/"&amp;""")),""dd/mm/yyyy""),
        TRIM(A742)
      )
    )
  )
)
"),"16/12/2024")</f>
        <v>16/12/2024</v>
      </c>
      <c r="L742" s="20">
        <v>45642.0</v>
      </c>
      <c r="M742" s="21" t="str">
        <f>IFERROR(__xludf.DUMMYFUNCTION("PROPER(TRIM(
  REGEXREPLACE(
    REGEXREPLACE(
      SUBSTITUTE(SUBSTITUTE(SUBSTITUTE(SUBSTITUTE(SUBSTITUTE(SUBSTITUTE(SUBSTITUTE(SUBSTITUTE(SUBSTITUTE(SUBSTITUTE(SUBSTITUTE(
        B742,""√©"",""é""),""√°"",""á""),""√±"",""ñ""),""√≥"",""ó""),""√â"",""é"&amp;"""),""√Å"",""á""),""√ç"",""í""),""√Ç"",""Í""),""√Â"",""é""),""√≠"",""í""),""√º"",""ú""),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42" s="22" t="str">
        <f>IFERROR(__xludf.DUMMYFUNCTION("SPLIT(
  TRIM(
    SUBSTITUTE(
      SUBSTITUTE(
        SUBSTITUTE(
          SUBSTITUTE(
            C742,
            ""√©"", ""é""
          ),
          ""√±"", ""ñ""
        ),
        ""√°"", ""á""
      ),
      ""√≥"", ""ó""
    )
  ),
  ""-""
)
"),"Laptop")</f>
        <v>Laptop</v>
      </c>
      <c r="O742" s="22" t="str">
        <f>IFERROR(__xludf.DUMMYFUNCTION("""COMPUTED_VALUE"""),"Gaming")</f>
        <v>Gaming</v>
      </c>
      <c r="P742" s="22" t="str">
        <f>IFERROR(__xludf.DUMMYFUNCTION("""COMPUTED_VALUE"""),"4GB")</f>
        <v>4GB</v>
      </c>
      <c r="Q742" s="23">
        <f t="shared" si="1"/>
        <v>1711.88</v>
      </c>
      <c r="R742" s="22">
        <f t="shared" si="2"/>
        <v>2</v>
      </c>
      <c r="S742" s="23">
        <f t="shared" si="3"/>
        <v>3423.76</v>
      </c>
      <c r="T742" s="22" t="str">
        <f>IFERROR(__xludf.DUMMYFUNCTION("PROPER(TRIM(
  LET(
    texto1, REGEXREPLACE(G742,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"),"Roberto Alemán Duarte")</f>
        <v>Roberto Alemán Duarte</v>
      </c>
      <c r="U742" s="22" t="str">
        <f t="shared" si="4"/>
        <v>a9af6b62-1d3a-42df-99e5-230a527f9cf6</v>
      </c>
      <c r="V742" s="24" t="str">
        <f t="shared" si="5"/>
        <v>Laptop Gaming 4GB</v>
      </c>
    </row>
    <row r="743" ht="15.75" customHeight="1">
      <c r="A743" s="36">
        <v>45301.0</v>
      </c>
      <c r="B743" s="2" t="s">
        <v>27</v>
      </c>
      <c r="C743" s="2" t="s">
        <v>226</v>
      </c>
      <c r="D743" s="7">
        <v>1756.32</v>
      </c>
      <c r="E743" s="2">
        <v>4.0</v>
      </c>
      <c r="F743" s="7">
        <v>7025.28</v>
      </c>
      <c r="G743" s="2" t="s">
        <v>2532</v>
      </c>
      <c r="H743" s="2" t="s">
        <v>2533</v>
      </c>
      <c r="I743" s="2" t="s">
        <v>2534</v>
      </c>
      <c r="K743" s="25" t="str">
        <f>IFERROR(__xludf.DUMMYFUNCTION("IF(ISBLANK(A743),
  """",
  IF(ISNUMBER(A743),
    TEXT(A743,""dd/mm/yyyy""),
    IF(
      REGEXMATCH(TRIM(A743),""^\d{1,2}/\d{1,2}/\d{4}$""),
      TRIM(A743),
      IFERROR(
        TEXT(DATEVALUE(SUBSTITUTE(SUBSTITUTE(TRIM(A743),""-"",""/""),""."",""/"&amp;""")),""dd/mm/yyyy""),
        TRIM(A743)
      )
    )
  )
)
"),"10/01/2024")</f>
        <v>10/01/2024</v>
      </c>
      <c r="L743" s="26">
        <v>45301.0</v>
      </c>
      <c r="M743" s="27" t="str">
        <f>IFERROR(__xludf.DUMMYFUNCTION("PROPER(TRIM(
  REGEXREPLACE(
    REGEXREPLACE(
      SUBSTITUTE(SUBSTITUTE(SUBSTITUTE(SUBSTITUTE(SUBSTITUTE(SUBSTITUTE(SUBSTITUTE(SUBSTITUTE(SUBSTITUTE(SUBSTITUTE(SUBSTITUTE(
        B743,""√©"",""é""),""√°"",""á""),""√±"",""ñ""),""√≥"",""ó""),""√â"",""é"&amp;"""),""√Å"",""á""),""√ç"",""í""),""√Ç"",""Í""),""√Â"",""é""),""√≠"",""í""),""√º"",""ú""),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43" s="28" t="str">
        <f>IFERROR(__xludf.DUMMYFUNCTION("SPLIT(
  TRIM(
    SUBSTITUTE(
      SUBSTITUTE(
        SUBSTITUTE(
          SUBSTITUTE(
            C743,
            ""√©"", ""é""
          ),
          ""√±"", ""ñ""
        ),
        ""√°"", ""á""
      ),
      ""√≥"", ""ó""
    )
  ),
  ""-""
)
"),"Tablet")</f>
        <v>Tablet</v>
      </c>
      <c r="O743" s="28" t="str">
        <f>IFERROR(__xludf.DUMMYFUNCTION("""COMPUTED_VALUE"""),"Mini")</f>
        <v>Mini</v>
      </c>
      <c r="P743" s="28" t="str">
        <f>IFERROR(__xludf.DUMMYFUNCTION("""COMPUTED_VALUE"""),"16GB")</f>
        <v>16GB</v>
      </c>
      <c r="Q743" s="29">
        <f t="shared" si="1"/>
        <v>1756.32</v>
      </c>
      <c r="R743" s="28">
        <f t="shared" si="2"/>
        <v>4</v>
      </c>
      <c r="S743" s="29">
        <f t="shared" si="3"/>
        <v>7025.28</v>
      </c>
      <c r="T743" s="28" t="str">
        <f>IFERROR(__xludf.DUMMYFUNCTION("PROPER(TRIM(
  LET(
    texto1, REGEXREPLACE(G743,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"),"Sara Naranjo Colón")</f>
        <v>Sara Naranjo Colón</v>
      </c>
      <c r="U743" s="28" t="str">
        <f t="shared" si="4"/>
        <v>6e7f24e8-43fd-4576-b4e4-b3cf8affd7ae</v>
      </c>
      <c r="V743" s="30" t="str">
        <f t="shared" si="5"/>
        <v>Tablet Mini 16GB</v>
      </c>
    </row>
    <row r="744" ht="15.75" customHeight="1">
      <c r="A744" s="36">
        <v>45303.0</v>
      </c>
      <c r="B744" s="2" t="s">
        <v>38</v>
      </c>
      <c r="C744" s="2" t="s">
        <v>39</v>
      </c>
      <c r="D744" s="7">
        <v>2143.37</v>
      </c>
      <c r="E744" s="2">
        <v>3.0</v>
      </c>
      <c r="F744" s="7">
        <v>6430.11</v>
      </c>
      <c r="G744" s="2" t="s">
        <v>2535</v>
      </c>
      <c r="H744" s="2" t="s">
        <v>2536</v>
      </c>
      <c r="I744" s="2" t="s">
        <v>2537</v>
      </c>
      <c r="K744" s="19" t="str">
        <f>IFERROR(__xludf.DUMMYFUNCTION("IF(ISBLANK(A744),
  """",
  IF(ISNUMBER(A744),
    TEXT(A744,""dd/mm/yyyy""),
    IF(
      REGEXMATCH(TRIM(A744),""^\d{1,2}/\d{1,2}/\d{4}$""),
      TRIM(A744),
      IFERROR(
        TEXT(DATEVALUE(SUBSTITUTE(SUBSTITUTE(TRIM(A744),""-"",""/""),""."",""/"&amp;""")),""dd/mm/yyyy""),
        TRIM(A744)
      )
    )
  )
)
"),"12/01/2024")</f>
        <v>12/01/2024</v>
      </c>
      <c r="L744" s="20">
        <v>45303.0</v>
      </c>
      <c r="M744" s="21" t="str">
        <f>IFERROR(__xludf.DUMMYFUNCTION("PROPER(TRIM(
  REGEXREPLACE(
    REGEXREPLACE(
      SUBSTITUTE(SUBSTITUTE(SUBSTITUTE(SUBSTITUTE(SUBSTITUTE(SUBSTITUTE(SUBSTITUTE(SUBSTITUTE(SUBSTITUTE(SUBSTITUTE(SUBSTITUTE(
        B744,""√©"",""é""),""√°"",""á""),""√±"",""ñ""),""√≥"",""ó""),""√â"",""é"&amp;"""),""√Å"",""á""),""√ç"",""í""),""√Ç"",""Í""),""√Â"",""é""),""√≠"",""í""),""√º"",""ú""),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44" s="22" t="str">
        <f>IFERROR(__xludf.DUMMYFUNCTION("SPLIT(
  TRIM(
    SUBSTITUTE(
      SUBSTITUTE(
        SUBSTITUTE(
          SUBSTITUTE(
            C744,
            ""√©"", ""é""
          ),
          ""√±"", ""ñ""
        ),
        ""√°"", ""á""
      ),
      ""√≥"", ""ó""
    )
  ),
  ""-""
)
"),"Teléfono")</f>
        <v>Teléfono</v>
      </c>
      <c r="O744" s="22" t="str">
        <f>IFERROR(__xludf.DUMMYFUNCTION("""COMPUTED_VALUE"""),"Gama alta")</f>
        <v>Gama alta</v>
      </c>
      <c r="P744" s="22" t="str">
        <f>IFERROR(__xludf.DUMMYFUNCTION("""COMPUTED_VALUE"""),"8GB")</f>
        <v>8GB</v>
      </c>
      <c r="Q744" s="23">
        <f t="shared" si="1"/>
        <v>2143.37</v>
      </c>
      <c r="R744" s="22">
        <f t="shared" si="2"/>
        <v>3</v>
      </c>
      <c r="S744" s="23">
        <f t="shared" si="3"/>
        <v>6430.11</v>
      </c>
      <c r="T744" s="22" t="str">
        <f>IFERROR(__xludf.DUMMYFUNCTION("PROPER(TRIM(
  LET(
    texto1, REGEXREPLACE(G744,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"),"Conchita Arteaga")</f>
        <v>Conchita Arteaga</v>
      </c>
      <c r="U744" s="22" t="str">
        <f t="shared" si="4"/>
        <v>52debf9b-2206-4dc5-b40f-22d8df8bf7f0</v>
      </c>
      <c r="V744" s="24" t="str">
        <f t="shared" si="5"/>
        <v>Teléfono Gama alta 8GB</v>
      </c>
    </row>
    <row r="745" ht="15.75" customHeight="1">
      <c r="A745" s="6">
        <v>45646.0</v>
      </c>
      <c r="B745" s="2" t="s">
        <v>27</v>
      </c>
      <c r="C745" s="2" t="s">
        <v>191</v>
      </c>
      <c r="D745" s="7">
        <v>769.01</v>
      </c>
      <c r="E745" s="2">
        <v>5.0</v>
      </c>
      <c r="F745" s="7">
        <v>3845.05</v>
      </c>
      <c r="G745" s="2" t="s">
        <v>2538</v>
      </c>
      <c r="H745" s="2" t="s">
        <v>2539</v>
      </c>
      <c r="I745" s="2" t="s">
        <v>2540</v>
      </c>
      <c r="K745" s="25" t="str">
        <f>IFERROR(__xludf.DUMMYFUNCTION("IF(ISBLANK(A745),
  """",
  IF(ISNUMBER(A745),
    TEXT(A745,""dd/mm/yyyy""),
    IF(
      REGEXMATCH(TRIM(A745),""^\d{1,2}/\d{1,2}/\d{4}$""),
      TRIM(A745),
      IFERROR(
        TEXT(DATEVALUE(SUBSTITUTE(SUBSTITUTE(TRIM(A745),""-"",""/""),""."",""/"&amp;""")),""dd/mm/yyyy""),
        TRIM(A745)
      )
    )
  )
)
"),"20/12/2024")</f>
        <v>20/12/2024</v>
      </c>
      <c r="L745" s="26">
        <v>45646.0</v>
      </c>
      <c r="M745" s="27" t="str">
        <f>IFERROR(__xludf.DUMMYFUNCTION("PROPER(TRIM(
  REGEXREPLACE(
    REGEXREPLACE(
      SUBSTITUTE(SUBSTITUTE(SUBSTITUTE(SUBSTITUTE(SUBSTITUTE(SUBSTITUTE(SUBSTITUTE(SUBSTITUTE(SUBSTITUTE(SUBSTITUTE(SUBSTITUTE(
        B745,""√©"",""é""),""√°"",""á""),""√±"",""ñ""),""√≥"",""ó""),""√â"",""é"&amp;"""),""√Å"",""á""),""√ç"",""í""),""√Ç"",""Í""),""√Â"",""é""),""√≠"",""í""),""√º"",""ú""),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45" s="28" t="str">
        <f>IFERROR(__xludf.DUMMYFUNCTION("SPLIT(
  TRIM(
    SUBSTITUTE(
      SUBSTITUTE(
        SUBSTITUTE(
          SUBSTITUTE(
            C745,
            ""√©"", ""é""
          ),
          ""√±"", ""ñ""
        ),
        ""√°"", ""á""
      ),
      ""√≥"", ""ó""
    )
  ),
  ""-""
)
"),"Auriculares")</f>
        <v>Auriculares</v>
      </c>
      <c r="O745" s="28" t="str">
        <f>IFERROR(__xludf.DUMMYFUNCTION("""COMPUTED_VALUE"""),"Cancelación de ruido")</f>
        <v>Cancelación de ruido</v>
      </c>
      <c r="P745" s="28" t="str">
        <f>IFERROR(__xludf.DUMMYFUNCTION("""COMPUTED_VALUE"""),"32GB")</f>
        <v>32GB</v>
      </c>
      <c r="Q745" s="29">
        <f t="shared" si="1"/>
        <v>769.01</v>
      </c>
      <c r="R745" s="28">
        <f t="shared" si="2"/>
        <v>5</v>
      </c>
      <c r="S745" s="29">
        <f t="shared" si="3"/>
        <v>3845.05</v>
      </c>
      <c r="T745" s="28" t="str">
        <f>IFERROR(__xludf.DUMMYFUNCTION("PROPER(TRIM(
  LET(
    texto1, REGEXREPLACE(G745,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"),"Hilda Corrales Ramón")</f>
        <v>Hilda Corrales Ramón</v>
      </c>
      <c r="U745" s="28" t="str">
        <f t="shared" si="4"/>
        <v>582a5e26-8066-4160-aeff-a40ad4fe52e2</v>
      </c>
      <c r="V745" s="30" t="str">
        <f t="shared" si="5"/>
        <v>Auriculares Cancelación de ruido 32GB</v>
      </c>
    </row>
    <row r="746" ht="15.75" customHeight="1">
      <c r="A746" s="6">
        <v>45616.0</v>
      </c>
      <c r="B746" s="2" t="s">
        <v>27</v>
      </c>
      <c r="C746" s="2" t="s">
        <v>235</v>
      </c>
      <c r="D746" s="7">
        <v>269.57</v>
      </c>
      <c r="E746" s="2">
        <v>5.0</v>
      </c>
      <c r="F746" s="7">
        <v>1347.85</v>
      </c>
      <c r="G746" s="2" t="s">
        <v>2541</v>
      </c>
      <c r="H746" s="2" t="s">
        <v>2542</v>
      </c>
      <c r="I746" s="2" t="s">
        <v>2543</v>
      </c>
      <c r="K746" s="19" t="str">
        <f>IFERROR(__xludf.DUMMYFUNCTION("IF(ISBLANK(A746),
  """",
  IF(ISNUMBER(A746),
    TEXT(A746,""dd/mm/yyyy""),
    IF(
      REGEXMATCH(TRIM(A746),""^\d{1,2}/\d{1,2}/\d{4}$""),
      TRIM(A746),
      IFERROR(
        TEXT(DATEVALUE(SUBSTITUTE(SUBSTITUTE(TRIM(A746),""-"",""/""),""."",""/"&amp;""")),""dd/mm/yyyy""),
        TRIM(A746)
      )
    )
  )
)
"),"20/11/2024")</f>
        <v>20/11/2024</v>
      </c>
      <c r="L746" s="20">
        <v>45616.0</v>
      </c>
      <c r="M746" s="21" t="str">
        <f>IFERROR(__xludf.DUMMYFUNCTION("PROPER(TRIM(
  REGEXREPLACE(
    REGEXREPLACE(
      SUBSTITUTE(SUBSTITUTE(SUBSTITUTE(SUBSTITUTE(SUBSTITUTE(SUBSTITUTE(SUBSTITUTE(SUBSTITUTE(SUBSTITUTE(SUBSTITUTE(SUBSTITUTE(
        B746,""√©"",""é""),""√°"",""á""),""√±"",""ñ""),""√≥"",""ó""),""√â"",""é"&amp;"""),""√Å"",""á""),""√ç"",""í""),""√Ç"",""Í""),""√Â"",""é""),""√≠"",""í""),""√º"",""ú""),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46" s="22" t="str">
        <f>IFERROR(__xludf.DUMMYFUNCTION("SPLIT(
  TRIM(
    SUBSTITUTE(
      SUBSTITUTE(
        SUBSTITUTE(
          SUBSTITUTE(
            C746,
            ""√©"", ""é""
          ),
          ""√±"", ""ñ""
        ),
        ""√°"", ""á""
      ),
      ""√≥"", ""ó""
    )
  ),
  ""-""
)
"),"Tablet")</f>
        <v>Tablet</v>
      </c>
      <c r="O746" s="22" t="str">
        <f>IFERROR(__xludf.DUMMYFUNCTION("""COMPUTED_VALUE"""),"Estándar")</f>
        <v>Estándar</v>
      </c>
      <c r="P746" s="22" t="str">
        <f>IFERROR(__xludf.DUMMYFUNCTION("""COMPUTED_VALUE"""),"4GB")</f>
        <v>4GB</v>
      </c>
      <c r="Q746" s="23">
        <f t="shared" si="1"/>
        <v>269.57</v>
      </c>
      <c r="R746" s="22">
        <f t="shared" si="2"/>
        <v>5</v>
      </c>
      <c r="S746" s="23">
        <f t="shared" si="3"/>
        <v>1347.85</v>
      </c>
      <c r="T746" s="22" t="str">
        <f>IFERROR(__xludf.DUMMYFUNCTION("PROPER(TRIM(
  LET(
    texto1, REGEXREPLACE(G746,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"),"Esther Casares")</f>
        <v>Esther Casares</v>
      </c>
      <c r="U746" s="22" t="str">
        <f t="shared" si="4"/>
        <v>2a51a5bd-6af1-4306-8be1-f8bb0f7106d3</v>
      </c>
      <c r="V746" s="24" t="str">
        <f t="shared" si="5"/>
        <v>Tablet Estándar 4GB</v>
      </c>
    </row>
    <row r="747" ht="15.75" customHeight="1">
      <c r="A747" s="6">
        <v>45615.0</v>
      </c>
      <c r="B747" s="2" t="s">
        <v>50</v>
      </c>
      <c r="C747" s="2" t="s">
        <v>167</v>
      </c>
      <c r="D747" s="7">
        <v>2185.04</v>
      </c>
      <c r="E747" s="2">
        <v>4.0</v>
      </c>
      <c r="F747" s="7">
        <v>8740.16</v>
      </c>
      <c r="G747" s="2" t="s">
        <v>2544</v>
      </c>
      <c r="H747" s="2" t="s">
        <v>2545</v>
      </c>
      <c r="I747" s="2" t="s">
        <v>2546</v>
      </c>
      <c r="K747" s="25" t="str">
        <f>IFERROR(__xludf.DUMMYFUNCTION("IF(ISBLANK(A747),
  """",
  IF(ISNUMBER(A747),
    TEXT(A747,""dd/mm/yyyy""),
    IF(
      REGEXMATCH(TRIM(A747),""^\d{1,2}/\d{1,2}/\d{4}$""),
      TRIM(A747),
      IFERROR(
        TEXT(DATEVALUE(SUBSTITUTE(SUBSTITUTE(TRIM(A747),""-"",""/""),""."",""/"&amp;""")),""dd/mm/yyyy""),
        TRIM(A747)
      )
    )
  )
)
"),"19/11/2024")</f>
        <v>19/11/2024</v>
      </c>
      <c r="L747" s="26">
        <v>45615.0</v>
      </c>
      <c r="M747" s="27" t="str">
        <f>IFERROR(__xludf.DUMMYFUNCTION("PROPER(TRIM(
  REGEXREPLACE(
    REGEXREPLACE(
      SUBSTITUTE(SUBSTITUTE(SUBSTITUTE(SUBSTITUTE(SUBSTITUTE(SUBSTITUTE(SUBSTITUTE(SUBSTITUTE(SUBSTITUTE(SUBSTITUTE(SUBSTITUTE(
        B747,""√©"",""é""),""√°"",""á""),""√±"",""ñ""),""√≥"",""ó""),""√â"",""é"&amp;"""),""√Å"",""á""),""√ç"",""í""),""√Ç"",""Í""),""√Â"",""é""),""√≠"",""í""),""√º"",""ú""),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47" s="28" t="str">
        <f>IFERROR(__xludf.DUMMYFUNCTION("SPLIT(
  TRIM(
    SUBSTITUTE(
      SUBSTITUTE(
        SUBSTITUTE(
          SUBSTITUTE(
            C747,
            ""√©"", ""é""
          ),
          ""√±"", ""ñ""
        ),
        ""√°"", ""á""
      ),
      ""√≥"", ""ó""
    )
  ),
  ""-""
)
"),"Laptop")</f>
        <v>Laptop</v>
      </c>
      <c r="O747" s="28" t="str">
        <f>IFERROR(__xludf.DUMMYFUNCTION("""COMPUTED_VALUE"""),"Gaming")</f>
        <v>Gaming</v>
      </c>
      <c r="P747" s="28" t="str">
        <f>IFERROR(__xludf.DUMMYFUNCTION("""COMPUTED_VALUE"""),"8GB")</f>
        <v>8GB</v>
      </c>
      <c r="Q747" s="29">
        <f t="shared" si="1"/>
        <v>2185.04</v>
      </c>
      <c r="R747" s="28">
        <f t="shared" si="2"/>
        <v>4</v>
      </c>
      <c r="S747" s="29">
        <f t="shared" si="3"/>
        <v>8740.16</v>
      </c>
      <c r="T747" s="28" t="str">
        <f>IFERROR(__xludf.DUMMYFUNCTION("PROPER(TRIM(
  LET(
    texto1, REGEXREPLACE(G747,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"),"Olga Frías Paz")</f>
        <v>Olga Frías Paz</v>
      </c>
      <c r="U747" s="28" t="str">
        <f t="shared" si="4"/>
        <v>e4cf76ae-abd2-47d4-a0b7-6238612481ae</v>
      </c>
      <c r="V747" s="30" t="str">
        <f t="shared" si="5"/>
        <v>Laptop Gaming 8GB</v>
      </c>
    </row>
    <row r="748" ht="15.75" customHeight="1">
      <c r="A748" s="6">
        <v>45648.0</v>
      </c>
      <c r="B748" s="2" t="s">
        <v>101</v>
      </c>
      <c r="C748" s="2" t="s">
        <v>226</v>
      </c>
      <c r="D748" s="7">
        <v>2251.92</v>
      </c>
      <c r="E748" s="2">
        <v>5.0</v>
      </c>
      <c r="F748" s="7">
        <v>11259.6</v>
      </c>
      <c r="G748" s="2" t="s">
        <v>2547</v>
      </c>
      <c r="H748" s="2" t="s">
        <v>2548</v>
      </c>
      <c r="I748" s="2" t="s">
        <v>2549</v>
      </c>
      <c r="K748" s="19" t="str">
        <f>IFERROR(__xludf.DUMMYFUNCTION("IF(ISBLANK(A748),
  """",
  IF(ISNUMBER(A748),
    TEXT(A748,""dd/mm/yyyy""),
    IF(
      REGEXMATCH(TRIM(A748),""^\d{1,2}/\d{1,2}/\d{4}$""),
      TRIM(A748),
      IFERROR(
        TEXT(DATEVALUE(SUBSTITUTE(SUBSTITUTE(TRIM(A748),""-"",""/""),""."",""/"&amp;""")),""dd/mm/yyyy""),
        TRIM(A748)
      )
    )
  )
)
"),"22/12/2024")</f>
        <v>22/12/2024</v>
      </c>
      <c r="L748" s="20">
        <v>45648.0</v>
      </c>
      <c r="M748" s="21" t="str">
        <f>IFERROR(__xludf.DUMMYFUNCTION("PROPER(TRIM(
  REGEXREPLACE(
    REGEXREPLACE(
      SUBSTITUTE(SUBSTITUTE(SUBSTITUTE(SUBSTITUTE(SUBSTITUTE(SUBSTITUTE(SUBSTITUTE(SUBSTITUTE(SUBSTITUTE(SUBSTITUTE(SUBSTITUTE(
        B748,""√©"",""é""),""√°"",""á""),""√±"",""ñ""),""√≥"",""ó""),""√â"",""é"&amp;"""),""√Å"",""á""),""√ç"",""í""),""√Ç"",""Í""),""√Â"",""é""),""√≠"",""í""),""√º"",""ú""),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48" s="22" t="str">
        <f>IFERROR(__xludf.DUMMYFUNCTION("SPLIT(
  TRIM(
    SUBSTITUTE(
      SUBSTITUTE(
        SUBSTITUTE(
          SUBSTITUTE(
            C748,
            ""√©"", ""é""
          ),
          ""√±"", ""ñ""
        ),
        ""√°"", ""á""
      ),
      ""√≥"", ""ó""
    )
  ),
  ""-""
)
"),"Tablet")</f>
        <v>Tablet</v>
      </c>
      <c r="O748" s="22" t="str">
        <f>IFERROR(__xludf.DUMMYFUNCTION("""COMPUTED_VALUE"""),"Mini")</f>
        <v>Mini</v>
      </c>
      <c r="P748" s="22" t="str">
        <f>IFERROR(__xludf.DUMMYFUNCTION("""COMPUTED_VALUE"""),"16GB")</f>
        <v>16GB</v>
      </c>
      <c r="Q748" s="23">
        <f t="shared" si="1"/>
        <v>2251.92</v>
      </c>
      <c r="R748" s="22">
        <f t="shared" si="2"/>
        <v>5</v>
      </c>
      <c r="S748" s="23">
        <f t="shared" si="3"/>
        <v>11259.6</v>
      </c>
      <c r="T748" s="22" t="str">
        <f>IFERROR(__xludf.DUMMYFUNCTION("PROPER(TRIM(
  LET(
    texto1, REGEXREPLACE(G748,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"),"Pamela Magdalena Pantoja Sisneros")</f>
        <v>Pamela Magdalena Pantoja Sisneros</v>
      </c>
      <c r="U748" s="22" t="str">
        <f t="shared" si="4"/>
        <v>8ade79e6-11e9-4fba-b189-eb3b62f4cbd6</v>
      </c>
      <c r="V748" s="24" t="str">
        <f t="shared" si="5"/>
        <v>Tablet Mini 16GB</v>
      </c>
    </row>
    <row r="749" ht="15.75" customHeight="1">
      <c r="A749" s="36">
        <v>45484.0</v>
      </c>
      <c r="B749" s="2" t="s">
        <v>16</v>
      </c>
      <c r="C749" s="2" t="s">
        <v>245</v>
      </c>
      <c r="D749" s="7">
        <v>330.1</v>
      </c>
      <c r="E749" s="2">
        <v>4.0</v>
      </c>
      <c r="F749" s="7">
        <v>1320.4</v>
      </c>
      <c r="G749" s="2" t="s">
        <v>2550</v>
      </c>
      <c r="H749" s="2" t="s">
        <v>2551</v>
      </c>
      <c r="I749" s="2" t="s">
        <v>2552</v>
      </c>
      <c r="K749" s="25" t="str">
        <f>IFERROR(__xludf.DUMMYFUNCTION("IF(ISBLANK(A749),
  """",
  IF(ISNUMBER(A749),
    TEXT(A749,""dd/mm/yyyy""),
    IF(
      REGEXMATCH(TRIM(A749),""^\d{1,2}/\d{1,2}/\d{4}$""),
      TRIM(A749),
      IFERROR(
        TEXT(DATEVALUE(SUBSTITUTE(SUBSTITUTE(TRIM(A749),""-"",""/""),""."",""/"&amp;""")),""dd/mm/yyyy""),
        TRIM(A749)
      )
    )
  )
)
"),"11/07/2024")</f>
        <v>11/07/2024</v>
      </c>
      <c r="L749" s="26">
        <v>45484.0</v>
      </c>
      <c r="M749" s="27" t="str">
        <f>IFERROR(__xludf.DUMMYFUNCTION("PROPER(TRIM(
  REGEXREPLACE(
    REGEXREPLACE(
      SUBSTITUTE(SUBSTITUTE(SUBSTITUTE(SUBSTITUTE(SUBSTITUTE(SUBSTITUTE(SUBSTITUTE(SUBSTITUTE(SUBSTITUTE(SUBSTITUTE(SUBSTITUTE(
        B749,""√©"",""é""),""√°"",""á""),""√±"",""ñ""),""√≥"",""ó""),""√â"",""é"&amp;"""),""√Å"",""á""),""√ç"",""í""),""√Ç"",""Í""),""√Â"",""é""),""√≠"",""í""),""√º"",""ú""),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49" s="28" t="str">
        <f>IFERROR(__xludf.DUMMYFUNCTION("SPLIT(
  TRIM(
    SUBSTITUTE(
      SUBSTITUTE(
        SUBSTITUTE(
          SUBSTITUTE(
            C749,
            ""√©"", ""é""
          ),
          ""√±"", ""ñ""
        ),
        ""√°"", ""á""
      ),
      ""√≥"", ""ó""
    )
  ),
  ""-""
)
"),"Teléfono")</f>
        <v>Teléfono</v>
      </c>
      <c r="O749" s="28" t="str">
        <f>IFERROR(__xludf.DUMMYFUNCTION("""COMPUTED_VALUE"""),"Gama baja")</f>
        <v>Gama baja</v>
      </c>
      <c r="P749" s="28" t="str">
        <f>IFERROR(__xludf.DUMMYFUNCTION("""COMPUTED_VALUE"""),"32GB")</f>
        <v>32GB</v>
      </c>
      <c r="Q749" s="29">
        <f t="shared" si="1"/>
        <v>330.1</v>
      </c>
      <c r="R749" s="28">
        <f t="shared" si="2"/>
        <v>4</v>
      </c>
      <c r="S749" s="29">
        <f t="shared" si="3"/>
        <v>1320.4</v>
      </c>
      <c r="T749" s="28" t="str">
        <f>IFERROR(__xludf.DUMMYFUNCTION("PROPER(TRIM(
  LET(
    texto1, REGEXREPLACE(G749,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"),"Natividad Balderas")</f>
        <v>Natividad Balderas</v>
      </c>
      <c r="U749" s="28" t="str">
        <f t="shared" si="4"/>
        <v>33abf96f-5053-40a9-926d-c62cf710d5d7</v>
      </c>
      <c r="V749" s="30" t="str">
        <f t="shared" si="5"/>
        <v>Teléfono Gama baja 32GB</v>
      </c>
    </row>
    <row r="750" ht="15.75" customHeight="1">
      <c r="A750" s="6">
        <v>45655.0</v>
      </c>
      <c r="B750" s="2" t="s">
        <v>38</v>
      </c>
      <c r="C750" s="2" t="s">
        <v>348</v>
      </c>
      <c r="D750" s="7">
        <v>1331.81</v>
      </c>
      <c r="E750" s="2">
        <v>3.0</v>
      </c>
      <c r="F750" s="7">
        <v>3995.43</v>
      </c>
      <c r="G750" s="2" t="s">
        <v>2553</v>
      </c>
      <c r="H750" s="2" t="s">
        <v>2554</v>
      </c>
      <c r="I750" s="2" t="s">
        <v>2555</v>
      </c>
      <c r="K750" s="19" t="str">
        <f>IFERROR(__xludf.DUMMYFUNCTION("IF(ISBLANK(A750),
  """",
  IF(ISNUMBER(A750),
    TEXT(A750,""dd/mm/yyyy""),
    IF(
      REGEXMATCH(TRIM(A750),""^\d{1,2}/\d{1,2}/\d{4}$""),
      TRIM(A750),
      IFERROR(
        TEXT(DATEVALUE(SUBSTITUTE(SUBSTITUTE(TRIM(A750),""-"",""/""),""."",""/"&amp;""")),""dd/mm/yyyy""),
        TRIM(A750)
      )
    )
  )
)
"),"29/12/2024")</f>
        <v>29/12/2024</v>
      </c>
      <c r="L750" s="20">
        <v>45655.0</v>
      </c>
      <c r="M750" s="21" t="str">
        <f>IFERROR(__xludf.DUMMYFUNCTION("PROPER(TRIM(
  REGEXREPLACE(
    REGEXREPLACE(
      SUBSTITUTE(SUBSTITUTE(SUBSTITUTE(SUBSTITUTE(SUBSTITUTE(SUBSTITUTE(SUBSTITUTE(SUBSTITUTE(SUBSTITUTE(SUBSTITUTE(SUBSTITUTE(
        B750,""√©"",""é""),""√°"",""á""),""√±"",""ñ""),""√≥"",""ó""),""√â"",""é"&amp;"""),""√Å"",""á""),""√ç"",""í""),""√Ç"",""Í""),""√Â"",""é""),""√≠"",""í""),""√º"",""ú""),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50" s="22" t="str">
        <f>IFERROR(__xludf.DUMMYFUNCTION("SPLIT(
  TRIM(
    SUBSTITUTE(
      SUBSTITUTE(
        SUBSTITUTE(
          SUBSTITUTE(
            C750,
            ""√©"", ""é""
          ),
          ""√±"", ""ñ""
        ),
        ""√°"", ""á""
      ),
      ""√≥"", ""ó""
    )
  ),
  ""-""
)
"),"Teléfono")</f>
        <v>Teléfono</v>
      </c>
      <c r="O750" s="22" t="str">
        <f>IFERROR(__xludf.DUMMYFUNCTION("""COMPUTED_VALUE"""),"Gama media")</f>
        <v>Gama media</v>
      </c>
      <c r="P750" s="22" t="str">
        <f>IFERROR(__xludf.DUMMYFUNCTION("""COMPUTED_VALUE"""),"8GB")</f>
        <v>8GB</v>
      </c>
      <c r="Q750" s="23">
        <f t="shared" si="1"/>
        <v>1331.81</v>
      </c>
      <c r="R750" s="22">
        <f t="shared" si="2"/>
        <v>3</v>
      </c>
      <c r="S750" s="23">
        <f t="shared" si="3"/>
        <v>3995.43</v>
      </c>
      <c r="T750" s="22" t="str">
        <f>IFERROR(__xludf.DUMMYFUNCTION("PROPER(TRIM(
  LET(
    texto1, REGEXREPLACE(G750,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"),"Débora Alberto De Jess Rodríguez")</f>
        <v>Débora Alberto De Jess Rodríguez</v>
      </c>
      <c r="U750" s="22" t="str">
        <f t="shared" si="4"/>
        <v>bdb0c3e4-d084-49a5-a6b4-ba900b20e2ae</v>
      </c>
      <c r="V750" s="24" t="str">
        <f t="shared" si="5"/>
        <v>Teléfono Gama media 8GB</v>
      </c>
    </row>
    <row r="751" ht="15.75" customHeight="1">
      <c r="A751" s="6">
        <v>45649.0</v>
      </c>
      <c r="B751" s="2" t="s">
        <v>38</v>
      </c>
      <c r="C751" s="2" t="s">
        <v>75</v>
      </c>
      <c r="D751" s="7">
        <v>2115.54</v>
      </c>
      <c r="E751" s="2">
        <v>5.0</v>
      </c>
      <c r="F751" s="7">
        <v>10577.7</v>
      </c>
      <c r="G751" s="2" t="s">
        <v>2556</v>
      </c>
      <c r="H751" s="2" t="s">
        <v>2557</v>
      </c>
      <c r="I751" s="2" t="s">
        <v>2558</v>
      </c>
      <c r="K751" s="25" t="str">
        <f>IFERROR(__xludf.DUMMYFUNCTION("IF(ISBLANK(A751),
  """",
  IF(ISNUMBER(A751),
    TEXT(A751,""dd/mm/yyyy""),
    IF(
      REGEXMATCH(TRIM(A751),""^\d{1,2}/\d{1,2}/\d{4}$""),
      TRIM(A751),
      IFERROR(
        TEXT(DATEVALUE(SUBSTITUTE(SUBSTITUTE(TRIM(A751),""-"",""/""),""."",""/"&amp;""")),""dd/mm/yyyy""),
        TRIM(A751)
      )
    )
  )
)
"),"23/12/2024")</f>
        <v>23/12/2024</v>
      </c>
      <c r="L751" s="26">
        <v>45649.0</v>
      </c>
      <c r="M751" s="27" t="str">
        <f>IFERROR(__xludf.DUMMYFUNCTION("PROPER(TRIM(
  REGEXREPLACE(
    REGEXREPLACE(
      SUBSTITUTE(SUBSTITUTE(SUBSTITUTE(SUBSTITUTE(SUBSTITUTE(SUBSTITUTE(SUBSTITUTE(SUBSTITUTE(SUBSTITUTE(SUBSTITUTE(SUBSTITUTE(
        B751,""√©"",""é""),""√°"",""á""),""√±"",""ñ""),""√≥"",""ó""),""√â"",""é"&amp;"""),""√Å"",""á""),""√ç"",""í""),""√Ç"",""Í""),""√Â"",""é""),""√≠"",""í""),""√º"",""ú""),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51" s="28" t="str">
        <f>IFERROR(__xludf.DUMMYFUNCTION("SPLIT(
  TRIM(
    SUBSTITUTE(
      SUBSTITUTE(
        SUBSTITUTE(
          SUBSTITUTE(
            C751,
            ""√©"", ""é""
          ),
          ""√±"", ""ñ""
        ),
        ""√°"", ""á""
      ),
      ""√≥"", ""ó""
    )
  ),
  ""-""
)
"),"Tablet")</f>
        <v>Tablet</v>
      </c>
      <c r="O751" s="28" t="str">
        <f>IFERROR(__xludf.DUMMYFUNCTION("""COMPUTED_VALUE"""),"Pro")</f>
        <v>Pro</v>
      </c>
      <c r="P751" s="28" t="str">
        <f>IFERROR(__xludf.DUMMYFUNCTION("""COMPUTED_VALUE"""),"4GB")</f>
        <v>4GB</v>
      </c>
      <c r="Q751" s="29">
        <f t="shared" si="1"/>
        <v>2115.54</v>
      </c>
      <c r="R751" s="28">
        <f t="shared" si="2"/>
        <v>5</v>
      </c>
      <c r="S751" s="29">
        <f t="shared" si="3"/>
        <v>10577.7</v>
      </c>
      <c r="T751" s="28" t="str">
        <f>IFERROR(__xludf.DUMMYFUNCTION("PROPER(TRIM(
  LET(
    texto1, REGEXREPLACE(G751,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"),"Scar Cadena Valle")</f>
        <v>Scar Cadena Valle</v>
      </c>
      <c r="U751" s="28" t="str">
        <f t="shared" si="4"/>
        <v>dffbee9b-2a20-4916-9f32-44754d3fae5d</v>
      </c>
      <c r="V751" s="30" t="str">
        <f t="shared" si="5"/>
        <v>Tablet Pro 4GB</v>
      </c>
    </row>
    <row r="752" ht="15.75" customHeight="1">
      <c r="A752" s="6">
        <v>45582.0</v>
      </c>
      <c r="B752" s="2" t="s">
        <v>85</v>
      </c>
      <c r="C752" s="2" t="s">
        <v>152</v>
      </c>
      <c r="D752" s="7">
        <v>2411.28</v>
      </c>
      <c r="E752" s="2">
        <v>4.0</v>
      </c>
      <c r="F752" s="7">
        <v>9645.12</v>
      </c>
      <c r="G752" s="2" t="s">
        <v>2559</v>
      </c>
      <c r="H752" s="2" t="s">
        <v>2560</v>
      </c>
      <c r="I752" s="2" t="s">
        <v>2561</v>
      </c>
      <c r="K752" s="19" t="str">
        <f>IFERROR(__xludf.DUMMYFUNCTION("IF(ISBLANK(A752),
  """",
  IF(ISNUMBER(A752),
    TEXT(A752,""dd/mm/yyyy""),
    IF(
      REGEXMATCH(TRIM(A752),""^\d{1,2}/\d{1,2}/\d{4}$""),
      TRIM(A752),
      IFERROR(
        TEXT(DATEVALUE(SUBSTITUTE(SUBSTITUTE(TRIM(A752),""-"",""/""),""."",""/"&amp;""")),""dd/mm/yyyy""),
        TRIM(A752)
      )
    )
  )
)
"),"17/10/2024")</f>
        <v>17/10/2024</v>
      </c>
      <c r="L752" s="20">
        <v>45582.0</v>
      </c>
      <c r="M752" s="21" t="str">
        <f>IFERROR(__xludf.DUMMYFUNCTION("PROPER(TRIM(
  REGEXREPLACE(
    REGEXREPLACE(
      SUBSTITUTE(SUBSTITUTE(SUBSTITUTE(SUBSTITUTE(SUBSTITUTE(SUBSTITUTE(SUBSTITUTE(SUBSTITUTE(SUBSTITUTE(SUBSTITUTE(SUBSTITUTE(
        B752,""√©"",""é""),""√°"",""á""),""√±"",""ñ""),""√≥"",""ó""),""√â"",""é"&amp;"""),""√Å"",""á""),""√ç"",""í""),""√Ç"",""Í""),""√Â"",""é""),""√≠"",""í""),""√º"",""ú""),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52" s="22" t="str">
        <f>IFERROR(__xludf.DUMMYFUNCTION("SPLIT(
  TRIM(
    SUBSTITUTE(
      SUBSTITUTE(
        SUBSTITUTE(
          SUBSTITUTE(
            C752,
            ""√©"", ""é""
          ),
          ""√±"", ""ñ""
        ),
        ""√°"", ""á""
      ),
      ""√≥"", ""ó""
    )
  ),
  ""-""
)
"),"Teléfono")</f>
        <v>Teléfono</v>
      </c>
      <c r="O752" s="22" t="str">
        <f>IFERROR(__xludf.DUMMYFUNCTION("""COMPUTED_VALUE"""),"Gama baja")</f>
        <v>Gama baja</v>
      </c>
      <c r="P752" s="22" t="str">
        <f>IFERROR(__xludf.DUMMYFUNCTION("""COMPUTED_VALUE"""),"4GB")</f>
        <v>4GB</v>
      </c>
      <c r="Q752" s="23">
        <f t="shared" si="1"/>
        <v>2411.28</v>
      </c>
      <c r="R752" s="22">
        <f t="shared" si="2"/>
        <v>4</v>
      </c>
      <c r="S752" s="23">
        <f t="shared" si="3"/>
        <v>9645.12</v>
      </c>
      <c r="T752" s="22" t="str">
        <f>IFERROR(__xludf.DUMMYFUNCTION("PROPER(TRIM(
  LET(
    texto1, REGEXREPLACE(G752,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"),"Olga Castillo Longoria")</f>
        <v>Olga Castillo Longoria</v>
      </c>
      <c r="U752" s="22" t="str">
        <f t="shared" si="4"/>
        <v>8d1f42be-4310-48c3-951b-e030b1423297</v>
      </c>
      <c r="V752" s="24" t="str">
        <f t="shared" si="5"/>
        <v>Teléfono Gama baja 4GB</v>
      </c>
    </row>
    <row r="753" ht="15.75" customHeight="1">
      <c r="A753" s="6">
        <v>45650.0</v>
      </c>
      <c r="B753" s="2" t="s">
        <v>27</v>
      </c>
      <c r="C753" s="2" t="s">
        <v>39</v>
      </c>
      <c r="D753" s="7">
        <v>519.68</v>
      </c>
      <c r="E753" s="2">
        <v>5.0</v>
      </c>
      <c r="F753" s="7">
        <v>2598.4</v>
      </c>
      <c r="G753" s="2" t="s">
        <v>2562</v>
      </c>
      <c r="H753" s="2" t="s">
        <v>2563</v>
      </c>
      <c r="I753" s="2" t="s">
        <v>2564</v>
      </c>
      <c r="K753" s="25" t="str">
        <f>IFERROR(__xludf.DUMMYFUNCTION("IF(ISBLANK(A753),
  """",
  IF(ISNUMBER(A753),
    TEXT(A753,""dd/mm/yyyy""),
    IF(
      REGEXMATCH(TRIM(A753),""^\d{1,2}/\d{1,2}/\d{4}$""),
      TRIM(A753),
      IFERROR(
        TEXT(DATEVALUE(SUBSTITUTE(SUBSTITUTE(TRIM(A753),""-"",""/""),""."",""/"&amp;""")),""dd/mm/yyyy""),
        TRIM(A753)
      )
    )
  )
)
"),"24/12/2024")</f>
        <v>24/12/2024</v>
      </c>
      <c r="L753" s="26">
        <v>45650.0</v>
      </c>
      <c r="M753" s="27" t="str">
        <f>IFERROR(__xludf.DUMMYFUNCTION("PROPER(TRIM(
  REGEXREPLACE(
    REGEXREPLACE(
      SUBSTITUTE(SUBSTITUTE(SUBSTITUTE(SUBSTITUTE(SUBSTITUTE(SUBSTITUTE(SUBSTITUTE(SUBSTITUTE(SUBSTITUTE(SUBSTITUTE(SUBSTITUTE(
        B753,""√©"",""é""),""√°"",""á""),""√±"",""ñ""),""√≥"",""ó""),""√â"",""é"&amp;"""),""√Å"",""á""),""√ç"",""í""),""√Ç"",""Í""),""√Â"",""é""),""√≠"",""í""),""√º"",""ú""),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53" s="28" t="str">
        <f>IFERROR(__xludf.DUMMYFUNCTION("SPLIT(
  TRIM(
    SUBSTITUTE(
      SUBSTITUTE(
        SUBSTITUTE(
          SUBSTITUTE(
            C753,
            ""√©"", ""é""
          ),
          ""√±"", ""ñ""
        ),
        ""√°"", ""á""
      ),
      ""√≥"", ""ó""
    )
  ),
  ""-""
)
"),"Teléfono")</f>
        <v>Teléfono</v>
      </c>
      <c r="O753" s="28" t="str">
        <f>IFERROR(__xludf.DUMMYFUNCTION("""COMPUTED_VALUE"""),"Gama alta")</f>
        <v>Gama alta</v>
      </c>
      <c r="P753" s="28" t="str">
        <f>IFERROR(__xludf.DUMMYFUNCTION("""COMPUTED_VALUE"""),"8GB")</f>
        <v>8GB</v>
      </c>
      <c r="Q753" s="29">
        <f t="shared" si="1"/>
        <v>519.68</v>
      </c>
      <c r="R753" s="28">
        <f t="shared" si="2"/>
        <v>5</v>
      </c>
      <c r="S753" s="29">
        <f t="shared" si="3"/>
        <v>2598.4</v>
      </c>
      <c r="T753" s="28" t="str">
        <f>IFERROR(__xludf.DUMMYFUNCTION("PROPER(TRIM(
  LET(
    texto1, REGEXREPLACE(G753,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"),"Clemente Omar Olivo")</f>
        <v>Clemente Omar Olivo</v>
      </c>
      <c r="U753" s="28" t="str">
        <f t="shared" si="4"/>
        <v>1d820555-0e65-4a21-b58e-10930e326e7b</v>
      </c>
      <c r="V753" s="30" t="str">
        <f t="shared" si="5"/>
        <v>Teléfono Gama alta 8GB</v>
      </c>
    </row>
    <row r="754" ht="15.75" customHeight="1">
      <c r="A754" s="36">
        <v>45515.0</v>
      </c>
      <c r="B754" s="2" t="s">
        <v>16</v>
      </c>
      <c r="C754" s="2" t="s">
        <v>55</v>
      </c>
      <c r="D754" s="7">
        <v>455.85</v>
      </c>
      <c r="E754" s="2">
        <v>2.0</v>
      </c>
      <c r="F754" s="7">
        <v>911.7</v>
      </c>
      <c r="G754" s="2" t="s">
        <v>2565</v>
      </c>
      <c r="H754" s="2" t="s">
        <v>2566</v>
      </c>
      <c r="I754" s="2" t="s">
        <v>2567</v>
      </c>
      <c r="K754" s="19" t="str">
        <f>IFERROR(__xludf.DUMMYFUNCTION("IF(ISBLANK(A754),
  """",
  IF(ISNUMBER(A754),
    TEXT(A754,""dd/mm/yyyy""),
    IF(
      REGEXMATCH(TRIM(A754),""^\d{1,2}/\d{1,2}/\d{4}$""),
      TRIM(A754),
      IFERROR(
        TEXT(DATEVALUE(SUBSTITUTE(SUBSTITUTE(TRIM(A754),""-"",""/""),""."",""/"&amp;""")),""dd/mm/yyyy""),
        TRIM(A754)
      )
    )
  )
)
"),"11/08/2024")</f>
        <v>11/08/2024</v>
      </c>
      <c r="L754" s="20">
        <v>45515.0</v>
      </c>
      <c r="M754" s="21" t="str">
        <f>IFERROR(__xludf.DUMMYFUNCTION("PROPER(TRIM(
  REGEXREPLACE(
    REGEXREPLACE(
      SUBSTITUTE(SUBSTITUTE(SUBSTITUTE(SUBSTITUTE(SUBSTITUTE(SUBSTITUTE(SUBSTITUTE(SUBSTITUTE(SUBSTITUTE(SUBSTITUTE(SUBSTITUTE(
        B754,""√©"",""é""),""√°"",""á""),""√±"",""ñ""),""√≥"",""ó""),""√â"",""é"&amp;"""),""√Å"",""á""),""√ç"",""í""),""√Ç"",""Í""),""√Â"",""é""),""√≠"",""í""),""√º"",""ú""),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54" s="22" t="str">
        <f>IFERROR(__xludf.DUMMYFUNCTION("SPLIT(
  TRIM(
    SUBSTITUTE(
      SUBSTITUTE(
        SUBSTITUTE(
          SUBSTITUTE(
            C754,
            ""√©"", ""é""
          ),
          ""√±"", ""ñ""
        ),
        ""√°"", ""á""
      ),
      ""√≥"", ""ó""
    )
  ),
  ""-""
)
"),"Laptop")</f>
        <v>Laptop</v>
      </c>
      <c r="O754" s="22" t="str">
        <f>IFERROR(__xludf.DUMMYFUNCTION("""COMPUTED_VALUE"""),"Ultraliviana")</f>
        <v>Ultraliviana</v>
      </c>
      <c r="P754" s="22" t="str">
        <f>IFERROR(__xludf.DUMMYFUNCTION("""COMPUTED_VALUE"""),"16GB")</f>
        <v>16GB</v>
      </c>
      <c r="Q754" s="23">
        <f t="shared" si="1"/>
        <v>455.85</v>
      </c>
      <c r="R754" s="22">
        <f t="shared" si="2"/>
        <v>2</v>
      </c>
      <c r="S754" s="23">
        <f t="shared" si="3"/>
        <v>911.7</v>
      </c>
      <c r="T754" s="22" t="str">
        <f>IFERROR(__xludf.DUMMYFUNCTION("PROPER(TRIM(
  LET(
    texto1, REGEXREPLACE(G754,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"),"Modesto Ricardo Llamas")</f>
        <v>Modesto Ricardo Llamas</v>
      </c>
      <c r="U754" s="22" t="str">
        <f t="shared" si="4"/>
        <v>bc87e88e-b56e-4324-aa42-315d92301cfa</v>
      </c>
      <c r="V754" s="24" t="str">
        <f t="shared" si="5"/>
        <v>Laptop Ultraliviana 16GB</v>
      </c>
    </row>
    <row r="755" ht="15.75" customHeight="1">
      <c r="A755" s="36">
        <v>45455.0</v>
      </c>
      <c r="B755" s="2" t="s">
        <v>101</v>
      </c>
      <c r="C755" s="2" t="s">
        <v>96</v>
      </c>
      <c r="D755" s="7">
        <v>1669.72</v>
      </c>
      <c r="E755" s="2">
        <v>4.0</v>
      </c>
      <c r="F755" s="7">
        <v>6678.88</v>
      </c>
      <c r="G755" s="2" t="s">
        <v>2568</v>
      </c>
      <c r="H755" s="2" t="s">
        <v>2569</v>
      </c>
      <c r="I755" s="2" t="s">
        <v>2570</v>
      </c>
      <c r="K755" s="25" t="str">
        <f>IFERROR(__xludf.DUMMYFUNCTION("IF(ISBLANK(A755),
  """",
  IF(ISNUMBER(A755),
    TEXT(A755,""dd/mm/yyyy""),
    IF(
      REGEXMATCH(TRIM(A755),""^\d{1,2}/\d{1,2}/\d{4}$""),
      TRIM(A755),
      IFERROR(
        TEXT(DATEVALUE(SUBSTITUTE(SUBSTITUTE(TRIM(A755),""-"",""/""),""."",""/"&amp;""")),""dd/mm/yyyy""),
        TRIM(A755)
      )
    )
  )
)
"),"12/06/2024")</f>
        <v>12/06/2024</v>
      </c>
      <c r="L755" s="26">
        <v>45455.0</v>
      </c>
      <c r="M755" s="27" t="str">
        <f>IFERROR(__xludf.DUMMYFUNCTION("PROPER(TRIM(
  REGEXREPLACE(
    REGEXREPLACE(
      SUBSTITUTE(SUBSTITUTE(SUBSTITUTE(SUBSTITUTE(SUBSTITUTE(SUBSTITUTE(SUBSTITUTE(SUBSTITUTE(SUBSTITUTE(SUBSTITUTE(SUBSTITUTE(
        B755,""√©"",""é""),""√°"",""á""),""√±"",""ñ""),""√≥"",""ó""),""√â"",""é"&amp;"""),""√Å"",""á""),""√ç"",""í""),""√Ç"",""Í""),""√Â"",""é""),""√≠"",""í""),""√º"",""ú""),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55" s="28" t="str">
        <f>IFERROR(__xludf.DUMMYFUNCTION("SPLIT(
  TRIM(
    SUBSTITUTE(
      SUBSTITUTE(
        SUBSTITUTE(
          SUBSTITUTE(
            C755,
            ""√©"", ""é""
          ),
          ""√±"", ""ñ""
        ),
        ""√°"", ""á""
      ),
      ""√≥"", ""ó""
    )
  ),
  ""-""
)
"),"Auriculares")</f>
        <v>Auriculares</v>
      </c>
      <c r="O755" s="28" t="str">
        <f>IFERROR(__xludf.DUMMYFUNCTION("""COMPUTED_VALUE"""),"Cancelación de ruido")</f>
        <v>Cancelación de ruido</v>
      </c>
      <c r="P755" s="28" t="str">
        <f>IFERROR(__xludf.DUMMYFUNCTION("""COMPUTED_VALUE"""),"4GB")</f>
        <v>4GB</v>
      </c>
      <c r="Q755" s="29">
        <f t="shared" si="1"/>
        <v>1669.72</v>
      </c>
      <c r="R755" s="28">
        <f t="shared" si="2"/>
        <v>4</v>
      </c>
      <c r="S755" s="29">
        <f t="shared" si="3"/>
        <v>6678.88</v>
      </c>
      <c r="T755" s="28" t="str">
        <f>IFERROR(__xludf.DUMMYFUNCTION("PROPER(TRIM(
  LET(
    texto1, REGEXREPLACE(G755,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Gurule")</f>
        <v>Vanesa Gurule</v>
      </c>
      <c r="U755" s="28" t="str">
        <f t="shared" si="4"/>
        <v>ec311ea5-7cca-4497-a38f-d5ca91fc4a16</v>
      </c>
      <c r="V755" s="30" t="str">
        <f t="shared" si="5"/>
        <v>Auriculares Cancelación de ruido 4GB</v>
      </c>
    </row>
    <row r="756" ht="15.75" customHeight="1">
      <c r="A756" s="6">
        <v>45647.0</v>
      </c>
      <c r="B756" s="2" t="s">
        <v>85</v>
      </c>
      <c r="C756" s="2" t="s">
        <v>201</v>
      </c>
      <c r="D756" s="7">
        <v>2224.42</v>
      </c>
      <c r="E756" s="2">
        <v>4.0</v>
      </c>
      <c r="F756" s="7">
        <v>8897.68</v>
      </c>
      <c r="G756" s="2" t="s">
        <v>2571</v>
      </c>
      <c r="H756" s="2" t="s">
        <v>2572</v>
      </c>
      <c r="I756" s="2" t="s">
        <v>2573</v>
      </c>
      <c r="K756" s="19" t="str">
        <f>IFERROR(__xludf.DUMMYFUNCTION("IF(ISBLANK(A756),
  """",
  IF(ISNUMBER(A756),
    TEXT(A756,""dd/mm/yyyy""),
    IF(
      REGEXMATCH(TRIM(A756),""^\d{1,2}/\d{1,2}/\d{4}$""),
      TRIM(A756),
      IFERROR(
        TEXT(DATEVALUE(SUBSTITUTE(SUBSTITUTE(TRIM(A756),""-"",""/""),""."",""/"&amp;""")),""dd/mm/yyyy""),
        TRIM(A756)
      )
    )
  )
)
"),"21/12/2024")</f>
        <v>21/12/2024</v>
      </c>
      <c r="L756" s="20">
        <v>45647.0</v>
      </c>
      <c r="M756" s="21" t="str">
        <f>IFERROR(__xludf.DUMMYFUNCTION("PROPER(TRIM(
  REGEXREPLACE(
    REGEXREPLACE(
      SUBSTITUTE(SUBSTITUTE(SUBSTITUTE(SUBSTITUTE(SUBSTITUTE(SUBSTITUTE(SUBSTITUTE(SUBSTITUTE(SUBSTITUTE(SUBSTITUTE(SUBSTITUTE(
        B756,""√©"",""é""),""√°"",""á""),""√±"",""ñ""),""√≥"",""ó""),""√â"",""é"&amp;"""),""√Å"",""á""),""√ç"",""í""),""√Ç"",""Í""),""√Â"",""é""),""√≠"",""í""),""√º"",""ú""),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56" s="22" t="str">
        <f>IFERROR(__xludf.DUMMYFUNCTION("SPLIT(
  TRIM(
    SUBSTITUTE(
      SUBSTITUTE(
        SUBSTITUTE(
          SUBSTITUTE(
            C756,
            ""√©"", ""é""
          ),
          ""√±"", ""ñ""
        ),
        ""√°"", ""á""
      ),
      ""√≥"", ""ó""
    )
  ),
  ""-""
)
"),"Laptop")</f>
        <v>Laptop</v>
      </c>
      <c r="O756" s="22" t="str">
        <f>IFERROR(__xludf.DUMMYFUNCTION("""COMPUTED_VALUE"""),"Gaming")</f>
        <v>Gaming</v>
      </c>
      <c r="P756" s="22" t="str">
        <f>IFERROR(__xludf.DUMMYFUNCTION("""COMPUTED_VALUE"""),"4GB")</f>
        <v>4GB</v>
      </c>
      <c r="Q756" s="23">
        <f t="shared" si="1"/>
        <v>2224.42</v>
      </c>
      <c r="R756" s="22">
        <f t="shared" si="2"/>
        <v>4</v>
      </c>
      <c r="S756" s="23">
        <f t="shared" si="3"/>
        <v>8897.68</v>
      </c>
      <c r="T756" s="22" t="str">
        <f>IFERROR(__xludf.DUMMYFUNCTION("PROPER(TRIM(
  LET(
    texto1, REGEXREPLACE(G756,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"),"Eric Joaquín Navarrete")</f>
        <v>Eric Joaquín Navarrete</v>
      </c>
      <c r="U756" s="22" t="str">
        <f t="shared" si="4"/>
        <v>2cd50550-d603-41b2-a403-b06bf90f402c</v>
      </c>
      <c r="V756" s="24" t="str">
        <f t="shared" si="5"/>
        <v>Laptop Gaming 4GB</v>
      </c>
    </row>
    <row r="757" ht="15.75" customHeight="1">
      <c r="A757" s="36">
        <v>45608.0</v>
      </c>
      <c r="B757" s="2" t="s">
        <v>85</v>
      </c>
      <c r="C757" s="2" t="s">
        <v>22</v>
      </c>
      <c r="D757" s="7">
        <v>1032.0</v>
      </c>
      <c r="E757" s="2">
        <v>4.0</v>
      </c>
      <c r="F757" s="7">
        <v>4128.0</v>
      </c>
      <c r="G757" s="2" t="s">
        <v>2574</v>
      </c>
      <c r="H757" s="2" t="s">
        <v>2575</v>
      </c>
      <c r="I757" s="2" t="s">
        <v>2576</v>
      </c>
      <c r="K757" s="25" t="str">
        <f>IFERROR(__xludf.DUMMYFUNCTION("IF(ISBLANK(A757),
  """",
  IF(ISNUMBER(A757),
    TEXT(A757,""dd/mm/yyyy""),
    IF(
      REGEXMATCH(TRIM(A757),""^\d{1,2}/\d{1,2}/\d{4}$""),
      TRIM(A757),
      IFERROR(
        TEXT(DATEVALUE(SUBSTITUTE(SUBSTITUTE(TRIM(A757),""-"",""/""),""."",""/"&amp;""")),""dd/mm/yyyy""),
        TRIM(A757)
      )
    )
  )
)
"),"12/11/2024")</f>
        <v>12/11/2024</v>
      </c>
      <c r="L757" s="26">
        <v>45608.0</v>
      </c>
      <c r="M757" s="27" t="str">
        <f>IFERROR(__xludf.DUMMYFUNCTION("PROPER(TRIM(
  REGEXREPLACE(
    REGEXREPLACE(
      SUBSTITUTE(SUBSTITUTE(SUBSTITUTE(SUBSTITUTE(SUBSTITUTE(SUBSTITUTE(SUBSTITUTE(SUBSTITUTE(SUBSTITUTE(SUBSTITUTE(SUBSTITUTE(
        B757,""√©"",""é""),""√°"",""á""),""√±"",""ñ""),""√≥"",""ó""),""√â"",""é"&amp;"""),""√Å"",""á""),""√ç"",""í""),""√Ç"",""Í""),""√Â"",""é""),""√≠"",""í""),""√º"",""ú""),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57" s="28" t="str">
        <f>IFERROR(__xludf.DUMMYFUNCTION("SPLIT(
  TRIM(
    SUBSTITUTE(
      SUBSTITUTE(
        SUBSTITUTE(
          SUBSTITUTE(
            C757,
            ""√©"", ""é""
          ),
          ""√±"", ""ñ""
        ),
        ""√°"", ""á""
      ),
      ""√≥"", ""ó""
    )
  ),
  ""-""
)
"),"Laptop")</f>
        <v>Laptop</v>
      </c>
      <c r="O757" s="28" t="str">
        <f>IFERROR(__xludf.DUMMYFUNCTION("""COMPUTED_VALUE"""),"Gaming")</f>
        <v>Gaming</v>
      </c>
      <c r="P757" s="28" t="str">
        <f>IFERROR(__xludf.DUMMYFUNCTION("""COMPUTED_VALUE"""),"32GB")</f>
        <v>32GB</v>
      </c>
      <c r="Q757" s="29">
        <f t="shared" si="1"/>
        <v>1032</v>
      </c>
      <c r="R757" s="28">
        <f t="shared" si="2"/>
        <v>4</v>
      </c>
      <c r="S757" s="29">
        <f t="shared" si="3"/>
        <v>4128</v>
      </c>
      <c r="T757" s="28" t="str">
        <f>IFERROR(__xludf.DUMMYFUNCTION("PROPER(TRIM(
  LET(
    texto1, REGEXREPLACE(G757,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Manuél Barrios")</f>
        <v>José Manuél Barrios</v>
      </c>
      <c r="U757" s="28" t="str">
        <f t="shared" si="4"/>
        <v>b34e56ee-bab9-42ce-a5f4-4476f3368f27</v>
      </c>
      <c r="V757" s="30" t="str">
        <f t="shared" si="5"/>
        <v>Laptop Gaming 32GB</v>
      </c>
    </row>
    <row r="758" ht="15.75" customHeight="1">
      <c r="A758" s="36">
        <v>45301.0</v>
      </c>
      <c r="B758" s="2" t="s">
        <v>10</v>
      </c>
      <c r="C758" s="2" t="s">
        <v>152</v>
      </c>
      <c r="D758" s="7">
        <v>2387.49</v>
      </c>
      <c r="E758" s="2">
        <v>1.0</v>
      </c>
      <c r="F758" s="7">
        <v>2387.49</v>
      </c>
      <c r="G758" s="2" t="s">
        <v>2577</v>
      </c>
      <c r="H758" s="2" t="s">
        <v>2578</v>
      </c>
      <c r="I758" s="2" t="s">
        <v>2579</v>
      </c>
      <c r="K758" s="19" t="str">
        <f>IFERROR(__xludf.DUMMYFUNCTION("IF(ISBLANK(A758),
  """",
  IF(ISNUMBER(A758),
    TEXT(A758,""dd/mm/yyyy""),
    IF(
      REGEXMATCH(TRIM(A758),""^\d{1,2}/\d{1,2}/\d{4}$""),
      TRIM(A758),
      IFERROR(
        TEXT(DATEVALUE(SUBSTITUTE(SUBSTITUTE(TRIM(A758),""-"",""/""),""."",""/"&amp;""")),""dd/mm/yyyy""),
        TRIM(A758)
      )
    )
  )
)
"),"10/01/2024")</f>
        <v>10/01/2024</v>
      </c>
      <c r="L758" s="20">
        <v>45301.0</v>
      </c>
      <c r="M758" s="21" t="str">
        <f>IFERROR(__xludf.DUMMYFUNCTION("PROPER(TRIM(
  REGEXREPLACE(
    REGEXREPLACE(
      SUBSTITUTE(SUBSTITUTE(SUBSTITUTE(SUBSTITUTE(SUBSTITUTE(SUBSTITUTE(SUBSTITUTE(SUBSTITUTE(SUBSTITUTE(SUBSTITUTE(SUBSTITUTE(
        B758,""√©"",""é""),""√°"",""á""),""√±"",""ñ""),""√≥"",""ó""),""√â"",""é"&amp;"""),""√Å"",""á""),""√ç"",""í""),""√Ç"",""Í""),""√Â"",""é""),""√≠"",""í""),""√º"",""ú""),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58" s="22" t="str">
        <f>IFERROR(__xludf.DUMMYFUNCTION("SPLIT(
  TRIM(
    SUBSTITUTE(
      SUBSTITUTE(
        SUBSTITUTE(
          SUBSTITUTE(
            C758,
            ""√©"", ""é""
          ),
          ""√±"", ""ñ""
        ),
        ""√°"", ""á""
      ),
      ""√≥"", ""ó""
    )
  ),
  ""-""
)
"),"Teléfono")</f>
        <v>Teléfono</v>
      </c>
      <c r="O758" s="22" t="str">
        <f>IFERROR(__xludf.DUMMYFUNCTION("""COMPUTED_VALUE"""),"Gama baja")</f>
        <v>Gama baja</v>
      </c>
      <c r="P758" s="22" t="str">
        <f>IFERROR(__xludf.DUMMYFUNCTION("""COMPUTED_VALUE"""),"4GB")</f>
        <v>4GB</v>
      </c>
      <c r="Q758" s="23">
        <f t="shared" si="1"/>
        <v>2387.49</v>
      </c>
      <c r="R758" s="22">
        <f t="shared" si="2"/>
        <v>1</v>
      </c>
      <c r="S758" s="23">
        <f t="shared" si="3"/>
        <v>2387.49</v>
      </c>
      <c r="T758" s="22" t="str">
        <f>IFERROR(__xludf.DUMMYFUNCTION("PROPER(TRIM(
  LET(
    texto1, REGEXREPLACE(G758,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"),"Blanca Acosta")</f>
        <v>Blanca Acosta</v>
      </c>
      <c r="U758" s="22" t="str">
        <f t="shared" si="4"/>
        <v>0fd63ae6-044a-43d2-a798-092f0a9ca3ab</v>
      </c>
      <c r="V758" s="24" t="str">
        <f t="shared" si="5"/>
        <v>Teléfono Gama baja 4GB</v>
      </c>
    </row>
    <row r="759" ht="15.75" customHeight="1">
      <c r="A759" s="6">
        <v>45585.0</v>
      </c>
      <c r="B759" s="2" t="s">
        <v>50</v>
      </c>
      <c r="C759" s="2" t="s">
        <v>70</v>
      </c>
      <c r="D759" s="7">
        <v>474.59</v>
      </c>
      <c r="E759" s="2">
        <v>4.0</v>
      </c>
      <c r="F759" s="7">
        <v>1898.36</v>
      </c>
      <c r="G759" s="2" t="s">
        <v>2580</v>
      </c>
      <c r="H759" s="2" t="s">
        <v>2581</v>
      </c>
      <c r="I759" s="2" t="s">
        <v>2582</v>
      </c>
      <c r="K759" s="25" t="str">
        <f>IFERROR(__xludf.DUMMYFUNCTION("IF(ISBLANK(A759),
  """",
  IF(ISNUMBER(A759),
    TEXT(A759,""dd/mm/yyyy""),
    IF(
      REGEXMATCH(TRIM(A759),""^\d{1,2}/\d{1,2}/\d{4}$""),
      TRIM(A759),
      IFERROR(
        TEXT(DATEVALUE(SUBSTITUTE(SUBSTITUTE(TRIM(A759),""-"",""/""),""."",""/"&amp;""")),""dd/mm/yyyy""),
        TRIM(A759)
      )
    )
  )
)
"),"20/10/2024")</f>
        <v>20/10/2024</v>
      </c>
      <c r="L759" s="26">
        <v>45585.0</v>
      </c>
      <c r="M759" s="27" t="str">
        <f>IFERROR(__xludf.DUMMYFUNCTION("PROPER(TRIM(
  REGEXREPLACE(
    REGEXREPLACE(
      SUBSTITUTE(SUBSTITUTE(SUBSTITUTE(SUBSTITUTE(SUBSTITUTE(SUBSTITUTE(SUBSTITUTE(SUBSTITUTE(SUBSTITUTE(SUBSTITUTE(SUBSTITUTE(
        B759,""√©"",""é""),""√°"",""á""),""√±"",""ñ""),""√≥"",""ó""),""√â"",""é"&amp;"""),""√Å"",""á""),""√ç"",""í""),""√Ç"",""Í""),""√Â"",""é""),""√≠"",""í""),""√º"",""ú""),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59" s="28" t="str">
        <f>IFERROR(__xludf.DUMMYFUNCTION("SPLIT(
  TRIM(
    SUBSTITUTE(
      SUBSTITUTE(
        SUBSTITUTE(
          SUBSTITUTE(
            C759,
            ""√©"", ""é""
          ),
          ""√±"", ""ñ""
        ),
        ""√°"", ""á""
      ),
      ""√≥"", ""ó""
    )
  ),
  ""-""
)
"),"Auriculares")</f>
        <v>Auriculares</v>
      </c>
      <c r="O759" s="28" t="str">
        <f>IFERROR(__xludf.DUMMYFUNCTION("""COMPUTED_VALUE"""),"Con cable")</f>
        <v>Con cable</v>
      </c>
      <c r="P759" s="28" t="str">
        <f>IFERROR(__xludf.DUMMYFUNCTION("""COMPUTED_VALUE"""),"16GB")</f>
        <v>16GB</v>
      </c>
      <c r="Q759" s="29">
        <f t="shared" si="1"/>
        <v>474.59</v>
      </c>
      <c r="R759" s="28">
        <f t="shared" si="2"/>
        <v>4</v>
      </c>
      <c r="S759" s="29">
        <f t="shared" si="3"/>
        <v>1898.36</v>
      </c>
      <c r="T759" s="28" t="str">
        <f>IFERROR(__xludf.DUMMYFUNCTION("PROPER(TRIM(
  LET(
    texto1, REGEXREPLACE(G759,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"),"Alejandro Tomás Arellano")</f>
        <v>Alejandro Tomás Arellano</v>
      </c>
      <c r="U759" s="28" t="str">
        <f t="shared" si="4"/>
        <v>1abba075-8634-44a4-b6c5-0ea6c8708df0</v>
      </c>
      <c r="V759" s="30" t="str">
        <f t="shared" si="5"/>
        <v>Auriculares Con cable 16GB</v>
      </c>
    </row>
    <row r="760" ht="15.75" customHeight="1">
      <c r="A760" s="36">
        <v>45361.0</v>
      </c>
      <c r="B760" s="2" t="s">
        <v>85</v>
      </c>
      <c r="C760" s="2" t="s">
        <v>807</v>
      </c>
      <c r="D760" s="7">
        <v>1951.0</v>
      </c>
      <c r="E760" s="2">
        <v>5.0</v>
      </c>
      <c r="F760" s="7">
        <v>9755.0</v>
      </c>
      <c r="G760" s="2" t="s">
        <v>2583</v>
      </c>
      <c r="H760" s="2" t="s">
        <v>2584</v>
      </c>
      <c r="I760" s="2" t="s">
        <v>2585</v>
      </c>
      <c r="K760" s="19" t="str">
        <f>IFERROR(__xludf.DUMMYFUNCTION("IF(ISBLANK(A760),
  """",
  IF(ISNUMBER(A760),
    TEXT(A760,""dd/mm/yyyy""),
    IF(
      REGEXMATCH(TRIM(A760),""^\d{1,2}/\d{1,2}/\d{4}$""),
      TRIM(A760),
      IFERROR(
        TEXT(DATEVALUE(SUBSTITUTE(SUBSTITUTE(TRIM(A760),""-"",""/""),""."",""/"&amp;""")),""dd/mm/yyyy""),
        TRIM(A760)
      )
    )
  )
)
"),"10/03/2024")</f>
        <v>10/03/2024</v>
      </c>
      <c r="L760" s="20">
        <v>45361.0</v>
      </c>
      <c r="M760" s="21" t="str">
        <f>IFERROR(__xludf.DUMMYFUNCTION("PROPER(TRIM(
  REGEXREPLACE(
    REGEXREPLACE(
      SUBSTITUTE(SUBSTITUTE(SUBSTITUTE(SUBSTITUTE(SUBSTITUTE(SUBSTITUTE(SUBSTITUTE(SUBSTITUTE(SUBSTITUTE(SUBSTITUTE(SUBSTITUTE(
        B760,""√©"",""é""),""√°"",""á""),""√±"",""ñ""),""√≥"",""ó""),""√â"",""é"&amp;"""),""√Å"",""á""),""√ç"",""í""),""√Ç"",""Í""),""√Â"",""é""),""√≠"",""í""),""√º"",""ú""),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60" s="22" t="str">
        <f>IFERROR(__xludf.DUMMYFUNCTION("SPLIT(
  TRIM(
    SUBSTITUTE(
      SUBSTITUTE(
        SUBSTITUTE(
          SUBSTITUTE(
            C760,
            ""√©"", ""é""
          ),
          ""√±"", ""ñ""
        ),
        ""√°"", ""á""
      ),
      ""√≥"", ""ó""
    )
  ),
  ""-""
)
"),"Auriculares")</f>
        <v>Auriculares</v>
      </c>
      <c r="O760" s="22" t="str">
        <f>IFERROR(__xludf.DUMMYFUNCTION("""COMPUTED_VALUE"""),"Con cable")</f>
        <v>Con cable</v>
      </c>
      <c r="P760" s="22" t="str">
        <f>IFERROR(__xludf.DUMMYFUNCTION("""COMPUTED_VALUE"""),"4GB")</f>
        <v>4GB</v>
      </c>
      <c r="Q760" s="23">
        <f t="shared" si="1"/>
        <v>1951</v>
      </c>
      <c r="R760" s="22">
        <f t="shared" si="2"/>
        <v>5</v>
      </c>
      <c r="S760" s="23">
        <f t="shared" si="3"/>
        <v>9755</v>
      </c>
      <c r="T760" s="22" t="str">
        <f>IFERROR(__xludf.DUMMYFUNCTION("PROPER(TRIM(
  LET(
    texto1, REGEXREPLACE(G760,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"),"Angélica Berta Alemán")</f>
        <v>Angélica Berta Alemán</v>
      </c>
      <c r="U760" s="22" t="str">
        <f t="shared" si="4"/>
        <v>214a4b85-cfb9-4315-8151-787c0f67ac19</v>
      </c>
      <c r="V760" s="24" t="str">
        <f t="shared" si="5"/>
        <v>Auriculares Con cable 4GB</v>
      </c>
    </row>
    <row r="761" ht="15.75" customHeight="1">
      <c r="A761" s="6">
        <v>45644.0</v>
      </c>
      <c r="B761" s="2" t="s">
        <v>101</v>
      </c>
      <c r="C761" s="2" t="s">
        <v>807</v>
      </c>
      <c r="D761" s="7">
        <v>2425.55</v>
      </c>
      <c r="E761" s="2">
        <v>3.0</v>
      </c>
      <c r="F761" s="7">
        <v>7276.65</v>
      </c>
      <c r="G761" s="2" t="s">
        <v>2586</v>
      </c>
      <c r="H761" s="2" t="s">
        <v>2587</v>
      </c>
      <c r="I761" s="2" t="s">
        <v>2588</v>
      </c>
      <c r="K761" s="25" t="str">
        <f>IFERROR(__xludf.DUMMYFUNCTION("IF(ISBLANK(A761),
  """",
  IF(ISNUMBER(A761),
    TEXT(A761,""dd/mm/yyyy""),
    IF(
      REGEXMATCH(TRIM(A761),""^\d{1,2}/\d{1,2}/\d{4}$""),
      TRIM(A761),
      IFERROR(
        TEXT(DATEVALUE(SUBSTITUTE(SUBSTITUTE(TRIM(A761),""-"",""/""),""."",""/"&amp;""")),""dd/mm/yyyy""),
        TRIM(A761)
      )
    )
  )
)
"),"18/12/2024")</f>
        <v>18/12/2024</v>
      </c>
      <c r="L761" s="26">
        <v>45644.0</v>
      </c>
      <c r="M761" s="27" t="str">
        <f>IFERROR(__xludf.DUMMYFUNCTION("PROPER(TRIM(
  REGEXREPLACE(
    REGEXREPLACE(
      SUBSTITUTE(SUBSTITUTE(SUBSTITUTE(SUBSTITUTE(SUBSTITUTE(SUBSTITUTE(SUBSTITUTE(SUBSTITUTE(SUBSTITUTE(SUBSTITUTE(SUBSTITUTE(
        B761,""√©"",""é""),""√°"",""á""),""√±"",""ñ""),""√≥"",""ó""),""√â"",""é"&amp;"""),""√Å"",""á""),""√ç"",""í""),""√Ç"",""Í""),""√Â"",""é""),""√≠"",""í""),""√º"",""ú""),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61" s="28" t="str">
        <f>IFERROR(__xludf.DUMMYFUNCTION("SPLIT(
  TRIM(
    SUBSTITUTE(
      SUBSTITUTE(
        SUBSTITUTE(
          SUBSTITUTE(
            C761,
            ""√©"", ""é""
          ),
          ""√±"", ""ñ""
        ),
        ""√°"", ""á""
      ),
      ""√≥"", ""ó""
    )
  ),
  ""-""
)
"),"Auriculares")</f>
        <v>Auriculares</v>
      </c>
      <c r="O761" s="28" t="str">
        <f>IFERROR(__xludf.DUMMYFUNCTION("""COMPUTED_VALUE"""),"Con cable")</f>
        <v>Con cable</v>
      </c>
      <c r="P761" s="28" t="str">
        <f>IFERROR(__xludf.DUMMYFUNCTION("""COMPUTED_VALUE"""),"4GB")</f>
        <v>4GB</v>
      </c>
      <c r="Q761" s="29">
        <f t="shared" si="1"/>
        <v>2425.55</v>
      </c>
      <c r="R761" s="28">
        <f t="shared" si="2"/>
        <v>3</v>
      </c>
      <c r="S761" s="29">
        <f t="shared" si="3"/>
        <v>7276.65</v>
      </c>
      <c r="T761" s="28" t="str">
        <f>IFERROR(__xludf.DUMMYFUNCTION("PROPER(TRIM(
  LET(
    texto1, REGEXREPLACE(G761,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"),"Mariano Cruz")</f>
        <v>Mariano Cruz</v>
      </c>
      <c r="U761" s="28" t="str">
        <f t="shared" si="4"/>
        <v>d28fd44c-05cd-4575-a1d4-081b8663b676</v>
      </c>
      <c r="V761" s="30" t="str">
        <f t="shared" si="5"/>
        <v>Auriculares Con cable 4GB</v>
      </c>
    </row>
    <row r="762" ht="15.75" customHeight="1">
      <c r="A762" s="6">
        <v>45615.0</v>
      </c>
      <c r="B762" s="2" t="s">
        <v>85</v>
      </c>
      <c r="C762" s="2" t="s">
        <v>96</v>
      </c>
      <c r="D762" s="7">
        <v>2214.19</v>
      </c>
      <c r="E762" s="2">
        <v>2.0</v>
      </c>
      <c r="F762" s="7">
        <v>4428.38</v>
      </c>
      <c r="G762" s="2" t="s">
        <v>2589</v>
      </c>
      <c r="H762" s="2" t="s">
        <v>2590</v>
      </c>
      <c r="I762" s="2" t="s">
        <v>2591</v>
      </c>
      <c r="K762" s="19" t="str">
        <f>IFERROR(__xludf.DUMMYFUNCTION("IF(ISBLANK(A762),
  """",
  IF(ISNUMBER(A762),
    TEXT(A762,""dd/mm/yyyy""),
    IF(
      REGEXMATCH(TRIM(A762),""^\d{1,2}/\d{1,2}/\d{4}$""),
      TRIM(A762),
      IFERROR(
        TEXT(DATEVALUE(SUBSTITUTE(SUBSTITUTE(TRIM(A762),""-"",""/""),""."",""/"&amp;""")),""dd/mm/yyyy""),
        TRIM(A762)
      )
    )
  )
)
"),"19/11/2024")</f>
        <v>19/11/2024</v>
      </c>
      <c r="L762" s="20">
        <v>45615.0</v>
      </c>
      <c r="M762" s="21" t="str">
        <f>IFERROR(__xludf.DUMMYFUNCTION("PROPER(TRIM(
  REGEXREPLACE(
    REGEXREPLACE(
      SUBSTITUTE(SUBSTITUTE(SUBSTITUTE(SUBSTITUTE(SUBSTITUTE(SUBSTITUTE(SUBSTITUTE(SUBSTITUTE(SUBSTITUTE(SUBSTITUTE(SUBSTITUTE(
        B762,""√©"",""é""),""√°"",""á""),""√±"",""ñ""),""√≥"",""ó""),""√â"",""é"&amp;"""),""√Å"",""á""),""√ç"",""í""),""√Ç"",""Í""),""√Â"",""é""),""√≠"",""í""),""√º"",""ú""),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62" s="22" t="str">
        <f>IFERROR(__xludf.DUMMYFUNCTION("SPLIT(
  TRIM(
    SUBSTITUTE(
      SUBSTITUTE(
        SUBSTITUTE(
          SUBSTITUTE(
            C762,
            ""√©"", ""é""
          ),
          ""√±"", ""ñ""
        ),
        ""√°"", ""á""
      ),
      ""√≥"", ""ó""
    )
  ),
  ""-""
)
"),"Auriculares")</f>
        <v>Auriculares</v>
      </c>
      <c r="O762" s="22" t="str">
        <f>IFERROR(__xludf.DUMMYFUNCTION("""COMPUTED_VALUE"""),"Cancelación de ruido")</f>
        <v>Cancelación de ruido</v>
      </c>
      <c r="P762" s="22" t="str">
        <f>IFERROR(__xludf.DUMMYFUNCTION("""COMPUTED_VALUE"""),"4GB")</f>
        <v>4GB</v>
      </c>
      <c r="Q762" s="23">
        <f t="shared" si="1"/>
        <v>2214.19</v>
      </c>
      <c r="R762" s="22">
        <f t="shared" si="2"/>
        <v>2</v>
      </c>
      <c r="S762" s="23">
        <f t="shared" si="3"/>
        <v>4428.38</v>
      </c>
      <c r="T762" s="22" t="str">
        <f>IFERROR(__xludf.DUMMYFUNCTION("PROPER(TRIM(
  LET(
    texto1, REGEXREPLACE(G762,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"),"Guadalupe Marisol Negrón Cazares")</f>
        <v>Guadalupe Marisol Negrón Cazares</v>
      </c>
      <c r="U762" s="22" t="str">
        <f t="shared" si="4"/>
        <v>76bda0d9-e9f9-4356-9c98-ac7e6cc773af</v>
      </c>
      <c r="V762" s="24" t="str">
        <f t="shared" si="5"/>
        <v>Auriculares Cancelación de ruido 4GB</v>
      </c>
    </row>
    <row r="763" ht="15.75" customHeight="1">
      <c r="A763" s="6">
        <v>45610.0</v>
      </c>
      <c r="B763" s="2" t="s">
        <v>27</v>
      </c>
      <c r="C763" s="2" t="s">
        <v>698</v>
      </c>
      <c r="D763" s="7">
        <v>1165.81</v>
      </c>
      <c r="E763" s="2">
        <v>1.0</v>
      </c>
      <c r="F763" s="7">
        <v>1165.81</v>
      </c>
      <c r="G763" s="2" t="s">
        <v>2592</v>
      </c>
      <c r="H763" s="2" t="s">
        <v>2593</v>
      </c>
      <c r="I763" s="2" t="s">
        <v>2594</v>
      </c>
      <c r="K763" s="25" t="str">
        <f>IFERROR(__xludf.DUMMYFUNCTION("IF(ISBLANK(A763),
  """",
  IF(ISNUMBER(A763),
    TEXT(A763,""dd/mm/yyyy""),
    IF(
      REGEXMATCH(TRIM(A763),""^\d{1,2}/\d{1,2}/\d{4}$""),
      TRIM(A763),
      IFERROR(
        TEXT(DATEVALUE(SUBSTITUTE(SUBSTITUTE(TRIM(A763),""-"",""/""),""."",""/"&amp;""")),""dd/mm/yyyy""),
        TRIM(A763)
      )
    )
  )
)
"),"14/11/2024")</f>
        <v>14/11/2024</v>
      </c>
      <c r="L763" s="26">
        <v>45610.0</v>
      </c>
      <c r="M763" s="27" t="str">
        <f>IFERROR(__xludf.DUMMYFUNCTION("PROPER(TRIM(
  REGEXREPLACE(
    REGEXREPLACE(
      SUBSTITUTE(SUBSTITUTE(SUBSTITUTE(SUBSTITUTE(SUBSTITUTE(SUBSTITUTE(SUBSTITUTE(SUBSTITUTE(SUBSTITUTE(SUBSTITUTE(SUBSTITUTE(
        B763,""√©"",""é""),""√°"",""á""),""√±"",""ñ""),""√≥"",""ó""),""√â"",""é"&amp;"""),""√Å"",""á""),""√ç"",""í""),""√Ç"",""Í""),""√Â"",""é""),""√≠"",""í""),""√º"",""ú""),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63" s="28" t="str">
        <f>IFERROR(__xludf.DUMMYFUNCTION("SPLIT(
  TRIM(
    SUBSTITUTE(
      SUBSTITUTE(
        SUBSTITUTE(
          SUBSTITUTE(
            C763,
            ""√©"", ""é""
          ),
          ""√±"", ""ñ""
        ),
        ""√°"", ""á""
      ),
      ""√≥"", ""ó""
    )
  ),
  ""-""
)
"),"Laptop")</f>
        <v>Laptop</v>
      </c>
      <c r="O763" s="28" t="str">
        <f>IFERROR(__xludf.DUMMYFUNCTION("""COMPUTED_VALUE"""),"Ultraliviana")</f>
        <v>Ultraliviana</v>
      </c>
      <c r="P763" s="28" t="str">
        <f>IFERROR(__xludf.DUMMYFUNCTION("""COMPUTED_VALUE"""),"8GB")</f>
        <v>8GB</v>
      </c>
      <c r="Q763" s="29">
        <f t="shared" si="1"/>
        <v>1165.81</v>
      </c>
      <c r="R763" s="28">
        <f t="shared" si="2"/>
        <v>1</v>
      </c>
      <c r="S763" s="29">
        <f t="shared" si="3"/>
        <v>1165.81</v>
      </c>
      <c r="T763" s="28" t="str">
        <f>IFERROR(__xludf.DUMMYFUNCTION("PROPER(TRIM(
  LET(
    texto1, REGEXREPLACE(G763,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"),"Cristobal Frida Lucero Chapa")</f>
        <v>Cristobal Frida Lucero Chapa</v>
      </c>
      <c r="U763" s="28" t="str">
        <f t="shared" si="4"/>
        <v>1af3b08f-465e-4aef-884a-7fb512a724c1</v>
      </c>
      <c r="V763" s="30" t="str">
        <f t="shared" si="5"/>
        <v>Laptop Ultraliviana 8GB</v>
      </c>
    </row>
    <row r="764" ht="15.75" customHeight="1">
      <c r="A764" s="36">
        <v>45363.0</v>
      </c>
      <c r="B764" s="2" t="s">
        <v>38</v>
      </c>
      <c r="C764" s="2" t="s">
        <v>121</v>
      </c>
      <c r="D764" s="7">
        <v>1402.18</v>
      </c>
      <c r="E764" s="2">
        <v>3.0</v>
      </c>
      <c r="F764" s="7">
        <v>4206.54</v>
      </c>
      <c r="G764" s="2" t="s">
        <v>2595</v>
      </c>
      <c r="H764" s="2" t="s">
        <v>2596</v>
      </c>
      <c r="I764" s="3" t="s">
        <v>2597</v>
      </c>
      <c r="K764" s="19" t="str">
        <f>IFERROR(__xludf.DUMMYFUNCTION("IF(ISBLANK(A764),
  """",
  IF(ISNUMBER(A764),
    TEXT(A764,""dd/mm/yyyy""),
    IF(
      REGEXMATCH(TRIM(A764),""^\d{1,2}/\d{1,2}/\d{4}$""),
      TRIM(A764),
      IFERROR(
        TEXT(DATEVALUE(SUBSTITUTE(SUBSTITUTE(TRIM(A764),""-"",""/""),""."",""/"&amp;""")),""dd/mm/yyyy""),
        TRIM(A764)
      )
    )
  )
)
"),"12/03/2024")</f>
        <v>12/03/2024</v>
      </c>
      <c r="L764" s="20">
        <v>45363.0</v>
      </c>
      <c r="M764" s="21" t="str">
        <f>IFERROR(__xludf.DUMMYFUNCTION("PROPER(TRIM(
  REGEXREPLACE(
    REGEXREPLACE(
      SUBSTITUTE(SUBSTITUTE(SUBSTITUTE(SUBSTITUTE(SUBSTITUTE(SUBSTITUTE(SUBSTITUTE(SUBSTITUTE(SUBSTITUTE(SUBSTITUTE(SUBSTITUTE(
        B764,""√©"",""é""),""√°"",""á""),""√±"",""ñ""),""√≥"",""ó""),""√â"",""é"&amp;"""),""√Å"",""á""),""√ç"",""í""),""√Ç"",""Í""),""√Â"",""é""),""√≠"",""í""),""√º"",""ú""),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64" s="22" t="str">
        <f>IFERROR(__xludf.DUMMYFUNCTION("SPLIT(
  TRIM(
    SUBSTITUTE(
      SUBSTITUTE(
        SUBSTITUTE(
          SUBSTITUTE(
            C764,
            ""√©"", ""é""
          ),
          ""√±"", ""ñ""
        ),
        ""√°"", ""á""
      ),
      ""√≥"", ""ó""
    )
  ),
  ""-""
)
"),"Teléfono")</f>
        <v>Teléfono</v>
      </c>
      <c r="O764" s="22" t="str">
        <f>IFERROR(__xludf.DUMMYFUNCTION("""COMPUTED_VALUE"""),"Gama baja")</f>
        <v>Gama baja</v>
      </c>
      <c r="P764" s="22" t="str">
        <f>IFERROR(__xludf.DUMMYFUNCTION("""COMPUTED_VALUE"""),"8GB")</f>
        <v>8GB</v>
      </c>
      <c r="Q764" s="23">
        <f t="shared" si="1"/>
        <v>1402.18</v>
      </c>
      <c r="R764" s="22">
        <f t="shared" si="2"/>
        <v>3</v>
      </c>
      <c r="S764" s="23">
        <f t="shared" si="3"/>
        <v>4206.54</v>
      </c>
      <c r="T764" s="22" t="str">
        <f>IFERROR(__xludf.DUMMYFUNCTION("PROPER(TRIM(
  LET(
    texto1, REGEXREPLACE(G764,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"),"Trinidad Seplveda Venegas")</f>
        <v>Trinidad Seplveda Venegas</v>
      </c>
      <c r="U764" s="33" t="str">
        <f t="shared" si="4"/>
        <v>5e889b8b-72a8-43b0-adf0-70b8e27e0baf</v>
      </c>
      <c r="V764" s="24" t="str">
        <f t="shared" si="5"/>
        <v>Teléfono Gama baja 8GB</v>
      </c>
    </row>
    <row r="765" ht="15.75" customHeight="1">
      <c r="A765" s="36">
        <v>45546.0</v>
      </c>
      <c r="B765" s="2" t="s">
        <v>38</v>
      </c>
      <c r="C765" s="2" t="s">
        <v>369</v>
      </c>
      <c r="D765" s="7">
        <v>1649.11</v>
      </c>
      <c r="E765" s="2">
        <v>4.0</v>
      </c>
      <c r="F765" s="7">
        <v>6596.44</v>
      </c>
      <c r="G765" s="2" t="s">
        <v>2598</v>
      </c>
      <c r="H765" s="2" t="s">
        <v>2599</v>
      </c>
      <c r="I765" s="2" t="s">
        <v>2600</v>
      </c>
      <c r="K765" s="25" t="str">
        <f>IFERROR(__xludf.DUMMYFUNCTION("IF(ISBLANK(A765),
  """",
  IF(ISNUMBER(A765),
    TEXT(A765,""dd/mm/yyyy""),
    IF(
      REGEXMATCH(TRIM(A765),""^\d{1,2}/\d{1,2}/\d{4}$""),
      TRIM(A765),
      IFERROR(
        TEXT(DATEVALUE(SUBSTITUTE(SUBSTITUTE(TRIM(A765),""-"",""/""),""."",""/"&amp;""")),""dd/mm/yyyy""),
        TRIM(A765)
      )
    )
  )
)
"),"11/09/2024")</f>
        <v>11/09/2024</v>
      </c>
      <c r="L765" s="26">
        <v>45546.0</v>
      </c>
      <c r="M765" s="27" t="str">
        <f>IFERROR(__xludf.DUMMYFUNCTION("PROPER(TRIM(
  REGEXREPLACE(
    REGEXREPLACE(
      SUBSTITUTE(SUBSTITUTE(SUBSTITUTE(SUBSTITUTE(SUBSTITUTE(SUBSTITUTE(SUBSTITUTE(SUBSTITUTE(SUBSTITUTE(SUBSTITUTE(SUBSTITUTE(
        B765,""√©"",""é""),""√°"",""á""),""√±"",""ñ""),""√≥"",""ó""),""√â"",""é"&amp;"""),""√Å"",""á""),""√ç"",""í""),""√Ç"",""Í""),""√Â"",""é""),""√≠"",""í""),""√º"",""ú""),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65" s="28" t="str">
        <f>IFERROR(__xludf.DUMMYFUNCTION("SPLIT(
  TRIM(
    SUBSTITUTE(
      SUBSTITUTE(
        SUBSTITUTE(
          SUBSTITUTE(
            C765,
            ""√©"", ""é""
          ),
          ""√±"", ""ñ""
        ),
        ""√°"", ""á""
      ),
      ""√≥"", ""ó""
    )
  ),
  ""-""
)
"),"Tablet")</f>
        <v>Tablet</v>
      </c>
      <c r="O765" s="28" t="str">
        <f>IFERROR(__xludf.DUMMYFUNCTION("""COMPUTED_VALUE"""),"Pro")</f>
        <v>Pro</v>
      </c>
      <c r="P765" s="28" t="str">
        <f>IFERROR(__xludf.DUMMYFUNCTION("""COMPUTED_VALUE"""),"16GB")</f>
        <v>16GB</v>
      </c>
      <c r="Q765" s="29">
        <f t="shared" si="1"/>
        <v>1649.11</v>
      </c>
      <c r="R765" s="28">
        <f t="shared" si="2"/>
        <v>4</v>
      </c>
      <c r="S765" s="29">
        <f t="shared" si="3"/>
        <v>6596.44</v>
      </c>
      <c r="T765" s="28" t="str">
        <f>IFERROR(__xludf.DUMMYFUNCTION("PROPER(TRIM(
  LET(
    texto1, REGEXREPLACE(G765,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 Flores")</f>
        <v>Daniel Flores</v>
      </c>
      <c r="U765" s="28" t="str">
        <f t="shared" si="4"/>
        <v>e87c0e21-81f4-41b3-bbc0-ecc860e4a4f1</v>
      </c>
      <c r="V765" s="30" t="str">
        <f t="shared" si="5"/>
        <v>Tablet Pro 16GB</v>
      </c>
    </row>
    <row r="766" ht="15.75" customHeight="1">
      <c r="A766" s="36">
        <v>45484.0</v>
      </c>
      <c r="B766" s="2" t="s">
        <v>16</v>
      </c>
      <c r="C766" s="2" t="s">
        <v>250</v>
      </c>
      <c r="D766" s="7">
        <v>1531.23</v>
      </c>
      <c r="E766" s="2">
        <v>3.0</v>
      </c>
      <c r="F766" s="7">
        <v>4593.69</v>
      </c>
      <c r="G766" s="2" t="s">
        <v>2601</v>
      </c>
      <c r="H766" s="2" t="s">
        <v>2602</v>
      </c>
      <c r="I766" s="2" t="s">
        <v>2603</v>
      </c>
      <c r="K766" s="19" t="str">
        <f>IFERROR(__xludf.DUMMYFUNCTION("IF(ISBLANK(A766),
  """",
  IF(ISNUMBER(A766),
    TEXT(A766,""dd/mm/yyyy""),
    IF(
      REGEXMATCH(TRIM(A766),""^\d{1,2}/\d{1,2}/\d{4}$""),
      TRIM(A766),
      IFERROR(
        TEXT(DATEVALUE(SUBSTITUTE(SUBSTITUTE(TRIM(A766),""-"",""/""),""."",""/"&amp;""")),""dd/mm/yyyy""),
        TRIM(A766)
      )
    )
  )
)
"),"11/07/2024")</f>
        <v>11/07/2024</v>
      </c>
      <c r="L766" s="20">
        <v>45484.0</v>
      </c>
      <c r="M766" s="21" t="str">
        <f>IFERROR(__xludf.DUMMYFUNCTION("PROPER(TRIM(
  REGEXREPLACE(
    REGEXREPLACE(
      SUBSTITUTE(SUBSTITUTE(SUBSTITUTE(SUBSTITUTE(SUBSTITUTE(SUBSTITUTE(SUBSTITUTE(SUBSTITUTE(SUBSTITUTE(SUBSTITUTE(SUBSTITUTE(
        B766,""√©"",""é""),""√°"",""á""),""√±"",""ñ""),""√≥"",""ó""),""√â"",""é"&amp;"""),""√Å"",""á""),""√ç"",""í""),""√Ç"",""Í""),""√Â"",""é""),""√≠"",""í""),""√º"",""ú""),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66" s="22" t="str">
        <f>IFERROR(__xludf.DUMMYFUNCTION("SPLIT(
  TRIM(
    SUBSTITUTE(
      SUBSTITUTE(
        SUBSTITUTE(
          SUBSTITUTE(
            C766,
            ""√©"", ""é""
          ),
          ""√±"", ""ñ""
        ),
        ""√°"", ""á""
      ),
      ""√≥"", ""ó""
    )
  ),
  ""-""
)
"),"Laptop")</f>
        <v>Laptop</v>
      </c>
      <c r="O766" s="22" t="str">
        <f>IFERROR(__xludf.DUMMYFUNCTION("""COMPUTED_VALUE"""),"Oficina")</f>
        <v>Oficina</v>
      </c>
      <c r="P766" s="22" t="str">
        <f>IFERROR(__xludf.DUMMYFUNCTION("""COMPUTED_VALUE"""),"32GB")</f>
        <v>32GB</v>
      </c>
      <c r="Q766" s="23">
        <f t="shared" si="1"/>
        <v>1531.23</v>
      </c>
      <c r="R766" s="22">
        <f t="shared" si="2"/>
        <v>3</v>
      </c>
      <c r="S766" s="23">
        <f t="shared" si="3"/>
        <v>4593.69</v>
      </c>
      <c r="T766" s="22" t="str">
        <f>IFERROR(__xludf.DUMMYFUNCTION("PROPER(TRIM(
  LET(
    texto1, REGEXREPLACE(G766,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"),"Irene Murillo Cano")</f>
        <v>Irene Murillo Cano</v>
      </c>
      <c r="U766" s="22" t="str">
        <f t="shared" si="4"/>
        <v>5c67b9e8-ef45-4f3e-a2ed-49d3f39d1149</v>
      </c>
      <c r="V766" s="24" t="str">
        <f t="shared" si="5"/>
        <v>Laptop Oficina 32GB</v>
      </c>
    </row>
    <row r="767" ht="15.75" customHeight="1">
      <c r="A767" s="36">
        <v>45485.0</v>
      </c>
      <c r="B767" s="2" t="s">
        <v>85</v>
      </c>
      <c r="C767" s="2" t="s">
        <v>360</v>
      </c>
      <c r="D767" s="7">
        <v>742.02</v>
      </c>
      <c r="E767" s="2">
        <v>1.0</v>
      </c>
      <c r="F767" s="7">
        <v>742.02</v>
      </c>
      <c r="G767" s="2" t="s">
        <v>2604</v>
      </c>
      <c r="H767" s="2" t="s">
        <v>2605</v>
      </c>
      <c r="I767" s="2" t="s">
        <v>2606</v>
      </c>
      <c r="K767" s="25" t="str">
        <f>IFERROR(__xludf.DUMMYFUNCTION("IF(ISBLANK(A767),
  """",
  IF(ISNUMBER(A767),
    TEXT(A767,""dd/mm/yyyy""),
    IF(
      REGEXMATCH(TRIM(A767),""^\d{1,2}/\d{1,2}/\d{4}$""),
      TRIM(A767),
      IFERROR(
        TEXT(DATEVALUE(SUBSTITUTE(SUBSTITUTE(TRIM(A767),""-"",""/""),""."",""/"&amp;""")),""dd/mm/yyyy""),
        TRIM(A767)
      )
    )
  )
)
"),"12/07/2024")</f>
        <v>12/07/2024</v>
      </c>
      <c r="L767" s="26">
        <v>45485.0</v>
      </c>
      <c r="M767" s="27" t="str">
        <f>IFERROR(__xludf.DUMMYFUNCTION("PROPER(TRIM(
  REGEXREPLACE(
    REGEXREPLACE(
      SUBSTITUTE(SUBSTITUTE(SUBSTITUTE(SUBSTITUTE(SUBSTITUTE(SUBSTITUTE(SUBSTITUTE(SUBSTITUTE(SUBSTITUTE(SUBSTITUTE(SUBSTITUTE(
        B767,""√©"",""é""),""√°"",""á""),""√±"",""ñ""),""√≥"",""ó""),""√â"",""é"&amp;"""),""√Å"",""á""),""√ç"",""í""),""√Ç"",""Í""),""√Â"",""é""),""√≠"",""í""),""√º"",""ú""),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67" s="28" t="str">
        <f>IFERROR(__xludf.DUMMYFUNCTION("SPLIT(
  TRIM(
    SUBSTITUTE(
      SUBSTITUTE(
        SUBSTITUTE(
          SUBSTITUTE(
            C767,
            ""√©"", ""é""
          ),
          ""√±"", ""ñ""
        ),
        ""√°"", ""á""
      ),
      ""√≥"", ""ó""
    )
  ),
  ""-""
)
"),"Tablet")</f>
        <v>Tablet</v>
      </c>
      <c r="O767" s="28" t="str">
        <f>IFERROR(__xludf.DUMMYFUNCTION("""COMPUTED_VALUE"""),"Estándar")</f>
        <v>Estándar</v>
      </c>
      <c r="P767" s="28" t="str">
        <f>IFERROR(__xludf.DUMMYFUNCTION("""COMPUTED_VALUE"""),"8GB")</f>
        <v>8GB</v>
      </c>
      <c r="Q767" s="29">
        <f t="shared" si="1"/>
        <v>742.02</v>
      </c>
      <c r="R767" s="28">
        <f t="shared" si="2"/>
        <v>1</v>
      </c>
      <c r="S767" s="29">
        <f t="shared" si="3"/>
        <v>742.02</v>
      </c>
      <c r="T767" s="28" t="str">
        <f>IFERROR(__xludf.DUMMYFUNCTION("PROPER(TRIM(
  LET(
    texto1, REGEXREPLACE(G767,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"),"Rosalia Carbajal")</f>
        <v>Rosalia Carbajal</v>
      </c>
      <c r="U767" s="28" t="str">
        <f t="shared" si="4"/>
        <v>57dd5a1f-543e-405f-a66c-d3440caa7883</v>
      </c>
      <c r="V767" s="30" t="str">
        <f t="shared" si="5"/>
        <v>Tablet Estándar 8GB</v>
      </c>
    </row>
    <row r="768" ht="15.75" customHeight="1">
      <c r="A768" s="36">
        <v>45392.0</v>
      </c>
      <c r="B768" s="2" t="s">
        <v>27</v>
      </c>
      <c r="C768" s="2" t="s">
        <v>206</v>
      </c>
      <c r="D768" s="7">
        <v>494.33</v>
      </c>
      <c r="E768" s="2">
        <v>5.0</v>
      </c>
      <c r="F768" s="7">
        <v>2471.65</v>
      </c>
      <c r="G768" s="2" t="s">
        <v>2607</v>
      </c>
      <c r="H768" s="2" t="s">
        <v>2608</v>
      </c>
      <c r="I768" s="2" t="s">
        <v>2609</v>
      </c>
      <c r="K768" s="19" t="str">
        <f>IFERROR(__xludf.DUMMYFUNCTION("IF(ISBLANK(A768),
  """",
  IF(ISNUMBER(A768),
    TEXT(A768,""dd/mm/yyyy""),
    IF(
      REGEXMATCH(TRIM(A768),""^\d{1,2}/\d{1,2}/\d{4}$""),
      TRIM(A768),
      IFERROR(
        TEXT(DATEVALUE(SUBSTITUTE(SUBSTITUTE(TRIM(A768),""-"",""/""),""."",""/"&amp;""")),""dd/mm/yyyy""),
        TRIM(A768)
      )
    )
  )
)
"),"10/04/2024")</f>
        <v>10/04/2024</v>
      </c>
      <c r="L768" s="20">
        <v>45392.0</v>
      </c>
      <c r="M768" s="21" t="str">
        <f>IFERROR(__xludf.DUMMYFUNCTION("PROPER(TRIM(
  REGEXREPLACE(
    REGEXREPLACE(
      SUBSTITUTE(SUBSTITUTE(SUBSTITUTE(SUBSTITUTE(SUBSTITUTE(SUBSTITUTE(SUBSTITUTE(SUBSTITUTE(SUBSTITUTE(SUBSTITUTE(SUBSTITUTE(
        B768,""√©"",""é""),""√°"",""á""),""√±"",""ñ""),""√≥"",""ó""),""√â"",""é"&amp;"""),""√Å"",""á""),""√ç"",""í""),""√Ç"",""Í""),""√Â"",""é""),""√≠"",""í""),""√º"",""ú""),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68" s="22" t="str">
        <f>IFERROR(__xludf.DUMMYFUNCTION("SPLIT(
  TRIM(
    SUBSTITUTE(
      SUBSTITUTE(
        SUBSTITUTE(
          SUBSTITUTE(
            C768,
            ""√©"", ""é""
          ),
          ""√±"", ""ñ""
        ),
        ""√°"", ""á""
      ),
      ""√≥"", ""ó""
    )
  ),
  ""-""
)
"),"Auriculares")</f>
        <v>Auriculares</v>
      </c>
      <c r="O768" s="22" t="str">
        <f>IFERROR(__xludf.DUMMYFUNCTION("""COMPUTED_VALUE"""),"Bluetooth")</f>
        <v>Bluetooth</v>
      </c>
      <c r="P768" s="22" t="str">
        <f>IFERROR(__xludf.DUMMYFUNCTION("""COMPUTED_VALUE"""),"4GB")</f>
        <v>4GB</v>
      </c>
      <c r="Q768" s="23">
        <f t="shared" si="1"/>
        <v>494.33</v>
      </c>
      <c r="R768" s="22">
        <f t="shared" si="2"/>
        <v>5</v>
      </c>
      <c r="S768" s="23">
        <f t="shared" si="3"/>
        <v>2471.65</v>
      </c>
      <c r="T768" s="22" t="str">
        <f>IFERROR(__xludf.DUMMYFUNCTION("PROPER(TRIM(
  LET(
    texto1, REGEXREPLACE(G768,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Luisa Garrido Camarillo")</f>
        <v>Ana Luisa Garrido Camarillo</v>
      </c>
      <c r="U768" s="22" t="str">
        <f t="shared" si="4"/>
        <v>971ada99-0410-407e-9f75-9c8d5be19858</v>
      </c>
      <c r="V768" s="24" t="str">
        <f t="shared" si="5"/>
        <v>Auriculares Bluetooth 4GB</v>
      </c>
    </row>
    <row r="769" ht="15.75" customHeight="1">
      <c r="A769" s="36">
        <v>45546.0</v>
      </c>
      <c r="B769" s="2" t="s">
        <v>50</v>
      </c>
      <c r="C769" s="2" t="s">
        <v>111</v>
      </c>
      <c r="D769" s="7">
        <v>731.02</v>
      </c>
      <c r="E769" s="2">
        <v>4.0</v>
      </c>
      <c r="F769" s="7">
        <v>2924.08</v>
      </c>
      <c r="G769" s="2" t="s">
        <v>2610</v>
      </c>
      <c r="H769" s="2" t="s">
        <v>2611</v>
      </c>
      <c r="I769" s="2" t="s">
        <v>2612</v>
      </c>
      <c r="K769" s="25" t="str">
        <f>IFERROR(__xludf.DUMMYFUNCTION("IF(ISBLANK(A769),
  """",
  IF(ISNUMBER(A769),
    TEXT(A769,""dd/mm/yyyy""),
    IF(
      REGEXMATCH(TRIM(A769),""^\d{1,2}/\d{1,2}/\d{4}$""),
      TRIM(A769),
      IFERROR(
        TEXT(DATEVALUE(SUBSTITUTE(SUBSTITUTE(TRIM(A769),""-"",""/""),""."",""/"&amp;""")),""dd/mm/yyyy""),
        TRIM(A769)
      )
    )
  )
)
"),"11/09/2024")</f>
        <v>11/09/2024</v>
      </c>
      <c r="L769" s="26">
        <v>45546.0</v>
      </c>
      <c r="M769" s="27" t="str">
        <f>IFERROR(__xludf.DUMMYFUNCTION("PROPER(TRIM(
  REGEXREPLACE(
    REGEXREPLACE(
      SUBSTITUTE(SUBSTITUTE(SUBSTITUTE(SUBSTITUTE(SUBSTITUTE(SUBSTITUTE(SUBSTITUTE(SUBSTITUTE(SUBSTITUTE(SUBSTITUTE(SUBSTITUTE(
        B769,""√©"",""é""),""√°"",""á""),""√±"",""ñ""),""√≥"",""ó""),""√â"",""é"&amp;"""),""√Å"",""á""),""√ç"",""í""),""√Ç"",""Í""),""√Â"",""é""),""√≠"",""í""),""√º"",""ú""),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69" s="28" t="str">
        <f>IFERROR(__xludf.DUMMYFUNCTION("SPLIT(
  TRIM(
    SUBSTITUTE(
      SUBSTITUTE(
        SUBSTITUTE(
          SUBSTITUTE(
            C769,
            ""√©"", ""é""
          ),
          ""√±"", ""ñ""
        ),
        ""√°"", ""á""
      ),
      ""√≥"", ""ó""
    )
  ),
  ""-""
)
"),"Tablet")</f>
        <v>Tablet</v>
      </c>
      <c r="O769" s="28" t="str">
        <f>IFERROR(__xludf.DUMMYFUNCTION("""COMPUTED_VALUE"""),"Estándar")</f>
        <v>Estándar</v>
      </c>
      <c r="P769" s="28" t="str">
        <f>IFERROR(__xludf.DUMMYFUNCTION("""COMPUTED_VALUE"""),"16GB")</f>
        <v>16GB</v>
      </c>
      <c r="Q769" s="29">
        <f t="shared" si="1"/>
        <v>731.02</v>
      </c>
      <c r="R769" s="28">
        <f t="shared" si="2"/>
        <v>4</v>
      </c>
      <c r="S769" s="29">
        <f t="shared" si="3"/>
        <v>2924.08</v>
      </c>
      <c r="T769" s="28" t="str">
        <f>IFERROR(__xludf.DUMMYFUNCTION("PROPER(TRIM(
  LET(
    texto1, REGEXREPLACE(G769,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"),"Adriana Quiñones")</f>
        <v>Adriana Quiñones</v>
      </c>
      <c r="U769" s="28" t="str">
        <f t="shared" si="4"/>
        <v>fb386644-251f-41d5-9aa5-0effa6575ab7</v>
      </c>
      <c r="V769" s="30" t="str">
        <f t="shared" si="5"/>
        <v>Tablet Estándar 16GB</v>
      </c>
    </row>
    <row r="770" ht="15.75" customHeight="1">
      <c r="A770" s="36">
        <v>45392.0</v>
      </c>
      <c r="B770" s="2" t="s">
        <v>27</v>
      </c>
      <c r="C770" s="2" t="s">
        <v>152</v>
      </c>
      <c r="D770" s="7">
        <v>2203.93</v>
      </c>
      <c r="E770" s="2">
        <v>5.0</v>
      </c>
      <c r="F770" s="7">
        <v>11019.65</v>
      </c>
      <c r="G770" s="2" t="s">
        <v>2613</v>
      </c>
      <c r="H770" s="2" t="s">
        <v>2614</v>
      </c>
      <c r="I770" s="2" t="s">
        <v>2615</v>
      </c>
      <c r="K770" s="19" t="str">
        <f>IFERROR(__xludf.DUMMYFUNCTION("IF(ISBLANK(A770),
  """",
  IF(ISNUMBER(A770),
    TEXT(A770,""dd/mm/yyyy""),
    IF(
      REGEXMATCH(TRIM(A770),""^\d{1,2}/\d{1,2}/\d{4}$""),
      TRIM(A770),
      IFERROR(
        TEXT(DATEVALUE(SUBSTITUTE(SUBSTITUTE(TRIM(A770),""-"",""/""),""."",""/"&amp;""")),""dd/mm/yyyy""),
        TRIM(A770)
      )
    )
  )
)
"),"10/04/2024")</f>
        <v>10/04/2024</v>
      </c>
      <c r="L770" s="20">
        <v>45392.0</v>
      </c>
      <c r="M770" s="21" t="str">
        <f>IFERROR(__xludf.DUMMYFUNCTION("PROPER(TRIM(
  REGEXREPLACE(
    REGEXREPLACE(
      SUBSTITUTE(SUBSTITUTE(SUBSTITUTE(SUBSTITUTE(SUBSTITUTE(SUBSTITUTE(SUBSTITUTE(SUBSTITUTE(SUBSTITUTE(SUBSTITUTE(SUBSTITUTE(
        B770,""√©"",""é""),""√°"",""á""),""√±"",""ñ""),""√≥"",""ó""),""√â"",""é"&amp;"""),""√Å"",""á""),""√ç"",""í""),""√Ç"",""Í""),""√Â"",""é""),""√≠"",""í""),""√º"",""ú""),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70" s="22" t="str">
        <f>IFERROR(__xludf.DUMMYFUNCTION("SPLIT(
  TRIM(
    SUBSTITUTE(
      SUBSTITUTE(
        SUBSTITUTE(
          SUBSTITUTE(
            C770,
            ""√©"", ""é""
          ),
          ""√±"", ""ñ""
        ),
        ""√°"", ""á""
      ),
      ""√≥"", ""ó""
    )
  ),
  ""-""
)
"),"Teléfono")</f>
        <v>Teléfono</v>
      </c>
      <c r="O770" s="22" t="str">
        <f>IFERROR(__xludf.DUMMYFUNCTION("""COMPUTED_VALUE"""),"Gama baja")</f>
        <v>Gama baja</v>
      </c>
      <c r="P770" s="22" t="str">
        <f>IFERROR(__xludf.DUMMYFUNCTION("""COMPUTED_VALUE"""),"4GB")</f>
        <v>4GB</v>
      </c>
      <c r="Q770" s="23">
        <f t="shared" si="1"/>
        <v>2203.93</v>
      </c>
      <c r="R770" s="22">
        <f t="shared" si="2"/>
        <v>5</v>
      </c>
      <c r="S770" s="23">
        <f t="shared" si="3"/>
        <v>11019.65</v>
      </c>
      <c r="T770" s="22" t="str">
        <f>IFERROR(__xludf.DUMMYFUNCTION("PROPER(TRIM(
  LET(
    texto1, REGEXREPLACE(G770,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"),"Ramón Ruby Solís")</f>
        <v>Ramón Ruby Solís</v>
      </c>
      <c r="U770" s="22" t="str">
        <f t="shared" si="4"/>
        <v>698397cd-f3c5-42b9-8ee7-675e5ac6dcaa</v>
      </c>
      <c r="V770" s="24" t="str">
        <f t="shared" si="5"/>
        <v>Teléfono Gama baja 4GB</v>
      </c>
    </row>
    <row r="771" ht="15.75" customHeight="1">
      <c r="A771" s="36">
        <v>45608.0</v>
      </c>
      <c r="B771" s="2" t="s">
        <v>38</v>
      </c>
      <c r="C771" s="2" t="s">
        <v>75</v>
      </c>
      <c r="D771" s="32"/>
      <c r="E771" s="2">
        <v>2.0</v>
      </c>
      <c r="F771" s="7">
        <v>3713.2</v>
      </c>
      <c r="G771" s="2" t="s">
        <v>2616</v>
      </c>
      <c r="H771" s="2" t="s">
        <v>2617</v>
      </c>
      <c r="I771" s="2" t="s">
        <v>2618</v>
      </c>
      <c r="K771" s="25" t="str">
        <f>IFERROR(__xludf.DUMMYFUNCTION("IF(ISBLANK(A771),
  """",
  IF(ISNUMBER(A771),
    TEXT(A771,""dd/mm/yyyy""),
    IF(
      REGEXMATCH(TRIM(A771),""^\d{1,2}/\d{1,2}/\d{4}$""),
      TRIM(A771),
      IFERROR(
        TEXT(DATEVALUE(SUBSTITUTE(SUBSTITUTE(TRIM(A771),""-"",""/""),""."",""/"&amp;""")),""dd/mm/yyyy""),
        TRIM(A771)
      )
    )
  )
)
"),"12/11/2024")</f>
        <v>12/11/2024</v>
      </c>
      <c r="L771" s="26">
        <v>45608.0</v>
      </c>
      <c r="M771" s="27" t="str">
        <f>IFERROR(__xludf.DUMMYFUNCTION("PROPER(TRIM(
  REGEXREPLACE(
    REGEXREPLACE(
      SUBSTITUTE(SUBSTITUTE(SUBSTITUTE(SUBSTITUTE(SUBSTITUTE(SUBSTITUTE(SUBSTITUTE(SUBSTITUTE(SUBSTITUTE(SUBSTITUTE(SUBSTITUTE(
        B771,""√©"",""é""),""√°"",""á""),""√±"",""ñ""),""√≥"",""ó""),""√â"",""é"&amp;"""),""√Å"",""á""),""√ç"",""í""),""√Ç"",""Í""),""√Â"",""é""),""√≠"",""í""),""√º"",""ú""),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71" s="28" t="str">
        <f>IFERROR(__xludf.DUMMYFUNCTION("SPLIT(
  TRIM(
    SUBSTITUTE(
      SUBSTITUTE(
        SUBSTITUTE(
          SUBSTITUTE(
            C771,
            ""√©"", ""é""
          ),
          ""√±"", ""ñ""
        ),
        ""√°"", ""á""
      ),
      ""√≥"", ""ó""
    )
  ),
  ""-""
)
"),"Tablet")</f>
        <v>Tablet</v>
      </c>
      <c r="O771" s="28" t="str">
        <f>IFERROR(__xludf.DUMMYFUNCTION("""COMPUTED_VALUE"""),"Pro")</f>
        <v>Pro</v>
      </c>
      <c r="P771" s="28" t="str">
        <f>IFERROR(__xludf.DUMMYFUNCTION("""COMPUTED_VALUE"""),"4GB")</f>
        <v>4GB</v>
      </c>
      <c r="Q771" s="34" t="str">
        <f t="shared" si="1"/>
        <v>0</v>
      </c>
      <c r="R771" s="28">
        <f t="shared" si="2"/>
        <v>2</v>
      </c>
      <c r="S771" s="29">
        <f t="shared" si="3"/>
        <v>3713.2</v>
      </c>
      <c r="T771" s="28" t="str">
        <f>IFERROR(__xludf.DUMMYFUNCTION("PROPER(TRIM(
  LET(
    texto1, REGEXREPLACE(G771,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"),"Perla Meléndez")</f>
        <v>Perla Meléndez</v>
      </c>
      <c r="U771" s="28" t="str">
        <f t="shared" si="4"/>
        <v>98d1bc59-ba9c-4923-b9cd-06d3c57ffe57</v>
      </c>
      <c r="V771" s="30" t="str">
        <f t="shared" si="5"/>
        <v>Tablet Pro 4GB</v>
      </c>
    </row>
    <row r="772" ht="15.75" customHeight="1">
      <c r="A772" s="6">
        <v>45613.0</v>
      </c>
      <c r="B772" s="2" t="s">
        <v>38</v>
      </c>
      <c r="C772" s="2" t="s">
        <v>250</v>
      </c>
      <c r="D772" s="7">
        <v>2002.21</v>
      </c>
      <c r="E772" s="2">
        <v>3.0</v>
      </c>
      <c r="F772" s="7">
        <v>6006.63</v>
      </c>
      <c r="G772" s="2" t="s">
        <v>2619</v>
      </c>
      <c r="H772" s="2" t="s">
        <v>2620</v>
      </c>
      <c r="I772" s="2" t="s">
        <v>2621</v>
      </c>
      <c r="K772" s="19" t="str">
        <f>IFERROR(__xludf.DUMMYFUNCTION("IF(ISBLANK(A772),
  """",
  IF(ISNUMBER(A772),
    TEXT(A772,""dd/mm/yyyy""),
    IF(
      REGEXMATCH(TRIM(A772),""^\d{1,2}/\d{1,2}/\d{4}$""),
      TRIM(A772),
      IFERROR(
        TEXT(DATEVALUE(SUBSTITUTE(SUBSTITUTE(TRIM(A772),""-"",""/""),""."",""/"&amp;""")),""dd/mm/yyyy""),
        TRIM(A772)
      )
    )
  )
)
"),"17/11/2024")</f>
        <v>17/11/2024</v>
      </c>
      <c r="L772" s="20">
        <v>45613.0</v>
      </c>
      <c r="M772" s="21" t="str">
        <f>IFERROR(__xludf.DUMMYFUNCTION("PROPER(TRIM(
  REGEXREPLACE(
    REGEXREPLACE(
      SUBSTITUTE(SUBSTITUTE(SUBSTITUTE(SUBSTITUTE(SUBSTITUTE(SUBSTITUTE(SUBSTITUTE(SUBSTITUTE(SUBSTITUTE(SUBSTITUTE(SUBSTITUTE(
        B772,""√©"",""é""),""√°"",""á""),""√±"",""ñ""),""√≥"",""ó""),""√â"",""é"&amp;"""),""√Å"",""á""),""√ç"",""í""),""√Ç"",""Í""),""√Â"",""é""),""√≠"",""í""),""√º"",""ú""),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72" s="22" t="str">
        <f>IFERROR(__xludf.DUMMYFUNCTION("SPLIT(
  TRIM(
    SUBSTITUTE(
      SUBSTITUTE(
        SUBSTITUTE(
          SUBSTITUTE(
            C772,
            ""√©"", ""é""
          ),
          ""√±"", ""ñ""
        ),
        ""√°"", ""á""
      ),
      ""√≥"", ""ó""
    )
  ),
  ""-""
)
"),"Laptop")</f>
        <v>Laptop</v>
      </c>
      <c r="O772" s="22" t="str">
        <f>IFERROR(__xludf.DUMMYFUNCTION("""COMPUTED_VALUE"""),"Oficina")</f>
        <v>Oficina</v>
      </c>
      <c r="P772" s="22" t="str">
        <f>IFERROR(__xludf.DUMMYFUNCTION("""COMPUTED_VALUE"""),"32GB")</f>
        <v>32GB</v>
      </c>
      <c r="Q772" s="23">
        <f t="shared" si="1"/>
        <v>2002.21</v>
      </c>
      <c r="R772" s="22">
        <f t="shared" si="2"/>
        <v>3</v>
      </c>
      <c r="S772" s="23">
        <f t="shared" si="3"/>
        <v>6006.63</v>
      </c>
      <c r="T772" s="22" t="str">
        <f>IFERROR(__xludf.DUMMYFUNCTION("PROPER(TRIM(
  LET(
    texto1, REGEXREPLACE(G772,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"),"Cristobal Renato Malave Mercado")</f>
        <v>Cristobal Renato Malave Mercado</v>
      </c>
      <c r="U772" s="22" t="str">
        <f t="shared" si="4"/>
        <v>c800eb85-be04-43c5-950c-4be1b628b942</v>
      </c>
      <c r="V772" s="24" t="str">
        <f t="shared" si="5"/>
        <v>Laptop Oficina 32GB</v>
      </c>
    </row>
    <row r="773" ht="15.75" customHeight="1">
      <c r="A773" s="6">
        <v>45620.0</v>
      </c>
      <c r="B773" s="2" t="s">
        <v>16</v>
      </c>
      <c r="C773" s="2" t="s">
        <v>45</v>
      </c>
      <c r="D773" s="7">
        <v>428.02</v>
      </c>
      <c r="E773" s="2">
        <v>3.0</v>
      </c>
      <c r="F773" s="7">
        <v>1284.06</v>
      </c>
      <c r="G773" s="2" t="s">
        <v>2622</v>
      </c>
      <c r="H773" s="2" t="s">
        <v>2623</v>
      </c>
      <c r="I773" s="2" t="s">
        <v>2624</v>
      </c>
      <c r="K773" s="25" t="str">
        <f>IFERROR(__xludf.DUMMYFUNCTION("IF(ISBLANK(A773),
  """",
  IF(ISNUMBER(A773),
    TEXT(A773,""dd/mm/yyyy""),
    IF(
      REGEXMATCH(TRIM(A773),""^\d{1,2}/\d{1,2}/\d{4}$""),
      TRIM(A773),
      IFERROR(
        TEXT(DATEVALUE(SUBSTITUTE(SUBSTITUTE(TRIM(A773),""-"",""/""),""."",""/"&amp;""")),""dd/mm/yyyy""),
        TRIM(A773)
      )
    )
  )
)
"),"24/11/2024")</f>
        <v>24/11/2024</v>
      </c>
      <c r="L773" s="26">
        <v>45620.0</v>
      </c>
      <c r="M773" s="27" t="str">
        <f>IFERROR(__xludf.DUMMYFUNCTION("PROPER(TRIM(
  REGEXREPLACE(
    REGEXREPLACE(
      SUBSTITUTE(SUBSTITUTE(SUBSTITUTE(SUBSTITUTE(SUBSTITUTE(SUBSTITUTE(SUBSTITUTE(SUBSTITUTE(SUBSTITUTE(SUBSTITUTE(SUBSTITUTE(
        B773,""√©"",""é""),""√°"",""á""),""√±"",""ñ""),""√≥"",""ó""),""√â"",""é"&amp;"""),""√Å"",""á""),""√ç"",""í""),""√Ç"",""Í""),""√Â"",""é""),""√≠"",""í""),""√º"",""ú""),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73" s="28" t="str">
        <f>IFERROR(__xludf.DUMMYFUNCTION("SPLIT(
  TRIM(
    SUBSTITUTE(
      SUBSTITUTE(
        SUBSTITUTE(
          SUBSTITUTE(
            C773,
            ""√©"", ""é""
          ),
          ""√±"", ""ñ""
        ),
        ""√°"", ""á""
      ),
      ""√≥"", ""ó""
    )
  ),
  ""-""
)
"),"Tablet")</f>
        <v>Tablet</v>
      </c>
      <c r="O773" s="28" t="str">
        <f>IFERROR(__xludf.DUMMYFUNCTION("""COMPUTED_VALUE"""),"Mini")</f>
        <v>Mini</v>
      </c>
      <c r="P773" s="28" t="str">
        <f>IFERROR(__xludf.DUMMYFUNCTION("""COMPUTED_VALUE"""),"4GB")</f>
        <v>4GB</v>
      </c>
      <c r="Q773" s="29">
        <f t="shared" si="1"/>
        <v>428.02</v>
      </c>
      <c r="R773" s="28">
        <f t="shared" si="2"/>
        <v>3</v>
      </c>
      <c r="S773" s="29">
        <f t="shared" si="3"/>
        <v>1284.06</v>
      </c>
      <c r="T773" s="28" t="str">
        <f>IFERROR(__xludf.DUMMYFUNCTION("PROPER(TRIM(
  LET(
    texto1, REGEXREPLACE(G773,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"),"David José Luis Espinosa Alonso")</f>
        <v>David José Luis Espinosa Alonso</v>
      </c>
      <c r="U773" s="28" t="str">
        <f t="shared" si="4"/>
        <v>fdba0744-ad19-42dc-a09e-8fc306cf7732</v>
      </c>
      <c r="V773" s="30" t="str">
        <f t="shared" si="5"/>
        <v>Tablet Mini 4GB</v>
      </c>
    </row>
    <row r="774" ht="15.75" customHeight="1">
      <c r="A774" s="6">
        <v>45623.0</v>
      </c>
      <c r="B774" s="2" t="s">
        <v>85</v>
      </c>
      <c r="C774" s="2" t="s">
        <v>508</v>
      </c>
      <c r="D774" s="7">
        <v>2160.65</v>
      </c>
      <c r="E774" s="2">
        <v>3.0</v>
      </c>
      <c r="F774" s="7">
        <v>6481.95</v>
      </c>
      <c r="G774" s="2" t="s">
        <v>2625</v>
      </c>
      <c r="H774" s="2" t="s">
        <v>2626</v>
      </c>
      <c r="I774" s="2" t="s">
        <v>2627</v>
      </c>
      <c r="K774" s="19" t="str">
        <f>IFERROR(__xludf.DUMMYFUNCTION("IF(ISBLANK(A774),
  """",
  IF(ISNUMBER(A774),
    TEXT(A774,""dd/mm/yyyy""),
    IF(
      REGEXMATCH(TRIM(A774),""^\d{1,2}/\d{1,2}/\d{4}$""),
      TRIM(A774),
      IFERROR(
        TEXT(DATEVALUE(SUBSTITUTE(SUBSTITUTE(TRIM(A774),""-"",""/""),""."",""/"&amp;""")),""dd/mm/yyyy""),
        TRIM(A774)
      )
    )
  )
)
"),"27/11/2024")</f>
        <v>27/11/2024</v>
      </c>
      <c r="L774" s="20">
        <v>45623.0</v>
      </c>
      <c r="M774" s="21" t="str">
        <f>IFERROR(__xludf.DUMMYFUNCTION("PROPER(TRIM(
  REGEXREPLACE(
    REGEXREPLACE(
      SUBSTITUTE(SUBSTITUTE(SUBSTITUTE(SUBSTITUTE(SUBSTITUTE(SUBSTITUTE(SUBSTITUTE(SUBSTITUTE(SUBSTITUTE(SUBSTITUTE(SUBSTITUTE(
        B774,""√©"",""é""),""√°"",""á""),""√±"",""ñ""),""√≥"",""ó""),""√â"",""é"&amp;"""),""√Å"",""á""),""√ç"",""í""),""√Ç"",""Í""),""√Â"",""é""),""√≠"",""í""),""√º"",""ú""),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74" s="22" t="str">
        <f>IFERROR(__xludf.DUMMYFUNCTION("SPLIT(
  TRIM(
    SUBSTITUTE(
      SUBSTITUTE(
        SUBSTITUTE(
          SUBSTITUTE(
            C774,
            ""√©"", ""é""
          ),
          ""√±"", ""ñ""
        ),
        ""√°"", ""á""
      ),
      ""√≥"", ""ó""
    )
  ),
  ""-""
)
"),"Auriculares")</f>
        <v>Auriculares</v>
      </c>
      <c r="O774" s="22" t="str">
        <f>IFERROR(__xludf.DUMMYFUNCTION("""COMPUTED_VALUE"""),"Cancelación de ruido")</f>
        <v>Cancelación de ruido</v>
      </c>
      <c r="P774" s="22" t="str">
        <f>IFERROR(__xludf.DUMMYFUNCTION("""COMPUTED_VALUE"""),"16GB")</f>
        <v>16GB</v>
      </c>
      <c r="Q774" s="23">
        <f t="shared" si="1"/>
        <v>2160.65</v>
      </c>
      <c r="R774" s="22">
        <f t="shared" si="2"/>
        <v>3</v>
      </c>
      <c r="S774" s="23">
        <f t="shared" si="3"/>
        <v>6481.95</v>
      </c>
      <c r="T774" s="22" t="str">
        <f>IFERROR(__xludf.DUMMYFUNCTION("PROPER(TRIM(
  LET(
    texto1, REGEXREPLACE(G774,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"),"Nayeli Abrego")</f>
        <v>Nayeli Abrego</v>
      </c>
      <c r="U774" s="22" t="str">
        <f t="shared" si="4"/>
        <v>f6a4c26a-3865-4f58-99c7-07d8e2ca6da0</v>
      </c>
      <c r="V774" s="24" t="str">
        <f t="shared" si="5"/>
        <v>Auriculares Cancelación de ruido 16GB</v>
      </c>
    </row>
    <row r="775" ht="15.75" customHeight="1">
      <c r="A775" s="6">
        <v>45593.0</v>
      </c>
      <c r="B775" s="2" t="s">
        <v>16</v>
      </c>
      <c r="C775" s="2" t="s">
        <v>593</v>
      </c>
      <c r="D775" s="7">
        <v>2472.61</v>
      </c>
      <c r="E775" s="2">
        <v>5.0</v>
      </c>
      <c r="F775" s="7">
        <v>12363.05</v>
      </c>
      <c r="G775" s="2" t="s">
        <v>2628</v>
      </c>
      <c r="H775" s="2" t="s">
        <v>2629</v>
      </c>
      <c r="I775" s="2" t="s">
        <v>2630</v>
      </c>
      <c r="K775" s="25" t="str">
        <f>IFERROR(__xludf.DUMMYFUNCTION("IF(ISBLANK(A775),
  """",
  IF(ISNUMBER(A775),
    TEXT(A775,""dd/mm/yyyy""),
    IF(
      REGEXMATCH(TRIM(A775),""^\d{1,2}/\d{1,2}/\d{4}$""),
      TRIM(A775),
      IFERROR(
        TEXT(DATEVALUE(SUBSTITUTE(SUBSTITUTE(TRIM(A775),""-"",""/""),""."",""/"&amp;""")),""dd/mm/yyyy""),
        TRIM(A775)
      )
    )
  )
)
"),"28/10/2024")</f>
        <v>28/10/2024</v>
      </c>
      <c r="L775" s="26">
        <v>45593.0</v>
      </c>
      <c r="M775" s="27" t="str">
        <f>IFERROR(__xludf.DUMMYFUNCTION("PROPER(TRIM(
  REGEXREPLACE(
    REGEXREPLACE(
      SUBSTITUTE(SUBSTITUTE(SUBSTITUTE(SUBSTITUTE(SUBSTITUTE(SUBSTITUTE(SUBSTITUTE(SUBSTITUTE(SUBSTITUTE(SUBSTITUTE(SUBSTITUTE(
        B775,""√©"",""é""),""√°"",""á""),""√±"",""ñ""),""√≥"",""ó""),""√â"",""é"&amp;"""),""√Å"",""á""),""√ç"",""í""),""√Ç"",""Í""),""√Â"",""é""),""√≠"",""í""),""√º"",""ú""),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75" s="28" t="str">
        <f>IFERROR(__xludf.DUMMYFUNCTION("SPLIT(
  TRIM(
    SUBSTITUTE(
      SUBSTITUTE(
        SUBSTITUTE(
          SUBSTITUTE(
            C775,
            ""√©"", ""é""
          ),
          ""√±"", ""ñ""
        ),
        ""√°"", ""á""
      ),
      ""√≥"", ""ó""
    )
  ),
  ""-""
)
"),"Laptop")</f>
        <v>Laptop</v>
      </c>
      <c r="O775" s="28" t="str">
        <f>IFERROR(__xludf.DUMMYFUNCTION("""COMPUTED_VALUE"""),"Gaming")</f>
        <v>Gaming</v>
      </c>
      <c r="P775" s="28" t="str">
        <f>IFERROR(__xludf.DUMMYFUNCTION("""COMPUTED_VALUE"""),"16GB")</f>
        <v>16GB</v>
      </c>
      <c r="Q775" s="29">
        <f t="shared" si="1"/>
        <v>2472.61</v>
      </c>
      <c r="R775" s="28">
        <f t="shared" si="2"/>
        <v>5</v>
      </c>
      <c r="S775" s="29">
        <f t="shared" si="3"/>
        <v>12363.05</v>
      </c>
      <c r="T775" s="28" t="str">
        <f>IFERROR(__xludf.DUMMYFUNCTION("PROPER(TRIM(
  LET(
    texto1, REGEXREPLACE(G775,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"),"Magdalena Del Río Covarrubias")</f>
        <v>Magdalena Del Río Covarrubias</v>
      </c>
      <c r="U775" s="28" t="str">
        <f t="shared" si="4"/>
        <v>df30a4f3-dbd9-408b-aef6-130263821f4b</v>
      </c>
      <c r="V775" s="30" t="str">
        <f t="shared" si="5"/>
        <v>Laptop Gaming 16GB</v>
      </c>
    </row>
    <row r="776" ht="15.75" customHeight="1">
      <c r="A776" s="6">
        <v>45642.0</v>
      </c>
      <c r="B776" s="2" t="s">
        <v>27</v>
      </c>
      <c r="C776" s="2" t="s">
        <v>70</v>
      </c>
      <c r="D776" s="7">
        <v>1252.47</v>
      </c>
      <c r="E776" s="2">
        <v>5.0</v>
      </c>
      <c r="F776" s="7">
        <v>6262.35</v>
      </c>
      <c r="G776" s="2" t="s">
        <v>2631</v>
      </c>
      <c r="H776" s="2" t="s">
        <v>2632</v>
      </c>
      <c r="I776" s="2" t="s">
        <v>2633</v>
      </c>
      <c r="K776" s="19" t="str">
        <f>IFERROR(__xludf.DUMMYFUNCTION("IF(ISBLANK(A776),
  """",
  IF(ISNUMBER(A776),
    TEXT(A776,""dd/mm/yyyy""),
    IF(
      REGEXMATCH(TRIM(A776),""^\d{1,2}/\d{1,2}/\d{4}$""),
      TRIM(A776),
      IFERROR(
        TEXT(DATEVALUE(SUBSTITUTE(SUBSTITUTE(TRIM(A776),""-"",""/""),""."",""/"&amp;""")),""dd/mm/yyyy""),
        TRIM(A776)
      )
    )
  )
)
"),"16/12/2024")</f>
        <v>16/12/2024</v>
      </c>
      <c r="L776" s="20">
        <v>45642.0</v>
      </c>
      <c r="M776" s="21" t="str">
        <f>IFERROR(__xludf.DUMMYFUNCTION("PROPER(TRIM(
  REGEXREPLACE(
    REGEXREPLACE(
      SUBSTITUTE(SUBSTITUTE(SUBSTITUTE(SUBSTITUTE(SUBSTITUTE(SUBSTITUTE(SUBSTITUTE(SUBSTITUTE(SUBSTITUTE(SUBSTITUTE(SUBSTITUTE(
        B776,""√©"",""é""),""√°"",""á""),""√±"",""ñ""),""√≥"",""ó""),""√â"",""é"&amp;"""),""√Å"",""á""),""√ç"",""í""),""√Ç"",""Í""),""√Â"",""é""),""√≠"",""í""),""√º"",""ú""),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76" s="22" t="str">
        <f>IFERROR(__xludf.DUMMYFUNCTION("SPLIT(
  TRIM(
    SUBSTITUTE(
      SUBSTITUTE(
        SUBSTITUTE(
          SUBSTITUTE(
            C776,
            ""√©"", ""é""
          ),
          ""√±"", ""ñ""
        ),
        ""√°"", ""á""
      ),
      ""√≥"", ""ó""
    )
  ),
  ""-""
)
"),"Auriculares")</f>
        <v>Auriculares</v>
      </c>
      <c r="O776" s="22" t="str">
        <f>IFERROR(__xludf.DUMMYFUNCTION("""COMPUTED_VALUE"""),"Con cable")</f>
        <v>Con cable</v>
      </c>
      <c r="P776" s="22" t="str">
        <f>IFERROR(__xludf.DUMMYFUNCTION("""COMPUTED_VALUE"""),"16GB")</f>
        <v>16GB</v>
      </c>
      <c r="Q776" s="23">
        <f t="shared" si="1"/>
        <v>1252.47</v>
      </c>
      <c r="R776" s="22">
        <f t="shared" si="2"/>
        <v>5</v>
      </c>
      <c r="S776" s="23">
        <f t="shared" si="3"/>
        <v>6262.35</v>
      </c>
      <c r="T776" s="22" t="str">
        <f>IFERROR(__xludf.DUMMYFUNCTION("PROPER(TRIM(
  LET(
    texto1, REGEXREPLACE(G776,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"),"Mauricio Horacio Marín")</f>
        <v>Mauricio Horacio Marín</v>
      </c>
      <c r="U776" s="22" t="str">
        <f t="shared" si="4"/>
        <v>d3e4b4f5-0e5d-46c7-a6d9-b15a09e90033</v>
      </c>
      <c r="V776" s="24" t="str">
        <f t="shared" si="5"/>
        <v>Auriculares Con cable 16GB</v>
      </c>
    </row>
    <row r="777" ht="15.75" customHeight="1">
      <c r="A777" s="6">
        <v>45584.0</v>
      </c>
      <c r="B777" s="2" t="s">
        <v>16</v>
      </c>
      <c r="C777" s="2" t="s">
        <v>500</v>
      </c>
      <c r="D777" s="7">
        <v>130.05</v>
      </c>
      <c r="E777" s="2">
        <v>1.0</v>
      </c>
      <c r="F777" s="7">
        <v>130.05</v>
      </c>
      <c r="G777" s="2" t="s">
        <v>2634</v>
      </c>
      <c r="H777" s="2" t="s">
        <v>2635</v>
      </c>
      <c r="I777" s="2" t="s">
        <v>2636</v>
      </c>
      <c r="K777" s="25" t="str">
        <f>IFERROR(__xludf.DUMMYFUNCTION("IF(ISBLANK(A777),
  """",
  IF(ISNUMBER(A777),
    TEXT(A777,""dd/mm/yyyy""),
    IF(
      REGEXMATCH(TRIM(A777),""^\d{1,2}/\d{1,2}/\d{4}$""),
      TRIM(A777),
      IFERROR(
        TEXT(DATEVALUE(SUBSTITUTE(SUBSTITUTE(TRIM(A777),""-"",""/""),""."",""/"&amp;""")),""dd/mm/yyyy""),
        TRIM(A777)
      )
    )
  )
)
"),"19/10/2024")</f>
        <v>19/10/2024</v>
      </c>
      <c r="L777" s="26">
        <v>45584.0</v>
      </c>
      <c r="M777" s="27" t="str">
        <f>IFERROR(__xludf.DUMMYFUNCTION("PROPER(TRIM(
  REGEXREPLACE(
    REGEXREPLACE(
      SUBSTITUTE(SUBSTITUTE(SUBSTITUTE(SUBSTITUTE(SUBSTITUTE(SUBSTITUTE(SUBSTITUTE(SUBSTITUTE(SUBSTITUTE(SUBSTITUTE(SUBSTITUTE(
        B777,""√©"",""é""),""√°"",""á""),""√±"",""ñ""),""√≥"",""ó""),""√â"",""é"&amp;"""),""√Å"",""á""),""√ç"",""í""),""√Ç"",""Í""),""√Â"",""é""),""√≠"",""í""),""√º"",""ú""),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77" s="28" t="str">
        <f>IFERROR(__xludf.DUMMYFUNCTION("SPLIT(
  TRIM(
    SUBSTITUTE(
      SUBSTITUTE(
        SUBSTITUTE(
          SUBSTITUTE(
            C777,
            ""√©"", ""é""
          ),
          ""√±"", ""ñ""
        ),
        ""√°"", ""á""
      ),
      ""√≥"", ""ó""
    )
  ),
  ""-""
)
"),"Teléfono")</f>
        <v>Teléfono</v>
      </c>
      <c r="O777" s="28" t="str">
        <f>IFERROR(__xludf.DUMMYFUNCTION("""COMPUTED_VALUE"""),"Gama alta")</f>
        <v>Gama alta</v>
      </c>
      <c r="P777" s="28" t="str">
        <f>IFERROR(__xludf.DUMMYFUNCTION("""COMPUTED_VALUE"""),"32GB")</f>
        <v>32GB</v>
      </c>
      <c r="Q777" s="29">
        <f t="shared" si="1"/>
        <v>130.05</v>
      </c>
      <c r="R777" s="28">
        <f t="shared" si="2"/>
        <v>1</v>
      </c>
      <c r="S777" s="29">
        <f t="shared" si="3"/>
        <v>130.05</v>
      </c>
      <c r="T777" s="28" t="str">
        <f>IFERROR(__xludf.DUMMYFUNCTION("PROPER(TRIM(
  LET(
    texto1, REGEXREPLACE(G777,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"),"Eric Amador Santiago")</f>
        <v>Eric Amador Santiago</v>
      </c>
      <c r="U777" s="28" t="str">
        <f t="shared" si="4"/>
        <v>b07b2920-9fbe-4a2c-ab22-d232c3ad228c</v>
      </c>
      <c r="V777" s="30" t="str">
        <f t="shared" si="5"/>
        <v>Teléfono Gama alta 32GB</v>
      </c>
    </row>
    <row r="778" ht="15.75" customHeight="1">
      <c r="A778" s="6">
        <v>45617.0</v>
      </c>
      <c r="B778" s="2" t="s">
        <v>60</v>
      </c>
      <c r="C778" s="2" t="s">
        <v>1015</v>
      </c>
      <c r="D778" s="7">
        <v>2399.53</v>
      </c>
      <c r="E778" s="2">
        <v>3.0</v>
      </c>
      <c r="F778" s="32"/>
      <c r="G778" s="2" t="s">
        <v>2637</v>
      </c>
      <c r="H778" s="2" t="s">
        <v>2638</v>
      </c>
      <c r="I778" s="2" t="s">
        <v>2639</v>
      </c>
      <c r="K778" s="19" t="str">
        <f>IFERROR(__xludf.DUMMYFUNCTION("IF(ISBLANK(A778),
  """",
  IF(ISNUMBER(A778),
    TEXT(A778,""dd/mm/yyyy""),
    IF(
      REGEXMATCH(TRIM(A778),""^\d{1,2}/\d{1,2}/\d{4}$""),
      TRIM(A778),
      IFERROR(
        TEXT(DATEVALUE(SUBSTITUTE(SUBSTITUTE(TRIM(A778),""-"",""/""),""."",""/"&amp;""")),""dd/mm/yyyy""),
        TRIM(A778)
      )
    )
  )
)
"),"21/11/2024")</f>
        <v>21/11/2024</v>
      </c>
      <c r="L778" s="20">
        <v>45617.0</v>
      </c>
      <c r="M778" s="21" t="str">
        <f>IFERROR(__xludf.DUMMYFUNCTION("PROPER(TRIM(
  REGEXREPLACE(
    REGEXREPLACE(
      SUBSTITUTE(SUBSTITUTE(SUBSTITUTE(SUBSTITUTE(SUBSTITUTE(SUBSTITUTE(SUBSTITUTE(SUBSTITUTE(SUBSTITUTE(SUBSTITUTE(SUBSTITUTE(
        B778,""√©"",""é""),""√°"",""á""),""√±"",""ñ""),""√≥"",""ó""),""√â"",""é"&amp;"""),""√Å"",""á""),""√ç"",""í""),""√Ç"",""Í""),""√Â"",""é""),""√≠"",""í""),""√º"",""ú""),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78" s="22" t="str">
        <f>IFERROR(__xludf.DUMMYFUNCTION("SPLIT(
  TRIM(
    SUBSTITUTE(
      SUBSTITUTE(
        SUBSTITUTE(
          SUBSTITUTE(
            C778,
            ""√©"", ""é""
          ),
          ""√±"", ""ñ""
        ),
        ""√°"", ""á""
      ),
      ""√≥"", ""ó""
    )
  ),
  ""-""
)
"),"Auriculares")</f>
        <v>Auriculares</v>
      </c>
      <c r="O778" s="22" t="str">
        <f>IFERROR(__xludf.DUMMYFUNCTION("""COMPUTED_VALUE"""),"Bluetooth")</f>
        <v>Bluetooth</v>
      </c>
      <c r="P778" s="22" t="str">
        <f>IFERROR(__xludf.DUMMYFUNCTION("""COMPUTED_VALUE"""),"32GB")</f>
        <v>32GB</v>
      </c>
      <c r="Q778" s="23">
        <f t="shared" si="1"/>
        <v>2399.53</v>
      </c>
      <c r="R778" s="22">
        <f t="shared" si="2"/>
        <v>3</v>
      </c>
      <c r="S778" s="23" t="str">
        <f t="shared" si="3"/>
        <v>0</v>
      </c>
      <c r="T778" s="22" t="str">
        <f>IFERROR(__xludf.DUMMYFUNCTION("PROPER(TRIM(
  LET(
    texto1, REGEXREPLACE(G778,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"),"Salma De Anda")</f>
        <v>Salma De Anda</v>
      </c>
      <c r="U778" s="22" t="str">
        <f t="shared" si="4"/>
        <v>68c5e3c1-7b1b-43a7-acde-3a8ad2cd8bac</v>
      </c>
      <c r="V778" s="24" t="str">
        <f t="shared" si="5"/>
        <v>Auriculares Bluetooth 32GB</v>
      </c>
    </row>
    <row r="779" ht="15.75" customHeight="1">
      <c r="A779" s="6">
        <v>45645.0</v>
      </c>
      <c r="B779" s="2" t="s">
        <v>16</v>
      </c>
      <c r="C779" s="2" t="s">
        <v>80</v>
      </c>
      <c r="D779" s="7">
        <v>1900.01</v>
      </c>
      <c r="E779" s="2">
        <v>5.0</v>
      </c>
      <c r="F779" s="7">
        <v>9500.05</v>
      </c>
      <c r="G779" s="2" t="s">
        <v>2640</v>
      </c>
      <c r="H779" s="2" t="s">
        <v>2641</v>
      </c>
      <c r="I779" s="2" t="s">
        <v>2642</v>
      </c>
      <c r="K779" s="25" t="str">
        <f>IFERROR(__xludf.DUMMYFUNCTION("IF(ISBLANK(A779),
  """",
  IF(ISNUMBER(A779),
    TEXT(A779,""dd/mm/yyyy""),
    IF(
      REGEXMATCH(TRIM(A779),""^\d{1,2}/\d{1,2}/\d{4}$""),
      TRIM(A779),
      IFERROR(
        TEXT(DATEVALUE(SUBSTITUTE(SUBSTITUTE(TRIM(A779),""-"",""/""),""."",""/"&amp;""")),""dd/mm/yyyy""),
        TRIM(A779)
      )
    )
  )
)
"),"19/12/2024")</f>
        <v>19/12/2024</v>
      </c>
      <c r="L779" s="26">
        <v>45645.0</v>
      </c>
      <c r="M779" s="27" t="str">
        <f>IFERROR(__xludf.DUMMYFUNCTION("PROPER(TRIM(
  REGEXREPLACE(
    REGEXREPLACE(
      SUBSTITUTE(SUBSTITUTE(SUBSTITUTE(SUBSTITUTE(SUBSTITUTE(SUBSTITUTE(SUBSTITUTE(SUBSTITUTE(SUBSTITUTE(SUBSTITUTE(SUBSTITUTE(
        B779,""√©"",""é""),""√°"",""á""),""√±"",""ñ""),""√≥"",""ó""),""√â"",""é"&amp;"""),""√Å"",""á""),""√ç"",""í""),""√Ç"",""Í""),""√Â"",""é""),""√≠"",""í""),""√º"",""ú""),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79" s="28" t="str">
        <f>IFERROR(__xludf.DUMMYFUNCTION("SPLIT(
  TRIM(
    SUBSTITUTE(
      SUBSTITUTE(
        SUBSTITUTE(
          SUBSTITUTE(
            C779,
            ""√©"", ""é""
          ),
          ""√±"", ""ñ""
        ),
        ""√°"", ""á""
      ),
      ""√≥"", ""ó""
    )
  ),
  ""-""
)
"),"Teléfono")</f>
        <v>Teléfono</v>
      </c>
      <c r="O779" s="28" t="str">
        <f>IFERROR(__xludf.DUMMYFUNCTION("""COMPUTED_VALUE"""),"Gama baja")</f>
        <v>Gama baja</v>
      </c>
      <c r="P779" s="28" t="str">
        <f>IFERROR(__xludf.DUMMYFUNCTION("""COMPUTED_VALUE"""),"16GB")</f>
        <v>16GB</v>
      </c>
      <c r="Q779" s="29">
        <f t="shared" si="1"/>
        <v>1900.01</v>
      </c>
      <c r="R779" s="28">
        <f t="shared" si="2"/>
        <v>5</v>
      </c>
      <c r="S779" s="29">
        <f t="shared" si="3"/>
        <v>9500.05</v>
      </c>
      <c r="T779" s="28" t="str">
        <f>IFERROR(__xludf.DUMMYFUNCTION("PROPER(TRIM(
  LET(
    texto1, REGEXREPLACE(G779,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"),"Lorena Jacinto Limón")</f>
        <v>Lorena Jacinto Limón</v>
      </c>
      <c r="U779" s="28" t="str">
        <f t="shared" si="4"/>
        <v>60d79197-fd4c-4a31-a577-d7d861b32c67</v>
      </c>
      <c r="V779" s="30" t="str">
        <f t="shared" si="5"/>
        <v>Teléfono Gama baja 16GB</v>
      </c>
    </row>
    <row r="780" ht="15.75" customHeight="1">
      <c r="A780" s="36">
        <v>45454.0</v>
      </c>
      <c r="B780" s="2" t="s">
        <v>101</v>
      </c>
      <c r="C780" s="2" t="s">
        <v>45</v>
      </c>
      <c r="D780" s="7">
        <v>1344.3</v>
      </c>
      <c r="E780" s="2">
        <v>1.0</v>
      </c>
      <c r="F780" s="7">
        <v>1344.3</v>
      </c>
      <c r="G780" s="2" t="s">
        <v>2643</v>
      </c>
      <c r="H780" s="2" t="s">
        <v>2644</v>
      </c>
      <c r="I780" s="2" t="s">
        <v>2645</v>
      </c>
      <c r="K780" s="19" t="str">
        <f>IFERROR(__xludf.DUMMYFUNCTION("IF(ISBLANK(A780),
  """",
  IF(ISNUMBER(A780),
    TEXT(A780,""dd/mm/yyyy""),
    IF(
      REGEXMATCH(TRIM(A780),""^\d{1,2}/\d{1,2}/\d{4}$""),
      TRIM(A780),
      IFERROR(
        TEXT(DATEVALUE(SUBSTITUTE(SUBSTITUTE(TRIM(A780),""-"",""/""),""."",""/"&amp;""")),""dd/mm/yyyy""),
        TRIM(A780)
      )
    )
  )
)
"),"11/06/2024")</f>
        <v>11/06/2024</v>
      </c>
      <c r="L780" s="20">
        <v>45454.0</v>
      </c>
      <c r="M780" s="21" t="str">
        <f>IFERROR(__xludf.DUMMYFUNCTION("PROPER(TRIM(
  REGEXREPLACE(
    REGEXREPLACE(
      SUBSTITUTE(SUBSTITUTE(SUBSTITUTE(SUBSTITUTE(SUBSTITUTE(SUBSTITUTE(SUBSTITUTE(SUBSTITUTE(SUBSTITUTE(SUBSTITUTE(SUBSTITUTE(
        B780,""√©"",""é""),""√°"",""á""),""√±"",""ñ""),""√≥"",""ó""),""√â"",""é"&amp;"""),""√Å"",""á""),""√ç"",""í""),""√Ç"",""Í""),""√Â"",""é""),""√≠"",""í""),""√º"",""ú""),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80" s="22" t="str">
        <f>IFERROR(__xludf.DUMMYFUNCTION("SPLIT(
  TRIM(
    SUBSTITUTE(
      SUBSTITUTE(
        SUBSTITUTE(
          SUBSTITUTE(
            C780,
            ""√©"", ""é""
          ),
          ""√±"", ""ñ""
        ),
        ""√°"", ""á""
      ),
      ""√≥"", ""ó""
    )
  ),
  ""-""
)
"),"Tablet")</f>
        <v>Tablet</v>
      </c>
      <c r="O780" s="22" t="str">
        <f>IFERROR(__xludf.DUMMYFUNCTION("""COMPUTED_VALUE"""),"Mini")</f>
        <v>Mini</v>
      </c>
      <c r="P780" s="22" t="str">
        <f>IFERROR(__xludf.DUMMYFUNCTION("""COMPUTED_VALUE"""),"4GB")</f>
        <v>4GB</v>
      </c>
      <c r="Q780" s="23">
        <f t="shared" si="1"/>
        <v>1344.3</v>
      </c>
      <c r="R780" s="22">
        <f t="shared" si="2"/>
        <v>1</v>
      </c>
      <c r="S780" s="23">
        <f t="shared" si="3"/>
        <v>1344.3</v>
      </c>
      <c r="T780" s="22" t="str">
        <f>IFERROR(__xludf.DUMMYFUNCTION("PROPER(TRIM(
  LET(
    texto1, REGEXREPLACE(G780,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"),"Julio César Hinojosa Carrión")</f>
        <v>Julio César Hinojosa Carrión</v>
      </c>
      <c r="U780" s="22" t="str">
        <f t="shared" si="4"/>
        <v>be31e53e-d5d8-4a44-a252-aa621bcd0ceb</v>
      </c>
      <c r="V780" s="24" t="str">
        <f t="shared" si="5"/>
        <v>Tablet Mini 4GB</v>
      </c>
    </row>
    <row r="781" ht="15.75" customHeight="1">
      <c r="A781" s="36">
        <v>45514.0</v>
      </c>
      <c r="B781" s="2" t="s">
        <v>38</v>
      </c>
      <c r="C781" s="2" t="s">
        <v>167</v>
      </c>
      <c r="D781" s="7">
        <v>2170.39</v>
      </c>
      <c r="E781" s="2">
        <v>2.0</v>
      </c>
      <c r="F781" s="7">
        <v>4340.78</v>
      </c>
      <c r="G781" s="2" t="s">
        <v>2646</v>
      </c>
      <c r="H781" s="2" t="s">
        <v>2647</v>
      </c>
      <c r="I781" s="2" t="s">
        <v>2648</v>
      </c>
      <c r="K781" s="25" t="str">
        <f>IFERROR(__xludf.DUMMYFUNCTION("IF(ISBLANK(A781),
  """",
  IF(ISNUMBER(A781),
    TEXT(A781,""dd/mm/yyyy""),
    IF(
      REGEXMATCH(TRIM(A781),""^\d{1,2}/\d{1,2}/\d{4}$""),
      TRIM(A781),
      IFERROR(
        TEXT(DATEVALUE(SUBSTITUTE(SUBSTITUTE(TRIM(A781),""-"",""/""),""."",""/"&amp;""")),""dd/mm/yyyy""),
        TRIM(A781)
      )
    )
  )
)
"),"10/08/2024")</f>
        <v>10/08/2024</v>
      </c>
      <c r="L781" s="26">
        <v>45514.0</v>
      </c>
      <c r="M781" s="27" t="str">
        <f>IFERROR(__xludf.DUMMYFUNCTION("PROPER(TRIM(
  REGEXREPLACE(
    REGEXREPLACE(
      SUBSTITUTE(SUBSTITUTE(SUBSTITUTE(SUBSTITUTE(SUBSTITUTE(SUBSTITUTE(SUBSTITUTE(SUBSTITUTE(SUBSTITUTE(SUBSTITUTE(SUBSTITUTE(
        B781,""√©"",""é""),""√°"",""á""),""√±"",""ñ""),""√≥"",""ó""),""√â"",""é"&amp;"""),""√Å"",""á""),""√ç"",""í""),""√Ç"",""Í""),""√Â"",""é""),""√≠"",""í""),""√º"",""ú""),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81" s="28" t="str">
        <f>IFERROR(__xludf.DUMMYFUNCTION("SPLIT(
  TRIM(
    SUBSTITUTE(
      SUBSTITUTE(
        SUBSTITUTE(
          SUBSTITUTE(
            C781,
            ""√©"", ""é""
          ),
          ""√±"", ""ñ""
        ),
        ""√°"", ""á""
      ),
      ""√≥"", ""ó""
    )
  ),
  ""-""
)
"),"Laptop")</f>
        <v>Laptop</v>
      </c>
      <c r="O781" s="28" t="str">
        <f>IFERROR(__xludf.DUMMYFUNCTION("""COMPUTED_VALUE"""),"Gaming")</f>
        <v>Gaming</v>
      </c>
      <c r="P781" s="28" t="str">
        <f>IFERROR(__xludf.DUMMYFUNCTION("""COMPUTED_VALUE"""),"8GB")</f>
        <v>8GB</v>
      </c>
      <c r="Q781" s="29">
        <f t="shared" si="1"/>
        <v>2170.39</v>
      </c>
      <c r="R781" s="28">
        <f t="shared" si="2"/>
        <v>2</v>
      </c>
      <c r="S781" s="29">
        <f t="shared" si="3"/>
        <v>4340.78</v>
      </c>
      <c r="T781" s="28" t="str">
        <f>IFERROR(__xludf.DUMMYFUNCTION("PROPER(TRIM(
  LET(
    texto1, REGEXREPLACE(G781,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"),"Clara Maximiliano Samaniego Lebrón")</f>
        <v>Clara Maximiliano Samaniego Lebrón</v>
      </c>
      <c r="U781" s="28" t="str">
        <f t="shared" si="4"/>
        <v>b122bc72-7239-44b5-a84c-5afb4963ef9d</v>
      </c>
      <c r="V781" s="30" t="str">
        <f t="shared" si="5"/>
        <v>Laptop Gaming 8GB</v>
      </c>
    </row>
    <row r="782" ht="15.75" customHeight="1">
      <c r="A782" s="6">
        <v>45591.0</v>
      </c>
      <c r="B782" s="2" t="s">
        <v>38</v>
      </c>
      <c r="C782" s="2" t="s">
        <v>348</v>
      </c>
      <c r="D782" s="7">
        <v>403.48</v>
      </c>
      <c r="E782" s="2">
        <v>2.0</v>
      </c>
      <c r="F782" s="7">
        <v>806.96</v>
      </c>
      <c r="G782" s="2" t="s">
        <v>2649</v>
      </c>
      <c r="H782" s="2" t="s">
        <v>2650</v>
      </c>
      <c r="I782" s="2" t="s">
        <v>2651</v>
      </c>
      <c r="K782" s="19" t="str">
        <f>IFERROR(__xludf.DUMMYFUNCTION("IF(ISBLANK(A782),
  """",
  IF(ISNUMBER(A782),
    TEXT(A782,""dd/mm/yyyy""),
    IF(
      REGEXMATCH(TRIM(A782),""^\d{1,2}/\d{1,2}/\d{4}$""),
      TRIM(A782),
      IFERROR(
        TEXT(DATEVALUE(SUBSTITUTE(SUBSTITUTE(TRIM(A782),""-"",""/""),""."",""/"&amp;""")),""dd/mm/yyyy""),
        TRIM(A782)
      )
    )
  )
)
"),"26/10/2024")</f>
        <v>26/10/2024</v>
      </c>
      <c r="L782" s="20">
        <v>45591.0</v>
      </c>
      <c r="M782" s="21" t="str">
        <f>IFERROR(__xludf.DUMMYFUNCTION("PROPER(TRIM(
  REGEXREPLACE(
    REGEXREPLACE(
      SUBSTITUTE(SUBSTITUTE(SUBSTITUTE(SUBSTITUTE(SUBSTITUTE(SUBSTITUTE(SUBSTITUTE(SUBSTITUTE(SUBSTITUTE(SUBSTITUTE(SUBSTITUTE(
        B782,""√©"",""é""),""√°"",""á""),""√±"",""ñ""),""√≥"",""ó""),""√â"",""é"&amp;"""),""√Å"",""á""),""√ç"",""í""),""√Ç"",""Í""),""√Â"",""é""),""√≠"",""í""),""√º"",""ú""),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82" s="22" t="str">
        <f>IFERROR(__xludf.DUMMYFUNCTION("SPLIT(
  TRIM(
    SUBSTITUTE(
      SUBSTITUTE(
        SUBSTITUTE(
          SUBSTITUTE(
            C782,
            ""√©"", ""é""
          ),
          ""√±"", ""ñ""
        ),
        ""√°"", ""á""
      ),
      ""√≥"", ""ó""
    )
  ),
  ""-""
)
"),"Teléfono")</f>
        <v>Teléfono</v>
      </c>
      <c r="O782" s="22" t="str">
        <f>IFERROR(__xludf.DUMMYFUNCTION("""COMPUTED_VALUE"""),"Gama media")</f>
        <v>Gama media</v>
      </c>
      <c r="P782" s="22" t="str">
        <f>IFERROR(__xludf.DUMMYFUNCTION("""COMPUTED_VALUE"""),"8GB")</f>
        <v>8GB</v>
      </c>
      <c r="Q782" s="23">
        <f t="shared" si="1"/>
        <v>403.48</v>
      </c>
      <c r="R782" s="22">
        <f t="shared" si="2"/>
        <v>2</v>
      </c>
      <c r="S782" s="23">
        <f t="shared" si="3"/>
        <v>806.96</v>
      </c>
      <c r="T782" s="22" t="str">
        <f>IFERROR(__xludf.DUMMYFUNCTION("PROPER(TRIM(
  LET(
    texto1, REGEXREPLACE(G782,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"),"Judith José María Menchaca Nieves")</f>
        <v>Judith José María Menchaca Nieves</v>
      </c>
      <c r="U782" s="22" t="str">
        <f t="shared" si="4"/>
        <v>bf0d8fdb-9d95-48a0-8ea7-0981d07129f1</v>
      </c>
      <c r="V782" s="24" t="str">
        <f t="shared" si="5"/>
        <v>Teléfono Gama media 8GB</v>
      </c>
    </row>
    <row r="783" ht="15.75" customHeight="1">
      <c r="A783" s="36">
        <v>45514.0</v>
      </c>
      <c r="B783" s="2" t="s">
        <v>38</v>
      </c>
      <c r="C783" s="2" t="s">
        <v>111</v>
      </c>
      <c r="D783" s="7">
        <v>2172.79</v>
      </c>
      <c r="E783" s="2">
        <v>4.0</v>
      </c>
      <c r="F783" s="7">
        <v>8691.16</v>
      </c>
      <c r="G783" s="2" t="s">
        <v>2652</v>
      </c>
      <c r="H783" s="2" t="s">
        <v>2653</v>
      </c>
      <c r="I783" s="2" t="s">
        <v>2654</v>
      </c>
      <c r="K783" s="25" t="str">
        <f>IFERROR(__xludf.DUMMYFUNCTION("IF(ISBLANK(A783),
  """",
  IF(ISNUMBER(A783),
    TEXT(A783,""dd/mm/yyyy""),
    IF(
      REGEXMATCH(TRIM(A783),""^\d{1,2}/\d{1,2}/\d{4}$""),
      TRIM(A783),
      IFERROR(
        TEXT(DATEVALUE(SUBSTITUTE(SUBSTITUTE(TRIM(A783),""-"",""/""),""."",""/"&amp;""")),""dd/mm/yyyy""),
        TRIM(A783)
      )
    )
  )
)
"),"10/08/2024")</f>
        <v>10/08/2024</v>
      </c>
      <c r="L783" s="26">
        <v>45514.0</v>
      </c>
      <c r="M783" s="27" t="str">
        <f>IFERROR(__xludf.DUMMYFUNCTION("PROPER(TRIM(
  REGEXREPLACE(
    REGEXREPLACE(
      SUBSTITUTE(SUBSTITUTE(SUBSTITUTE(SUBSTITUTE(SUBSTITUTE(SUBSTITUTE(SUBSTITUTE(SUBSTITUTE(SUBSTITUTE(SUBSTITUTE(SUBSTITUTE(
        B783,""√©"",""é""),""√°"",""á""),""√±"",""ñ""),""√≥"",""ó""),""√â"",""é"&amp;"""),""√Å"",""á""),""√ç"",""í""),""√Ç"",""Í""),""√Â"",""é""),""√≠"",""í""),""√º"",""ú""),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83" s="28" t="str">
        <f>IFERROR(__xludf.DUMMYFUNCTION("SPLIT(
  TRIM(
    SUBSTITUTE(
      SUBSTITUTE(
        SUBSTITUTE(
          SUBSTITUTE(
            C783,
            ""√©"", ""é""
          ),
          ""√±"", ""ñ""
        ),
        ""√°"", ""á""
      ),
      ""√≥"", ""ó""
    )
  ),
  ""-""
)
"),"Tablet")</f>
        <v>Tablet</v>
      </c>
      <c r="O783" s="28" t="str">
        <f>IFERROR(__xludf.DUMMYFUNCTION("""COMPUTED_VALUE"""),"Estándar")</f>
        <v>Estándar</v>
      </c>
      <c r="P783" s="28" t="str">
        <f>IFERROR(__xludf.DUMMYFUNCTION("""COMPUTED_VALUE"""),"16GB")</f>
        <v>16GB</v>
      </c>
      <c r="Q783" s="29">
        <f t="shared" si="1"/>
        <v>2172.79</v>
      </c>
      <c r="R783" s="28">
        <f t="shared" si="2"/>
        <v>4</v>
      </c>
      <c r="S783" s="29">
        <f t="shared" si="3"/>
        <v>8691.16</v>
      </c>
      <c r="T783" s="28" t="str">
        <f>IFERROR(__xludf.DUMMYFUNCTION("PROPER(TRIM(
  LET(
    texto1, REGEXREPLACE(G783,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"),"Lucas Mendoza")</f>
        <v>Lucas Mendoza</v>
      </c>
      <c r="U783" s="28" t="str">
        <f t="shared" si="4"/>
        <v>469f8a63-5545-411e-bc81-bc156cf61fd4</v>
      </c>
      <c r="V783" s="30" t="str">
        <f t="shared" si="5"/>
        <v>Tablet Estándar 16GB</v>
      </c>
    </row>
    <row r="784" ht="15.75" customHeight="1">
      <c r="A784" s="36">
        <v>45424.0</v>
      </c>
      <c r="B784" s="2" t="s">
        <v>38</v>
      </c>
      <c r="C784" s="2" t="s">
        <v>11</v>
      </c>
      <c r="D784" s="7">
        <v>892.88</v>
      </c>
      <c r="E784" s="2">
        <v>5.0</v>
      </c>
      <c r="F784" s="7">
        <v>4464.4</v>
      </c>
      <c r="G784" s="2" t="s">
        <v>2655</v>
      </c>
      <c r="H784" s="2" t="s">
        <v>2656</v>
      </c>
      <c r="I784" s="2" t="s">
        <v>2657</v>
      </c>
      <c r="K784" s="19" t="str">
        <f>IFERROR(__xludf.DUMMYFUNCTION("IF(ISBLANK(A784),
  """",
  IF(ISNUMBER(A784),
    TEXT(A784,""dd/mm/yyyy""),
    IF(
      REGEXMATCH(TRIM(A784),""^\d{1,2}/\d{1,2}/\d{4}$""),
      TRIM(A784),
      IFERROR(
        TEXT(DATEVALUE(SUBSTITUTE(SUBSTITUTE(TRIM(A784),""-"",""/""),""."",""/"&amp;""")),""dd/mm/yyyy""),
        TRIM(A784)
      )
    )
  )
)
"),"12/05/2024")</f>
        <v>12/05/2024</v>
      </c>
      <c r="L784" s="20">
        <v>45424.0</v>
      </c>
      <c r="M784" s="21" t="str">
        <f>IFERROR(__xludf.DUMMYFUNCTION("PROPER(TRIM(
  REGEXREPLACE(
    REGEXREPLACE(
      SUBSTITUTE(SUBSTITUTE(SUBSTITUTE(SUBSTITUTE(SUBSTITUTE(SUBSTITUTE(SUBSTITUTE(SUBSTITUTE(SUBSTITUTE(SUBSTITUTE(SUBSTITUTE(
        B784,""√©"",""é""),""√°"",""á""),""√±"",""ñ""),""√≥"",""ó""),""√â"",""é"&amp;"""),""√Å"",""á""),""√ç"",""í""),""√Ç"",""Í""),""√Â"",""é""),""√≠"",""í""),""√º"",""ú""),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84" s="22" t="str">
        <f>IFERROR(__xludf.DUMMYFUNCTION("SPLIT(
  TRIM(
    SUBSTITUTE(
      SUBSTITUTE(
        SUBSTITUTE(
          SUBSTITUTE(
            C784,
            ""√©"", ""é""
          ),
          ""√±"", ""ñ""
        ),
        ""√°"", ""á""
      ),
      ""√≥"", ""ó""
    )
  ),
  ""-""
)
"),"Auriculares")</f>
        <v>Auriculares</v>
      </c>
      <c r="O784" s="22" t="str">
        <f>IFERROR(__xludf.DUMMYFUNCTION("""COMPUTED_VALUE"""),"Con cable")</f>
        <v>Con cable</v>
      </c>
      <c r="P784" s="22" t="str">
        <f>IFERROR(__xludf.DUMMYFUNCTION("""COMPUTED_VALUE"""),"32GB")</f>
        <v>32GB</v>
      </c>
      <c r="Q784" s="23">
        <f t="shared" si="1"/>
        <v>892.88</v>
      </c>
      <c r="R784" s="22">
        <f t="shared" si="2"/>
        <v>5</v>
      </c>
      <c r="S784" s="23">
        <f t="shared" si="3"/>
        <v>4464.4</v>
      </c>
      <c r="T784" s="22" t="str">
        <f>IFERROR(__xludf.DUMMYFUNCTION("PROPER(TRIM(
  LET(
    texto1, REGEXREPLACE(G784,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"),"Micaela Santacruz")</f>
        <v>Micaela Santacruz</v>
      </c>
      <c r="U784" s="22" t="str">
        <f t="shared" si="4"/>
        <v>7b2e59df-2c66-40f3-a7c7-a4cc494f7f5e</v>
      </c>
      <c r="V784" s="24" t="str">
        <f t="shared" si="5"/>
        <v>Auriculares Con cable 32GB</v>
      </c>
    </row>
    <row r="785" ht="15.75" customHeight="1">
      <c r="A785" s="6">
        <v>45618.0</v>
      </c>
      <c r="B785" s="2" t="s">
        <v>27</v>
      </c>
      <c r="C785" s="2" t="s">
        <v>11</v>
      </c>
      <c r="D785" s="7">
        <v>463.17</v>
      </c>
      <c r="E785" s="2">
        <v>3.0</v>
      </c>
      <c r="F785" s="7">
        <v>1389.51</v>
      </c>
      <c r="G785" s="2" t="s">
        <v>2658</v>
      </c>
      <c r="H785" s="2" t="s">
        <v>2659</v>
      </c>
      <c r="I785" s="2" t="s">
        <v>2660</v>
      </c>
      <c r="K785" s="25" t="str">
        <f>IFERROR(__xludf.DUMMYFUNCTION("IF(ISBLANK(A785),
  """",
  IF(ISNUMBER(A785),
    TEXT(A785,""dd/mm/yyyy""),
    IF(
      REGEXMATCH(TRIM(A785),""^\d{1,2}/\d{1,2}/\d{4}$""),
      TRIM(A785),
      IFERROR(
        TEXT(DATEVALUE(SUBSTITUTE(SUBSTITUTE(TRIM(A785),""-"",""/""),""."",""/"&amp;""")),""dd/mm/yyyy""),
        TRIM(A785)
      )
    )
  )
)
"),"22/11/2024")</f>
        <v>22/11/2024</v>
      </c>
      <c r="L785" s="26">
        <v>45618.0</v>
      </c>
      <c r="M785" s="27" t="str">
        <f>IFERROR(__xludf.DUMMYFUNCTION("PROPER(TRIM(
  REGEXREPLACE(
    REGEXREPLACE(
      SUBSTITUTE(SUBSTITUTE(SUBSTITUTE(SUBSTITUTE(SUBSTITUTE(SUBSTITUTE(SUBSTITUTE(SUBSTITUTE(SUBSTITUTE(SUBSTITUTE(SUBSTITUTE(
        B785,""√©"",""é""),""√°"",""á""),""√±"",""ñ""),""√≥"",""ó""),""√â"",""é"&amp;"""),""√Å"",""á""),""√ç"",""í""),""√Ç"",""Í""),""√Â"",""é""),""√≠"",""í""),""√º"",""ú""),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85" s="28" t="str">
        <f>IFERROR(__xludf.DUMMYFUNCTION("SPLIT(
  TRIM(
    SUBSTITUTE(
      SUBSTITUTE(
        SUBSTITUTE(
          SUBSTITUTE(
            C785,
            ""√©"", ""é""
          ),
          ""√±"", ""ñ""
        ),
        ""√°"", ""á""
      ),
      ""√≥"", ""ó""
    )
  ),
  ""-""
)
"),"Auriculares")</f>
        <v>Auriculares</v>
      </c>
      <c r="O785" s="28" t="str">
        <f>IFERROR(__xludf.DUMMYFUNCTION("""COMPUTED_VALUE"""),"Con cable")</f>
        <v>Con cable</v>
      </c>
      <c r="P785" s="28" t="str">
        <f>IFERROR(__xludf.DUMMYFUNCTION("""COMPUTED_VALUE"""),"32GB")</f>
        <v>32GB</v>
      </c>
      <c r="Q785" s="29">
        <f t="shared" si="1"/>
        <v>463.17</v>
      </c>
      <c r="R785" s="28">
        <f t="shared" si="2"/>
        <v>3</v>
      </c>
      <c r="S785" s="29">
        <f t="shared" si="3"/>
        <v>1389.51</v>
      </c>
      <c r="T785" s="28" t="str">
        <f>IFERROR(__xludf.DUMMYFUNCTION("PROPER(TRIM(
  LET(
    texto1, REGEXREPLACE(G785,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"),"Amelia Baca")</f>
        <v>Amelia Baca</v>
      </c>
      <c r="U785" s="28" t="str">
        <f t="shared" si="4"/>
        <v>54181b0d-ea89-4121-a212-605c632d4222</v>
      </c>
      <c r="V785" s="30" t="str">
        <f t="shared" si="5"/>
        <v>Auriculares Con cable 32GB</v>
      </c>
    </row>
    <row r="786" ht="15.75" customHeight="1">
      <c r="A786" s="6">
        <v>45644.0</v>
      </c>
      <c r="B786" s="2" t="s">
        <v>27</v>
      </c>
      <c r="C786" s="2" t="s">
        <v>397</v>
      </c>
      <c r="D786" s="7">
        <v>944.98</v>
      </c>
      <c r="E786" s="2">
        <v>1.0</v>
      </c>
      <c r="F786" s="7">
        <v>944.98</v>
      </c>
      <c r="G786" s="2" t="s">
        <v>2661</v>
      </c>
      <c r="H786" s="2" t="s">
        <v>2662</v>
      </c>
      <c r="I786" s="2" t="s">
        <v>2663</v>
      </c>
      <c r="K786" s="19" t="str">
        <f>IFERROR(__xludf.DUMMYFUNCTION("IF(ISBLANK(A786),
  """",
  IF(ISNUMBER(A786),
    TEXT(A786,""dd/mm/yyyy""),
    IF(
      REGEXMATCH(TRIM(A786),""^\d{1,2}/\d{1,2}/\d{4}$""),
      TRIM(A786),
      IFERROR(
        TEXT(DATEVALUE(SUBSTITUTE(SUBSTITUTE(TRIM(A786),""-"",""/""),""."",""/"&amp;""")),""dd/mm/yyyy""),
        TRIM(A786)
      )
    )
  )
)
"),"18/12/2024")</f>
        <v>18/12/2024</v>
      </c>
      <c r="L786" s="20">
        <v>45644.0</v>
      </c>
      <c r="M786" s="21" t="str">
        <f>IFERROR(__xludf.DUMMYFUNCTION("PROPER(TRIM(
  REGEXREPLACE(
    REGEXREPLACE(
      SUBSTITUTE(SUBSTITUTE(SUBSTITUTE(SUBSTITUTE(SUBSTITUTE(SUBSTITUTE(SUBSTITUTE(SUBSTITUTE(SUBSTITUTE(SUBSTITUTE(SUBSTITUTE(
        B786,""√©"",""é""),""√°"",""á""),""√±"",""ñ""),""√≥"",""ó""),""√â"",""é"&amp;"""),""√Å"",""á""),""√ç"",""í""),""√Ç"",""Í""),""√Â"",""é""),""√≠"",""í""),""√º"",""ú""),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786" s="22" t="str">
        <f>IFERROR(__xludf.DUMMYFUNCTION("SPLIT(
  TRIM(
    SUBSTITUTE(
      SUBSTITUTE(
        SUBSTITUTE(
          SUBSTITUTE(
            C786,
            ""√©"", ""é""
          ),
          ""√±"", ""ñ""
        ),
        ""√°"", ""á""
      ),
      ""√≥"", ""ó""
    )
  ),
  ""-""
)
"),"Teléfono")</f>
        <v>Teléfono</v>
      </c>
      <c r="O786" s="22" t="str">
        <f>IFERROR(__xludf.DUMMYFUNCTION("""COMPUTED_VALUE"""),"Gama media")</f>
        <v>Gama media</v>
      </c>
      <c r="P786" s="22" t="str">
        <f>IFERROR(__xludf.DUMMYFUNCTION("""COMPUTED_VALUE"""),"32GB")</f>
        <v>32GB</v>
      </c>
      <c r="Q786" s="23">
        <f t="shared" si="1"/>
        <v>944.98</v>
      </c>
      <c r="R786" s="22">
        <f t="shared" si="2"/>
        <v>1</v>
      </c>
      <c r="S786" s="23">
        <f t="shared" si="3"/>
        <v>944.98</v>
      </c>
      <c r="T786" s="22" t="str">
        <f>IFERROR(__xludf.DUMMYFUNCTION("PROPER(TRIM(
  LET(
    texto1, REGEXREPLACE(G786,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"),"Nelly Vaca Santana")</f>
        <v>Nelly Vaca Santana</v>
      </c>
      <c r="U786" s="22" t="str">
        <f t="shared" si="4"/>
        <v>38689b3f-5f78-4f2d-8f10-c3c9cd750a01</v>
      </c>
      <c r="V786" s="24" t="str">
        <f t="shared" si="5"/>
        <v>Teléfono Gama media 32GB</v>
      </c>
    </row>
    <row r="787" ht="15.75" customHeight="1">
      <c r="A787" s="6">
        <v>45651.0</v>
      </c>
      <c r="B787" s="2" t="s">
        <v>38</v>
      </c>
      <c r="C787" s="2" t="s">
        <v>186</v>
      </c>
      <c r="D787" s="7">
        <v>848.42</v>
      </c>
      <c r="E787" s="2">
        <v>3.0</v>
      </c>
      <c r="F787" s="7">
        <v>2545.26</v>
      </c>
      <c r="G787" s="2" t="s">
        <v>2664</v>
      </c>
      <c r="H787" s="2" t="s">
        <v>2665</v>
      </c>
      <c r="I787" s="3" t="s">
        <v>2666</v>
      </c>
      <c r="K787" s="25" t="str">
        <f>IFERROR(__xludf.DUMMYFUNCTION("IF(ISBLANK(A787),
  """",
  IF(ISNUMBER(A787),
    TEXT(A787,""dd/mm/yyyy""),
    IF(
      REGEXMATCH(TRIM(A787),""^\d{1,2}/\d{1,2}/\d{4}$""),
      TRIM(A787),
      IFERROR(
        TEXT(DATEVALUE(SUBSTITUTE(SUBSTITUTE(TRIM(A787),""-"",""/""),""."",""/"&amp;""")),""dd/mm/yyyy""),
        TRIM(A787)
      )
    )
  )
)
"),"25/12/2024")</f>
        <v>25/12/2024</v>
      </c>
      <c r="L787" s="26">
        <v>45651.0</v>
      </c>
      <c r="M787" s="27" t="str">
        <f>IFERROR(__xludf.DUMMYFUNCTION("PROPER(TRIM(
  REGEXREPLACE(
    REGEXREPLACE(
      SUBSTITUTE(SUBSTITUTE(SUBSTITUTE(SUBSTITUTE(SUBSTITUTE(SUBSTITUTE(SUBSTITUTE(SUBSTITUTE(SUBSTITUTE(SUBSTITUTE(SUBSTITUTE(
        B787,""√©"",""é""),""√°"",""á""),""√±"",""ñ""),""√≥"",""ó""),""√â"",""é"&amp;"""),""√Å"",""á""),""√ç"",""í""),""√Ç"",""Í""),""√Â"",""é""),""√≠"",""í""),""√º"",""ú""),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87" s="28" t="str">
        <f>IFERROR(__xludf.DUMMYFUNCTION("SPLIT(
  TRIM(
    SUBSTITUTE(
      SUBSTITUTE(
        SUBSTITUTE(
          SUBSTITUTE(
            C787,
            ""√©"", ""é""
          ),
          ""√±"", ""ñ""
        ),
        ""√°"", ""á""
      ),
      ""√≥"", ""ó""
    )
  ),
  ""-""
)
"),"Tablet")</f>
        <v>Tablet</v>
      </c>
      <c r="O787" s="28" t="str">
        <f>IFERROR(__xludf.DUMMYFUNCTION("""COMPUTED_VALUE"""),"Mini")</f>
        <v>Mini</v>
      </c>
      <c r="P787" s="28" t="str">
        <f>IFERROR(__xludf.DUMMYFUNCTION("""COMPUTED_VALUE"""),"8GB")</f>
        <v>8GB</v>
      </c>
      <c r="Q787" s="29">
        <f t="shared" si="1"/>
        <v>848.42</v>
      </c>
      <c r="R787" s="28">
        <f t="shared" si="2"/>
        <v>3</v>
      </c>
      <c r="S787" s="29">
        <f t="shared" si="3"/>
        <v>2545.26</v>
      </c>
      <c r="T787" s="28" t="str">
        <f>IFERROR(__xludf.DUMMYFUNCTION("PROPER(TRIM(
  LET(
    texto1, REGEXREPLACE(G787,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"),"Miguel Ángel Alberto Tamayo")</f>
        <v>Miguel Ángel Alberto Tamayo</v>
      </c>
      <c r="U787" s="31" t="str">
        <f t="shared" si="4"/>
        <v>5e092005-bbaf-4295-9ccc-3c9493b48d04</v>
      </c>
      <c r="V787" s="30" t="str">
        <f t="shared" si="5"/>
        <v>Tablet Mini 8GB</v>
      </c>
    </row>
    <row r="788" ht="15.75" customHeight="1">
      <c r="A788" s="6">
        <v>45582.0</v>
      </c>
      <c r="B788" s="2" t="s">
        <v>50</v>
      </c>
      <c r="C788" s="2" t="s">
        <v>172</v>
      </c>
      <c r="D788" s="7">
        <v>303.84</v>
      </c>
      <c r="E788" s="2">
        <v>1.0</v>
      </c>
      <c r="F788" s="7">
        <v>303.84</v>
      </c>
      <c r="G788" s="2" t="s">
        <v>2667</v>
      </c>
      <c r="H788" s="2" t="s">
        <v>2668</v>
      </c>
      <c r="I788" s="2" t="s">
        <v>2669</v>
      </c>
      <c r="K788" s="19" t="str">
        <f>IFERROR(__xludf.DUMMYFUNCTION("IF(ISBLANK(A788),
  """",
  IF(ISNUMBER(A788),
    TEXT(A788,""dd/mm/yyyy""),
    IF(
      REGEXMATCH(TRIM(A788),""^\d{1,2}/\d{1,2}/\d{4}$""),
      TRIM(A788),
      IFERROR(
        TEXT(DATEVALUE(SUBSTITUTE(SUBSTITUTE(TRIM(A788),""-"",""/""),""."",""/"&amp;""")),""dd/mm/yyyy""),
        TRIM(A788)
      )
    )
  )
)
"),"17/10/2024")</f>
        <v>17/10/2024</v>
      </c>
      <c r="L788" s="20">
        <v>45582.0</v>
      </c>
      <c r="M788" s="21" t="str">
        <f>IFERROR(__xludf.DUMMYFUNCTION("PROPER(TRIM(
  REGEXREPLACE(
    REGEXREPLACE(
      SUBSTITUTE(SUBSTITUTE(SUBSTITUTE(SUBSTITUTE(SUBSTITUTE(SUBSTITUTE(SUBSTITUTE(SUBSTITUTE(SUBSTITUTE(SUBSTITUTE(SUBSTITUTE(
        B788,""√©"",""é""),""√°"",""á""),""√±"",""ñ""),""√≥"",""ó""),""√â"",""é"&amp;"""),""√Å"",""á""),""√ç"",""í""),""√Ç"",""Í""),""√Â"",""é""),""√≠"",""í""),""√º"",""ú""),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88" s="22" t="str">
        <f>IFERROR(__xludf.DUMMYFUNCTION("SPLIT(
  TRIM(
    SUBSTITUTE(
      SUBSTITUTE(
        SUBSTITUTE(
          SUBSTITUTE(
            C788,
            ""√©"", ""é""
          ),
          ""√±"", ""ñ""
        ),
        ""√°"", ""á""
      ),
      ""√≥"", ""ó""
    )
  ),
  ""-""
)
"),"Laptop")</f>
        <v>Laptop</v>
      </c>
      <c r="O788" s="22" t="str">
        <f>IFERROR(__xludf.DUMMYFUNCTION("""COMPUTED_VALUE"""),"Oficina")</f>
        <v>Oficina</v>
      </c>
      <c r="P788" s="22" t="str">
        <f>IFERROR(__xludf.DUMMYFUNCTION("""COMPUTED_VALUE"""),"8GB")</f>
        <v>8GB</v>
      </c>
      <c r="Q788" s="23">
        <f t="shared" si="1"/>
        <v>303.84</v>
      </c>
      <c r="R788" s="22">
        <f t="shared" si="2"/>
        <v>1</v>
      </c>
      <c r="S788" s="23">
        <f t="shared" si="3"/>
        <v>303.84</v>
      </c>
      <c r="T788" s="22" t="str">
        <f>IFERROR(__xludf.DUMMYFUNCTION("PROPER(TRIM(
  LET(
    texto1, REGEXREPLACE(G788,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 Manuel Arriaga")</f>
        <v>Luis Manuel Arriaga</v>
      </c>
      <c r="U788" s="22" t="str">
        <f t="shared" si="4"/>
        <v>7fcd384b-a0e3-4e0f-a707-c4a8a1b4c112</v>
      </c>
      <c r="V788" s="24" t="str">
        <f t="shared" si="5"/>
        <v>Laptop Oficina 8GB</v>
      </c>
    </row>
    <row r="789" ht="15.75" customHeight="1">
      <c r="A789" s="6">
        <v>45624.0</v>
      </c>
      <c r="B789" s="2" t="s">
        <v>38</v>
      </c>
      <c r="C789" s="2" t="s">
        <v>28</v>
      </c>
      <c r="D789" s="7">
        <v>684.7</v>
      </c>
      <c r="E789" s="2">
        <v>5.0</v>
      </c>
      <c r="F789" s="7">
        <v>3423.5</v>
      </c>
      <c r="G789" s="2" t="s">
        <v>2670</v>
      </c>
      <c r="H789" s="2" t="s">
        <v>2671</v>
      </c>
      <c r="I789" s="2" t="s">
        <v>2672</v>
      </c>
      <c r="K789" s="25" t="str">
        <f>IFERROR(__xludf.DUMMYFUNCTION("IF(ISBLANK(A789),
  """",
  IF(ISNUMBER(A789),
    TEXT(A789,""dd/mm/yyyy""),
    IF(
      REGEXMATCH(TRIM(A789),""^\d{1,2}/\d{1,2}/\d{4}$""),
      TRIM(A789),
      IFERROR(
        TEXT(DATEVALUE(SUBSTITUTE(SUBSTITUTE(TRIM(A789),""-"",""/""),""."",""/"&amp;""")),""dd/mm/yyyy""),
        TRIM(A789)
      )
    )
  )
)
"),"28/11/2024")</f>
        <v>28/11/2024</v>
      </c>
      <c r="L789" s="26">
        <v>45624.0</v>
      </c>
      <c r="M789" s="27" t="str">
        <f>IFERROR(__xludf.DUMMYFUNCTION("PROPER(TRIM(
  REGEXREPLACE(
    REGEXREPLACE(
      SUBSTITUTE(SUBSTITUTE(SUBSTITUTE(SUBSTITUTE(SUBSTITUTE(SUBSTITUTE(SUBSTITUTE(SUBSTITUTE(SUBSTITUTE(SUBSTITUTE(SUBSTITUTE(
        B789,""√©"",""é""),""√°"",""á""),""√±"",""ñ""),""√≥"",""ó""),""√â"",""é"&amp;"""),""√Å"",""á""),""√ç"",""í""),""√Ç"",""Í""),""√Â"",""é""),""√≠"",""í""),""√º"",""ú""),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89" s="28" t="str">
        <f>IFERROR(__xludf.DUMMYFUNCTION("SPLIT(
  TRIM(
    SUBSTITUTE(
      SUBSTITUTE(
        SUBSTITUTE(
          SUBSTITUTE(
            C789,
            ""√©"", ""é""
          ),
          ""√±"", ""ñ""
        ),
        ""√°"", ""á""
      ),
      ""√≥"", ""ó""
    )
  ),
  ""-""
)
"),"Tablet")</f>
        <v>Tablet</v>
      </c>
      <c r="O789" s="28" t="str">
        <f>IFERROR(__xludf.DUMMYFUNCTION("""COMPUTED_VALUE"""),"Pro")</f>
        <v>Pro</v>
      </c>
      <c r="P789" s="28" t="str">
        <f>IFERROR(__xludf.DUMMYFUNCTION("""COMPUTED_VALUE"""),"8GB")</f>
        <v>8GB</v>
      </c>
      <c r="Q789" s="29">
        <f t="shared" si="1"/>
        <v>684.7</v>
      </c>
      <c r="R789" s="28">
        <f t="shared" si="2"/>
        <v>5</v>
      </c>
      <c r="S789" s="29">
        <f t="shared" si="3"/>
        <v>3423.5</v>
      </c>
      <c r="T789" s="28" t="str">
        <f>IFERROR(__xludf.DUMMYFUNCTION("PROPER(TRIM(
  LET(
    texto1, REGEXREPLACE(G789,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"),"Adela Alcala")</f>
        <v>Adela Alcala</v>
      </c>
      <c r="U789" s="28" t="str">
        <f t="shared" si="4"/>
        <v>b402f6a3-5340-4177-a05b-5f6189a1ccf6</v>
      </c>
      <c r="V789" s="30" t="str">
        <f t="shared" si="5"/>
        <v>Tablet Pro 8GB</v>
      </c>
    </row>
    <row r="790" ht="15.75" customHeight="1">
      <c r="A790" s="6">
        <v>45644.0</v>
      </c>
      <c r="B790" s="2" t="s">
        <v>16</v>
      </c>
      <c r="C790" s="2" t="s">
        <v>86</v>
      </c>
      <c r="D790" s="7">
        <v>1876.74</v>
      </c>
      <c r="E790" s="2">
        <v>3.0</v>
      </c>
      <c r="F790" s="7">
        <v>5630.22</v>
      </c>
      <c r="G790" s="2" t="s">
        <v>2673</v>
      </c>
      <c r="H790" s="2" t="s">
        <v>2674</v>
      </c>
      <c r="I790" s="2" t="s">
        <v>2675</v>
      </c>
      <c r="K790" s="19" t="str">
        <f>IFERROR(__xludf.DUMMYFUNCTION("IF(ISBLANK(A790),
  """",
  IF(ISNUMBER(A790),
    TEXT(A790,""dd/mm/yyyy""),
    IF(
      REGEXMATCH(TRIM(A790),""^\d{1,2}/\d{1,2}/\d{4}$""),
      TRIM(A790),
      IFERROR(
        TEXT(DATEVALUE(SUBSTITUTE(SUBSTITUTE(TRIM(A790),""-"",""/""),""."",""/"&amp;""")),""dd/mm/yyyy""),
        TRIM(A790)
      )
    )
  )
)
"),"18/12/2024")</f>
        <v>18/12/2024</v>
      </c>
      <c r="L790" s="20">
        <v>45644.0</v>
      </c>
      <c r="M790" s="21" t="str">
        <f>IFERROR(__xludf.DUMMYFUNCTION("PROPER(TRIM(
  REGEXREPLACE(
    REGEXREPLACE(
      SUBSTITUTE(SUBSTITUTE(SUBSTITUTE(SUBSTITUTE(SUBSTITUTE(SUBSTITUTE(SUBSTITUTE(SUBSTITUTE(SUBSTITUTE(SUBSTITUTE(SUBSTITUTE(
        B790,""√©"",""é""),""√°"",""á""),""√±"",""ñ""),""√≥"",""ó""),""√â"",""é"&amp;"""),""√Å"",""á""),""√ç"",""í""),""√Ç"",""Í""),""√Â"",""é""),""√≠"",""í""),""√º"",""ú""),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790" s="22" t="str">
        <f>IFERROR(__xludf.DUMMYFUNCTION("SPLIT(
  TRIM(
    SUBSTITUTE(
      SUBSTITUTE(
        SUBSTITUTE(
          SUBSTITUTE(
            C790,
            ""√©"", ""é""
          ),
          ""√±"", ""ñ""
        ),
        ""√°"", ""á""
      ),
      ""√≥"", ""ó""
    )
  ),
  ""-""
)
"),"Tablet")</f>
        <v>Tablet</v>
      </c>
      <c r="O790" s="22" t="str">
        <f>IFERROR(__xludf.DUMMYFUNCTION("""COMPUTED_VALUE"""),"Pro")</f>
        <v>Pro</v>
      </c>
      <c r="P790" s="22" t="str">
        <f>IFERROR(__xludf.DUMMYFUNCTION("""COMPUTED_VALUE"""),"32GB")</f>
        <v>32GB</v>
      </c>
      <c r="Q790" s="23">
        <f t="shared" si="1"/>
        <v>1876.74</v>
      </c>
      <c r="R790" s="22">
        <f t="shared" si="2"/>
        <v>3</v>
      </c>
      <c r="S790" s="23">
        <f t="shared" si="3"/>
        <v>5630.22</v>
      </c>
      <c r="T790" s="22" t="str">
        <f>IFERROR(__xludf.DUMMYFUNCTION("PROPER(TRIM(
  LET(
    texto1, REGEXREPLACE(G790,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"),"Luisa Eugenio Vásquez Alemán")</f>
        <v>Luisa Eugenio Vásquez Alemán</v>
      </c>
      <c r="U790" s="22" t="str">
        <f t="shared" si="4"/>
        <v>c1fae86b-bd50-4387-a36c-f6dd0feee517</v>
      </c>
      <c r="V790" s="24" t="str">
        <f t="shared" si="5"/>
        <v>Tablet Pro 32GB</v>
      </c>
    </row>
    <row r="791" ht="15.75" customHeight="1">
      <c r="A791" s="6">
        <v>45648.0</v>
      </c>
      <c r="B791" s="2" t="s">
        <v>38</v>
      </c>
      <c r="C791" s="2" t="s">
        <v>508</v>
      </c>
      <c r="D791" s="7">
        <v>1770.14</v>
      </c>
      <c r="E791" s="2">
        <v>1.0</v>
      </c>
      <c r="F791" s="7">
        <v>1770.14</v>
      </c>
      <c r="G791" s="2" t="s">
        <v>2676</v>
      </c>
      <c r="H791" s="2" t="s">
        <v>2677</v>
      </c>
      <c r="I791" s="2" t="s">
        <v>2678</v>
      </c>
      <c r="K791" s="25" t="str">
        <f>IFERROR(__xludf.DUMMYFUNCTION("IF(ISBLANK(A791),
  """",
  IF(ISNUMBER(A791),
    TEXT(A791,""dd/mm/yyyy""),
    IF(
      REGEXMATCH(TRIM(A791),""^\d{1,2}/\d{1,2}/\d{4}$""),
      TRIM(A791),
      IFERROR(
        TEXT(DATEVALUE(SUBSTITUTE(SUBSTITUTE(TRIM(A791),""-"",""/""),""."",""/"&amp;""")),""dd/mm/yyyy""),
        TRIM(A791)
      )
    )
  )
)
"),"22/12/2024")</f>
        <v>22/12/2024</v>
      </c>
      <c r="L791" s="26">
        <v>45648.0</v>
      </c>
      <c r="M791" s="27" t="str">
        <f>IFERROR(__xludf.DUMMYFUNCTION("PROPER(TRIM(
  REGEXREPLACE(
    REGEXREPLACE(
      SUBSTITUTE(SUBSTITUTE(SUBSTITUTE(SUBSTITUTE(SUBSTITUTE(SUBSTITUTE(SUBSTITUTE(SUBSTITUTE(SUBSTITUTE(SUBSTITUTE(SUBSTITUTE(
        B791,""√©"",""é""),""√°"",""á""),""√±"",""ñ""),""√≥"",""ó""),""√â"",""é"&amp;"""),""√Å"",""á""),""√ç"",""í""),""√Ç"",""Í""),""√Â"",""é""),""√≠"",""í""),""√º"",""ú""),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91" s="28" t="str">
        <f>IFERROR(__xludf.DUMMYFUNCTION("SPLIT(
  TRIM(
    SUBSTITUTE(
      SUBSTITUTE(
        SUBSTITUTE(
          SUBSTITUTE(
            C791,
            ""√©"", ""é""
          ),
          ""√±"", ""ñ""
        ),
        ""√°"", ""á""
      ),
      ""√≥"", ""ó""
    )
  ),
  ""-""
)
"),"Auriculares")</f>
        <v>Auriculares</v>
      </c>
      <c r="O791" s="28" t="str">
        <f>IFERROR(__xludf.DUMMYFUNCTION("""COMPUTED_VALUE"""),"Cancelación de ruido")</f>
        <v>Cancelación de ruido</v>
      </c>
      <c r="P791" s="28" t="str">
        <f>IFERROR(__xludf.DUMMYFUNCTION("""COMPUTED_VALUE"""),"16GB")</f>
        <v>16GB</v>
      </c>
      <c r="Q791" s="29">
        <f t="shared" si="1"/>
        <v>1770.14</v>
      </c>
      <c r="R791" s="28">
        <f t="shared" si="2"/>
        <v>1</v>
      </c>
      <c r="S791" s="29">
        <f t="shared" si="3"/>
        <v>1770.14</v>
      </c>
      <c r="T791" s="28" t="str">
        <f>IFERROR(__xludf.DUMMYFUNCTION("PROPER(TRIM(
  LET(
    texto1, REGEXREPLACE(G791,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"),"Jorge Luis María Calderón Valdivia")</f>
        <v>Jorge Luis María Calderón Valdivia</v>
      </c>
      <c r="U791" s="28" t="str">
        <f t="shared" si="4"/>
        <v>590172c6-7ce0-48b6-82b2-7436a3631331</v>
      </c>
      <c r="V791" s="30" t="str">
        <f t="shared" si="5"/>
        <v>Auriculares Cancelación de ruido 16GB</v>
      </c>
    </row>
    <row r="792" ht="15.75" customHeight="1">
      <c r="A792" s="36">
        <v>45516.0</v>
      </c>
      <c r="B792" s="2" t="s">
        <v>101</v>
      </c>
      <c r="C792" s="2" t="s">
        <v>226</v>
      </c>
      <c r="D792" s="7">
        <v>815.48</v>
      </c>
      <c r="E792" s="2">
        <v>2.0</v>
      </c>
      <c r="F792" s="7">
        <v>1630.96</v>
      </c>
      <c r="G792" s="2" t="s">
        <v>2679</v>
      </c>
      <c r="H792" s="2" t="s">
        <v>2680</v>
      </c>
      <c r="I792" s="2" t="s">
        <v>2681</v>
      </c>
      <c r="K792" s="19" t="str">
        <f>IFERROR(__xludf.DUMMYFUNCTION("IF(ISBLANK(A792),
  """",
  IF(ISNUMBER(A792),
    TEXT(A792,""dd/mm/yyyy""),
    IF(
      REGEXMATCH(TRIM(A792),""^\d{1,2}/\d{1,2}/\d{4}$""),
      TRIM(A792),
      IFERROR(
        TEXT(DATEVALUE(SUBSTITUTE(SUBSTITUTE(TRIM(A792),""-"",""/""),""."",""/"&amp;""")),""dd/mm/yyyy""),
        TRIM(A792)
      )
    )
  )
)
"),"12/08/2024")</f>
        <v>12/08/2024</v>
      </c>
      <c r="L792" s="20">
        <v>45516.0</v>
      </c>
      <c r="M792" s="21" t="str">
        <f>IFERROR(__xludf.DUMMYFUNCTION("PROPER(TRIM(
  REGEXREPLACE(
    REGEXREPLACE(
      SUBSTITUTE(SUBSTITUTE(SUBSTITUTE(SUBSTITUTE(SUBSTITUTE(SUBSTITUTE(SUBSTITUTE(SUBSTITUTE(SUBSTITUTE(SUBSTITUTE(SUBSTITUTE(
        B792,""√©"",""é""),""√°"",""á""),""√±"",""ñ""),""√≥"",""ó""),""√â"",""é"&amp;"""),""√Å"",""á""),""√ç"",""í""),""√Ç"",""Í""),""√Â"",""é""),""√≠"",""í""),""√º"",""ú""),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92" s="22" t="str">
        <f>IFERROR(__xludf.DUMMYFUNCTION("SPLIT(
  TRIM(
    SUBSTITUTE(
      SUBSTITUTE(
        SUBSTITUTE(
          SUBSTITUTE(
            C792,
            ""√©"", ""é""
          ),
          ""√±"", ""ñ""
        ),
        ""√°"", ""á""
      ),
      ""√≥"", ""ó""
    )
  ),
  ""-""
)
"),"Tablet")</f>
        <v>Tablet</v>
      </c>
      <c r="O792" s="22" t="str">
        <f>IFERROR(__xludf.DUMMYFUNCTION("""COMPUTED_VALUE"""),"Mini")</f>
        <v>Mini</v>
      </c>
      <c r="P792" s="22" t="str">
        <f>IFERROR(__xludf.DUMMYFUNCTION("""COMPUTED_VALUE"""),"16GB")</f>
        <v>16GB</v>
      </c>
      <c r="Q792" s="23">
        <f t="shared" si="1"/>
        <v>815.48</v>
      </c>
      <c r="R792" s="22">
        <f t="shared" si="2"/>
        <v>2</v>
      </c>
      <c r="S792" s="23">
        <f t="shared" si="3"/>
        <v>1630.96</v>
      </c>
      <c r="T792" s="22" t="str">
        <f>IFERROR(__xludf.DUMMYFUNCTION("PROPER(TRIM(
  LET(
    texto1, REGEXREPLACE(G792,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"),"Marcela Micaela De La Garza Alarcón")</f>
        <v>Marcela Micaela De La Garza Alarcón</v>
      </c>
      <c r="U792" s="22" t="str">
        <f t="shared" si="4"/>
        <v>28276074-9e08-4dbc-9f92-a0e62c97932d</v>
      </c>
      <c r="V792" s="24" t="str">
        <f t="shared" si="5"/>
        <v>Tablet Mini 16GB</v>
      </c>
    </row>
    <row r="793" ht="15.75" customHeight="1">
      <c r="A793" s="6">
        <v>45592.0</v>
      </c>
      <c r="B793" s="2" t="s">
        <v>85</v>
      </c>
      <c r="C793" s="2" t="s">
        <v>191</v>
      </c>
      <c r="D793" s="7">
        <v>986.08</v>
      </c>
      <c r="E793" s="2">
        <v>4.0</v>
      </c>
      <c r="F793" s="7">
        <v>3944.32</v>
      </c>
      <c r="G793" s="2" t="s">
        <v>2682</v>
      </c>
      <c r="H793" s="2" t="s">
        <v>2683</v>
      </c>
      <c r="I793" s="2" t="s">
        <v>2684</v>
      </c>
      <c r="K793" s="25" t="str">
        <f>IFERROR(__xludf.DUMMYFUNCTION("IF(ISBLANK(A793),
  """",
  IF(ISNUMBER(A793),
    TEXT(A793,""dd/mm/yyyy""),
    IF(
      REGEXMATCH(TRIM(A793),""^\d{1,2}/\d{1,2}/\d{4}$""),
      TRIM(A793),
      IFERROR(
        TEXT(DATEVALUE(SUBSTITUTE(SUBSTITUTE(TRIM(A793),""-"",""/""),""."",""/"&amp;""")),""dd/mm/yyyy""),
        TRIM(A793)
      )
    )
  )
)
"),"27/10/2024")</f>
        <v>27/10/2024</v>
      </c>
      <c r="L793" s="26">
        <v>45592.0</v>
      </c>
      <c r="M793" s="27" t="str">
        <f>IFERROR(__xludf.DUMMYFUNCTION("PROPER(TRIM(
  REGEXREPLACE(
    REGEXREPLACE(
      SUBSTITUTE(SUBSTITUTE(SUBSTITUTE(SUBSTITUTE(SUBSTITUTE(SUBSTITUTE(SUBSTITUTE(SUBSTITUTE(SUBSTITUTE(SUBSTITUTE(SUBSTITUTE(
        B793,""√©"",""é""),""√°"",""á""),""√±"",""ñ""),""√≥"",""ó""),""√â"",""é"&amp;"""),""√Å"",""á""),""√ç"",""í""),""√Ç"",""Í""),""√Â"",""é""),""√≠"",""í""),""√º"",""ú""),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93" s="28" t="str">
        <f>IFERROR(__xludf.DUMMYFUNCTION("SPLIT(
  TRIM(
    SUBSTITUTE(
      SUBSTITUTE(
        SUBSTITUTE(
          SUBSTITUTE(
            C793,
            ""√©"", ""é""
          ),
          ""√±"", ""ñ""
        ),
        ""√°"", ""á""
      ),
      ""√≥"", ""ó""
    )
  ),
  ""-""
)
"),"Auriculares")</f>
        <v>Auriculares</v>
      </c>
      <c r="O793" s="28" t="str">
        <f>IFERROR(__xludf.DUMMYFUNCTION("""COMPUTED_VALUE"""),"Cancelación de ruido")</f>
        <v>Cancelación de ruido</v>
      </c>
      <c r="P793" s="28" t="str">
        <f>IFERROR(__xludf.DUMMYFUNCTION("""COMPUTED_VALUE"""),"32GB")</f>
        <v>32GB</v>
      </c>
      <c r="Q793" s="29">
        <f t="shared" si="1"/>
        <v>986.08</v>
      </c>
      <c r="R793" s="28">
        <f t="shared" si="2"/>
        <v>4</v>
      </c>
      <c r="S793" s="29">
        <f t="shared" si="3"/>
        <v>3944.32</v>
      </c>
      <c r="T793" s="28" t="str">
        <f>IFERROR(__xludf.DUMMYFUNCTION("PROPER(TRIM(
  LET(
    texto1, REGEXREPLACE(G793,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"),"Berta Aldonza Toro Colunga")</f>
        <v>Berta Aldonza Toro Colunga</v>
      </c>
      <c r="U793" s="28" t="str">
        <f t="shared" si="4"/>
        <v>b159a2a3-ef00-43a9-86db-5aa4f2337f02</v>
      </c>
      <c r="V793" s="30" t="str">
        <f t="shared" si="5"/>
        <v>Auriculares Cancelación de ruido 32GB</v>
      </c>
    </row>
    <row r="794" ht="15.75" customHeight="1">
      <c r="A794" s="36">
        <v>45575.0</v>
      </c>
      <c r="B794" s="2" t="s">
        <v>50</v>
      </c>
      <c r="C794" s="2" t="s">
        <v>186</v>
      </c>
      <c r="D794" s="7">
        <v>646.22</v>
      </c>
      <c r="E794" s="2">
        <v>2.0</v>
      </c>
      <c r="F794" s="7">
        <v>1292.44</v>
      </c>
      <c r="G794" s="2" t="s">
        <v>2685</v>
      </c>
      <c r="H794" s="2" t="s">
        <v>2686</v>
      </c>
      <c r="I794" s="2" t="s">
        <v>2687</v>
      </c>
      <c r="K794" s="19" t="str">
        <f>IFERROR(__xludf.DUMMYFUNCTION("IF(ISBLANK(A794),
  """",
  IF(ISNUMBER(A794),
    TEXT(A794,""dd/mm/yyyy""),
    IF(
      REGEXMATCH(TRIM(A794),""^\d{1,2}/\d{1,2}/\d{4}$""),
      TRIM(A794),
      IFERROR(
        TEXT(DATEVALUE(SUBSTITUTE(SUBSTITUTE(TRIM(A794),""-"",""/""),""."",""/"&amp;""")),""dd/mm/yyyy""),
        TRIM(A794)
      )
    )
  )
)
"),"10/10/2024")</f>
        <v>10/10/2024</v>
      </c>
      <c r="L794" s="20">
        <v>45575.0</v>
      </c>
      <c r="M794" s="21" t="str">
        <f>IFERROR(__xludf.DUMMYFUNCTION("PROPER(TRIM(
  REGEXREPLACE(
    REGEXREPLACE(
      SUBSTITUTE(SUBSTITUTE(SUBSTITUTE(SUBSTITUTE(SUBSTITUTE(SUBSTITUTE(SUBSTITUTE(SUBSTITUTE(SUBSTITUTE(SUBSTITUTE(SUBSTITUTE(
        B794,""√©"",""é""),""√°"",""á""),""√±"",""ñ""),""√≥"",""ó""),""√â"",""é"&amp;"""),""√Å"",""á""),""√ç"",""í""),""√Ç"",""Í""),""√Â"",""é""),""√≠"",""í""),""√º"",""ú""),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94" s="22" t="str">
        <f>IFERROR(__xludf.DUMMYFUNCTION("SPLIT(
  TRIM(
    SUBSTITUTE(
      SUBSTITUTE(
        SUBSTITUTE(
          SUBSTITUTE(
            C794,
            ""√©"", ""é""
          ),
          ""√±"", ""ñ""
        ),
        ""√°"", ""á""
      ),
      ""√≥"", ""ó""
    )
  ),
  ""-""
)
"),"Tablet")</f>
        <v>Tablet</v>
      </c>
      <c r="O794" s="22" t="str">
        <f>IFERROR(__xludf.DUMMYFUNCTION("""COMPUTED_VALUE"""),"Mini")</f>
        <v>Mini</v>
      </c>
      <c r="P794" s="22" t="str">
        <f>IFERROR(__xludf.DUMMYFUNCTION("""COMPUTED_VALUE"""),"8GB")</f>
        <v>8GB</v>
      </c>
      <c r="Q794" s="23">
        <f t="shared" si="1"/>
        <v>646.22</v>
      </c>
      <c r="R794" s="22">
        <f t="shared" si="2"/>
        <v>2</v>
      </c>
      <c r="S794" s="23">
        <f t="shared" si="3"/>
        <v>1292.44</v>
      </c>
      <c r="T794" s="22" t="str">
        <f>IFERROR(__xludf.DUMMYFUNCTION("PROPER(TRIM(
  LET(
    texto1, REGEXREPLACE(G794,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"),"Augusto Oswaldo Arce Guardado")</f>
        <v>Augusto Oswaldo Arce Guardado</v>
      </c>
      <c r="U794" s="22" t="str">
        <f t="shared" si="4"/>
        <v>b510688e-fa24-4654-b955-0b6adeee039e</v>
      </c>
      <c r="V794" s="24" t="str">
        <f t="shared" si="5"/>
        <v>Tablet Mini 8GB</v>
      </c>
    </row>
    <row r="795" ht="15.75" customHeight="1">
      <c r="A795" s="6">
        <v>45587.0</v>
      </c>
      <c r="B795" s="2" t="s">
        <v>50</v>
      </c>
      <c r="C795" s="2" t="s">
        <v>311</v>
      </c>
      <c r="D795" s="7">
        <v>2240.54</v>
      </c>
      <c r="E795" s="2">
        <v>2.0</v>
      </c>
      <c r="F795" s="7">
        <v>4481.08</v>
      </c>
      <c r="G795" s="2" t="s">
        <v>2688</v>
      </c>
      <c r="H795" s="2" t="s">
        <v>2689</v>
      </c>
      <c r="I795" s="2" t="s">
        <v>2690</v>
      </c>
      <c r="K795" s="25" t="str">
        <f>IFERROR(__xludf.DUMMYFUNCTION("IF(ISBLANK(A795),
  """",
  IF(ISNUMBER(A795),
    TEXT(A795,""dd/mm/yyyy""),
    IF(
      REGEXMATCH(TRIM(A795),""^\d{1,2}/\d{1,2}/\d{4}$""),
      TRIM(A795),
      IFERROR(
        TEXT(DATEVALUE(SUBSTITUTE(SUBSTITUTE(TRIM(A795),""-"",""/""),""."",""/"&amp;""")),""dd/mm/yyyy""),
        TRIM(A795)
      )
    )
  )
)
"),"22/10/2024")</f>
        <v>22/10/2024</v>
      </c>
      <c r="L795" s="26">
        <v>45587.0</v>
      </c>
      <c r="M795" s="27" t="str">
        <f>IFERROR(__xludf.DUMMYFUNCTION("PROPER(TRIM(
  REGEXREPLACE(
    REGEXREPLACE(
      SUBSTITUTE(SUBSTITUTE(SUBSTITUTE(SUBSTITUTE(SUBSTITUTE(SUBSTITUTE(SUBSTITUTE(SUBSTITUTE(SUBSTITUTE(SUBSTITUTE(SUBSTITUTE(
        B795,""√©"",""é""),""√°"",""á""),""√±"",""ñ""),""√≥"",""ó""),""√â"",""é"&amp;"""),""√Å"",""á""),""√ç"",""í""),""√Ç"",""Í""),""√Â"",""é""),""√≠"",""í""),""√º"",""ú""),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795" s="28" t="str">
        <f>IFERROR(__xludf.DUMMYFUNCTION("SPLIT(
  TRIM(
    SUBSTITUTE(
      SUBSTITUTE(
        SUBSTITUTE(
          SUBSTITUTE(
            C795,
            ""√©"", ""é""
          ),
          ""√±"", ""ñ""
        ),
        ""√°"", ""á""
      ),
      ""√≥"", ""ó""
    )
  ),
  ""-""
)
"),"Laptop")</f>
        <v>Laptop</v>
      </c>
      <c r="O795" s="28" t="str">
        <f>IFERROR(__xludf.DUMMYFUNCTION("""COMPUTED_VALUE"""),"Oficina")</f>
        <v>Oficina</v>
      </c>
      <c r="P795" s="28" t="str">
        <f>IFERROR(__xludf.DUMMYFUNCTION("""COMPUTED_VALUE"""),"4GB")</f>
        <v>4GB</v>
      </c>
      <c r="Q795" s="29">
        <f t="shared" si="1"/>
        <v>2240.54</v>
      </c>
      <c r="R795" s="28">
        <f t="shared" si="2"/>
        <v>2</v>
      </c>
      <c r="S795" s="29">
        <f t="shared" si="3"/>
        <v>4481.08</v>
      </c>
      <c r="T795" s="28" t="str">
        <f>IFERROR(__xludf.DUMMYFUNCTION("PROPER(TRIM(
  LET(
    texto1, REGEXREPLACE(G795,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"),"Andrés Brito")</f>
        <v>Andrés Brito</v>
      </c>
      <c r="U795" s="28" t="str">
        <f t="shared" si="4"/>
        <v>a05c93ff-9a7b-4d33-9591-f2fbfbc01017</v>
      </c>
      <c r="V795" s="30" t="str">
        <f t="shared" si="5"/>
        <v>Laptop Oficina 4GB</v>
      </c>
    </row>
    <row r="796" ht="15.75" customHeight="1">
      <c r="A796" s="6">
        <v>45590.0</v>
      </c>
      <c r="B796" s="2" t="s">
        <v>85</v>
      </c>
      <c r="C796" s="2" t="s">
        <v>33</v>
      </c>
      <c r="D796" s="7">
        <v>1260.9</v>
      </c>
      <c r="E796" s="2">
        <v>3.0</v>
      </c>
      <c r="F796" s="7">
        <v>3782.7</v>
      </c>
      <c r="G796" s="2" t="s">
        <v>2691</v>
      </c>
      <c r="H796" s="2" t="s">
        <v>2692</v>
      </c>
      <c r="I796" s="2" t="s">
        <v>2693</v>
      </c>
      <c r="K796" s="19" t="str">
        <f>IFERROR(__xludf.DUMMYFUNCTION("IF(ISBLANK(A796),
  """",
  IF(ISNUMBER(A796),
    TEXT(A796,""dd/mm/yyyy""),
    IF(
      REGEXMATCH(TRIM(A796),""^\d{1,2}/\d{1,2}/\d{4}$""),
      TRIM(A796),
      IFERROR(
        TEXT(DATEVALUE(SUBSTITUTE(SUBSTITUTE(TRIM(A796),""-"",""/""),""."",""/"&amp;""")),""dd/mm/yyyy""),
        TRIM(A796)
      )
    )
  )
)
"),"25/10/2024")</f>
        <v>25/10/2024</v>
      </c>
      <c r="L796" s="20">
        <v>45590.0</v>
      </c>
      <c r="M796" s="21" t="str">
        <f>IFERROR(__xludf.DUMMYFUNCTION("PROPER(TRIM(
  REGEXREPLACE(
    REGEXREPLACE(
      SUBSTITUTE(SUBSTITUTE(SUBSTITUTE(SUBSTITUTE(SUBSTITUTE(SUBSTITUTE(SUBSTITUTE(SUBSTITUTE(SUBSTITUTE(SUBSTITUTE(SUBSTITUTE(
        B796,""√©"",""é""),""√°"",""á""),""√±"",""ñ""),""√≥"",""ó""),""√â"",""é"&amp;"""),""√Å"",""á""),""√ç"",""í""),""√Ç"",""Í""),""√Â"",""é""),""√≠"",""í""),""√º"",""ú""),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96" s="22" t="str">
        <f>IFERROR(__xludf.DUMMYFUNCTION("SPLIT(
  TRIM(
    SUBSTITUTE(
      SUBSTITUTE(
        SUBSTITUTE(
          SUBSTITUTE(
            C796,
            ""√©"", ""é""
          ),
          ""√±"", ""ñ""
        ),
        ""√°"", ""á""
      ),
      ""√≥"", ""ó""
    )
  ),
  ""-""
)
"),"Teléfono")</f>
        <v>Teléfono</v>
      </c>
      <c r="O796" s="22" t="str">
        <f>IFERROR(__xludf.DUMMYFUNCTION("""COMPUTED_VALUE"""),"Gama alta")</f>
        <v>Gama alta</v>
      </c>
      <c r="P796" s="22" t="str">
        <f>IFERROR(__xludf.DUMMYFUNCTION("""COMPUTED_VALUE"""),"4GB")</f>
        <v>4GB</v>
      </c>
      <c r="Q796" s="23">
        <f t="shared" si="1"/>
        <v>1260.9</v>
      </c>
      <c r="R796" s="22">
        <f t="shared" si="2"/>
        <v>3</v>
      </c>
      <c r="S796" s="23">
        <f t="shared" si="3"/>
        <v>3782.7</v>
      </c>
      <c r="T796" s="22" t="str">
        <f>IFERROR(__xludf.DUMMYFUNCTION("PROPER(TRIM(
  LET(
    texto1, REGEXREPLACE(G796,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"),"Mariano Borrego")</f>
        <v>Mariano Borrego</v>
      </c>
      <c r="U796" s="22" t="str">
        <f t="shared" si="4"/>
        <v>45b0ad4b-932c-441b-b413-53565decfa94</v>
      </c>
      <c r="V796" s="24" t="str">
        <f t="shared" si="5"/>
        <v>Teléfono Gama alta 4GB</v>
      </c>
    </row>
    <row r="797" ht="15.75" customHeight="1">
      <c r="A797" s="36">
        <v>45334.0</v>
      </c>
      <c r="B797" s="2" t="s">
        <v>85</v>
      </c>
      <c r="C797" s="2" t="s">
        <v>226</v>
      </c>
      <c r="D797" s="7">
        <v>540.19</v>
      </c>
      <c r="E797" s="2">
        <v>4.0</v>
      </c>
      <c r="F797" s="7">
        <v>2160.76</v>
      </c>
      <c r="G797" s="2" t="s">
        <v>2694</v>
      </c>
      <c r="H797" s="2" t="s">
        <v>2695</v>
      </c>
      <c r="I797" s="2" t="s">
        <v>2696</v>
      </c>
      <c r="K797" s="25" t="str">
        <f>IFERROR(__xludf.DUMMYFUNCTION("IF(ISBLANK(A797),
  """",
  IF(ISNUMBER(A797),
    TEXT(A797,""dd/mm/yyyy""),
    IF(
      REGEXMATCH(TRIM(A797),""^\d{1,2}/\d{1,2}/\d{4}$""),
      TRIM(A797),
      IFERROR(
        TEXT(DATEVALUE(SUBSTITUTE(SUBSTITUTE(TRIM(A797),""-"",""/""),""."",""/"&amp;""")),""dd/mm/yyyy""),
        TRIM(A797)
      )
    )
  )
)
"),"12/02/2024")</f>
        <v>12/02/2024</v>
      </c>
      <c r="L797" s="26">
        <v>45334.0</v>
      </c>
      <c r="M797" s="27" t="str">
        <f>IFERROR(__xludf.DUMMYFUNCTION("PROPER(TRIM(
  REGEXREPLACE(
    REGEXREPLACE(
      SUBSTITUTE(SUBSTITUTE(SUBSTITUTE(SUBSTITUTE(SUBSTITUTE(SUBSTITUTE(SUBSTITUTE(SUBSTITUTE(SUBSTITUTE(SUBSTITUTE(SUBSTITUTE(
        B797,""√©"",""é""),""√°"",""á""),""√±"",""ñ""),""√≥"",""ó""),""√â"",""é"&amp;"""),""√Å"",""á""),""√ç"",""í""),""√Ç"",""Í""),""√Â"",""é""),""√≠"",""í""),""√º"",""ú""),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797" s="28" t="str">
        <f>IFERROR(__xludf.DUMMYFUNCTION("SPLIT(
  TRIM(
    SUBSTITUTE(
      SUBSTITUTE(
        SUBSTITUTE(
          SUBSTITUTE(
            C797,
            ""√©"", ""é""
          ),
          ""√±"", ""ñ""
        ),
        ""√°"", ""á""
      ),
      ""√≥"", ""ó""
    )
  ),
  ""-""
)
"),"Tablet")</f>
        <v>Tablet</v>
      </c>
      <c r="O797" s="28" t="str">
        <f>IFERROR(__xludf.DUMMYFUNCTION("""COMPUTED_VALUE"""),"Mini")</f>
        <v>Mini</v>
      </c>
      <c r="P797" s="28" t="str">
        <f>IFERROR(__xludf.DUMMYFUNCTION("""COMPUTED_VALUE"""),"16GB")</f>
        <v>16GB</v>
      </c>
      <c r="Q797" s="29">
        <f t="shared" si="1"/>
        <v>540.19</v>
      </c>
      <c r="R797" s="28">
        <f t="shared" si="2"/>
        <v>4</v>
      </c>
      <c r="S797" s="29">
        <f t="shared" si="3"/>
        <v>2160.76</v>
      </c>
      <c r="T797" s="28" t="str">
        <f>IFERROR(__xludf.DUMMYFUNCTION("PROPER(TRIM(
  LET(
    texto1, REGEXREPLACE(G797,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Luisa Benavides")</f>
        <v>María Luisa Benavides</v>
      </c>
      <c r="U797" s="28" t="str">
        <f t="shared" si="4"/>
        <v>445ea43e-bacc-4f11-b46f-c0f73b30a387</v>
      </c>
      <c r="V797" s="30" t="str">
        <f t="shared" si="5"/>
        <v>Tablet Mini 16GB</v>
      </c>
    </row>
    <row r="798" ht="15.75" customHeight="1">
      <c r="A798" s="6">
        <v>45645.0</v>
      </c>
      <c r="B798" s="2" t="s">
        <v>38</v>
      </c>
      <c r="C798" s="2" t="s">
        <v>45</v>
      </c>
      <c r="D798" s="7">
        <v>1254.96</v>
      </c>
      <c r="E798" s="2">
        <v>1.0</v>
      </c>
      <c r="F798" s="7">
        <v>1254.96</v>
      </c>
      <c r="G798" s="2" t="s">
        <v>2697</v>
      </c>
      <c r="H798" s="2" t="s">
        <v>2698</v>
      </c>
      <c r="I798" s="2" t="s">
        <v>2699</v>
      </c>
      <c r="K798" s="19" t="str">
        <f>IFERROR(__xludf.DUMMYFUNCTION("IF(ISBLANK(A798),
  """",
  IF(ISNUMBER(A798),
    TEXT(A798,""dd/mm/yyyy""),
    IF(
      REGEXMATCH(TRIM(A798),""^\d{1,2}/\d{1,2}/\d{4}$""),
      TRIM(A798),
      IFERROR(
        TEXT(DATEVALUE(SUBSTITUTE(SUBSTITUTE(TRIM(A798),""-"",""/""),""."",""/"&amp;""")),""dd/mm/yyyy""),
        TRIM(A798)
      )
    )
  )
)
"),"19/12/2024")</f>
        <v>19/12/2024</v>
      </c>
      <c r="L798" s="20">
        <v>45645.0</v>
      </c>
      <c r="M798" s="21" t="str">
        <f>IFERROR(__xludf.DUMMYFUNCTION("PROPER(TRIM(
  REGEXREPLACE(
    REGEXREPLACE(
      SUBSTITUTE(SUBSTITUTE(SUBSTITUTE(SUBSTITUTE(SUBSTITUTE(SUBSTITUTE(SUBSTITUTE(SUBSTITUTE(SUBSTITUTE(SUBSTITUTE(SUBSTITUTE(
        B798,""√©"",""é""),""√°"",""á""),""√±"",""ñ""),""√≥"",""ó""),""√â"",""é"&amp;"""),""√Å"",""á""),""√ç"",""í""),""√Ç"",""Í""),""√Â"",""é""),""√≠"",""í""),""√º"",""ú""),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798" s="22" t="str">
        <f>IFERROR(__xludf.DUMMYFUNCTION("SPLIT(
  TRIM(
    SUBSTITUTE(
      SUBSTITUTE(
        SUBSTITUTE(
          SUBSTITUTE(
            C798,
            ""√©"", ""é""
          ),
          ""√±"", ""ñ""
        ),
        ""√°"", ""á""
      ),
      ""√≥"", ""ó""
    )
  ),
  ""-""
)
"),"Tablet")</f>
        <v>Tablet</v>
      </c>
      <c r="O798" s="22" t="str">
        <f>IFERROR(__xludf.DUMMYFUNCTION("""COMPUTED_VALUE"""),"Mini")</f>
        <v>Mini</v>
      </c>
      <c r="P798" s="22" t="str">
        <f>IFERROR(__xludf.DUMMYFUNCTION("""COMPUTED_VALUE"""),"4GB")</f>
        <v>4GB</v>
      </c>
      <c r="Q798" s="23">
        <f t="shared" si="1"/>
        <v>1254.96</v>
      </c>
      <c r="R798" s="22">
        <f t="shared" si="2"/>
        <v>1</v>
      </c>
      <c r="S798" s="23">
        <f t="shared" si="3"/>
        <v>1254.96</v>
      </c>
      <c r="T798" s="22" t="str">
        <f>IFERROR(__xludf.DUMMYFUNCTION("PROPER(TRIM(
  LET(
    texto1, REGEXREPLACE(G798,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"),"Asunción Maximiliano Baca Ramírez")</f>
        <v>Asunción Maximiliano Baca Ramírez</v>
      </c>
      <c r="U798" s="22" t="str">
        <f t="shared" si="4"/>
        <v>6962b6a9-7e9b-4fc9-80fb-8d56c5243ad2</v>
      </c>
      <c r="V798" s="24" t="str">
        <f t="shared" si="5"/>
        <v>Tablet Mini 4GB</v>
      </c>
    </row>
    <row r="799" ht="15.75" customHeight="1">
      <c r="A799" s="6">
        <v>45579.0</v>
      </c>
      <c r="B799" s="2" t="s">
        <v>101</v>
      </c>
      <c r="C799" s="2" t="s">
        <v>186</v>
      </c>
      <c r="D799" s="7">
        <v>1037.64</v>
      </c>
      <c r="E799" s="2">
        <v>3.0</v>
      </c>
      <c r="F799" s="7">
        <v>3112.92</v>
      </c>
      <c r="G799" s="2" t="s">
        <v>2700</v>
      </c>
      <c r="H799" s="2" t="s">
        <v>2701</v>
      </c>
      <c r="I799" s="3" t="s">
        <v>2702</v>
      </c>
      <c r="K799" s="25" t="str">
        <f>IFERROR(__xludf.DUMMYFUNCTION("IF(ISBLANK(A799),
  """",
  IF(ISNUMBER(A799),
    TEXT(A799,""dd/mm/yyyy""),
    IF(
      REGEXMATCH(TRIM(A799),""^\d{1,2}/\d{1,2}/\d{4}$""),
      TRIM(A799),
      IFERROR(
        TEXT(DATEVALUE(SUBSTITUTE(SUBSTITUTE(TRIM(A799),""-"",""/""),""."",""/"&amp;""")),""dd/mm/yyyy""),
        TRIM(A799)
      )
    )
  )
)
"),"14/10/2024")</f>
        <v>14/10/2024</v>
      </c>
      <c r="L799" s="26">
        <v>45579.0</v>
      </c>
      <c r="M799" s="27" t="str">
        <f>IFERROR(__xludf.DUMMYFUNCTION("PROPER(TRIM(
  REGEXREPLACE(
    REGEXREPLACE(
      SUBSTITUTE(SUBSTITUTE(SUBSTITUTE(SUBSTITUTE(SUBSTITUTE(SUBSTITUTE(SUBSTITUTE(SUBSTITUTE(SUBSTITUTE(SUBSTITUTE(SUBSTITUTE(
        B799,""√©"",""é""),""√°"",""á""),""√±"",""ñ""),""√≥"",""ó""),""√â"",""é"&amp;"""),""√Å"",""á""),""√ç"",""í""),""√Ç"",""Í""),""√Â"",""é""),""√≠"",""í""),""√º"",""ú""),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799" s="28" t="str">
        <f>IFERROR(__xludf.DUMMYFUNCTION("SPLIT(
  TRIM(
    SUBSTITUTE(
      SUBSTITUTE(
        SUBSTITUTE(
          SUBSTITUTE(
            C799,
            ""√©"", ""é""
          ),
          ""√±"", ""ñ""
        ),
        ""√°"", ""á""
      ),
      ""√≥"", ""ó""
    )
  ),
  ""-""
)
"),"Tablet")</f>
        <v>Tablet</v>
      </c>
      <c r="O799" s="28" t="str">
        <f>IFERROR(__xludf.DUMMYFUNCTION("""COMPUTED_VALUE"""),"Mini")</f>
        <v>Mini</v>
      </c>
      <c r="P799" s="28" t="str">
        <f>IFERROR(__xludf.DUMMYFUNCTION("""COMPUTED_VALUE"""),"8GB")</f>
        <v>8GB</v>
      </c>
      <c r="Q799" s="29">
        <f t="shared" si="1"/>
        <v>1037.64</v>
      </c>
      <c r="R799" s="28">
        <f t="shared" si="2"/>
        <v>3</v>
      </c>
      <c r="S799" s="29">
        <f t="shared" si="3"/>
        <v>3112.92</v>
      </c>
      <c r="T799" s="28" t="str">
        <f>IFERROR(__xludf.DUMMYFUNCTION("PROPER(TRIM(
  LET(
    texto1, REGEXREPLACE(G799,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"),"Yolanda Miranda")</f>
        <v>Yolanda Miranda</v>
      </c>
      <c r="U799" s="31" t="str">
        <f t="shared" si="4"/>
        <v>8e55023b-2774-4015-86a2-780e882c0d87</v>
      </c>
      <c r="V799" s="30" t="str">
        <f t="shared" si="5"/>
        <v>Tablet Mini 8GB</v>
      </c>
    </row>
    <row r="800" ht="15.75" customHeight="1">
      <c r="A800" s="36">
        <v>45547.0</v>
      </c>
      <c r="B800" s="2" t="s">
        <v>50</v>
      </c>
      <c r="C800" s="2" t="s">
        <v>17</v>
      </c>
      <c r="D800" s="7">
        <v>1273.07</v>
      </c>
      <c r="E800" s="2">
        <v>3.0</v>
      </c>
      <c r="F800" s="7">
        <v>3819.21</v>
      </c>
      <c r="G800" s="2" t="s">
        <v>2703</v>
      </c>
      <c r="H800" s="2" t="s">
        <v>2704</v>
      </c>
      <c r="I800" s="2" t="s">
        <v>2705</v>
      </c>
      <c r="K800" s="19" t="str">
        <f>IFERROR(__xludf.DUMMYFUNCTION("IF(ISBLANK(A800),
  """",
  IF(ISNUMBER(A800),
    TEXT(A800,""dd/mm/yyyy""),
    IF(
      REGEXMATCH(TRIM(A800),""^\d{1,2}/\d{1,2}/\d{4}$""),
      TRIM(A800),
      IFERROR(
        TEXT(DATEVALUE(SUBSTITUTE(SUBSTITUTE(TRIM(A800),""-"",""/""),""."",""/"&amp;""")),""dd/mm/yyyy""),
        TRIM(A800)
      )
    )
  )
)
"),"12/09/2024")</f>
        <v>12/09/2024</v>
      </c>
      <c r="L800" s="20">
        <v>45547.0</v>
      </c>
      <c r="M800" s="21" t="str">
        <f>IFERROR(__xludf.DUMMYFUNCTION("PROPER(TRIM(
  REGEXREPLACE(
    REGEXREPLACE(
      SUBSTITUTE(SUBSTITUTE(SUBSTITUTE(SUBSTITUTE(SUBSTITUTE(SUBSTITUTE(SUBSTITUTE(SUBSTITUTE(SUBSTITUTE(SUBSTITUTE(SUBSTITUTE(
        B800,""√©"",""é""),""√°"",""á""),""√±"",""ñ""),""√≥"",""ó""),""√â"",""é"&amp;"""),""√Å"",""á""),""√ç"",""í""),""√Ç"",""Í""),""√Â"",""é""),""√≠"",""í""),""√º"",""ú""),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00" s="22" t="str">
        <f>IFERROR(__xludf.DUMMYFUNCTION("SPLIT(
  TRIM(
    SUBSTITUTE(
      SUBSTITUTE(
        SUBSTITUTE(
          SUBSTITUTE(
            C800,
            ""√©"", ""é""
          ),
          ""√±"", ""ñ""
        ),
        ""√°"", ""á""
      ),
      ""√≥"", ""ó""
    )
  ),
  ""-""
)
"),"Auriculares")</f>
        <v>Auriculares</v>
      </c>
      <c r="O800" s="22" t="str">
        <f>IFERROR(__xludf.DUMMYFUNCTION("""COMPUTED_VALUE"""),"Bluetooth")</f>
        <v>Bluetooth</v>
      </c>
      <c r="P800" s="22" t="str">
        <f>IFERROR(__xludf.DUMMYFUNCTION("""COMPUTED_VALUE"""),"8GB")</f>
        <v>8GB</v>
      </c>
      <c r="Q800" s="23">
        <f t="shared" si="1"/>
        <v>1273.07</v>
      </c>
      <c r="R800" s="22">
        <f t="shared" si="2"/>
        <v>3</v>
      </c>
      <c r="S800" s="23">
        <f t="shared" si="3"/>
        <v>3819.21</v>
      </c>
      <c r="T800" s="22" t="str">
        <f>IFERROR(__xludf.DUMMYFUNCTION("PROPER(TRIM(
  LET(
    texto1, REGEXREPLACE(G800,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"),"Alonso Rsula Ordóñez Quezada")</f>
        <v>Alonso Rsula Ordóñez Quezada</v>
      </c>
      <c r="U800" s="22" t="str">
        <f t="shared" si="4"/>
        <v>92474c1b-8e9f-4328-9dba-0478c7b8eff7</v>
      </c>
      <c r="V800" s="24" t="str">
        <f t="shared" si="5"/>
        <v>Auriculares Bluetooth 8GB</v>
      </c>
    </row>
    <row r="801" ht="15.75" customHeight="1">
      <c r="A801" s="6">
        <v>45585.0</v>
      </c>
      <c r="B801" s="2" t="s">
        <v>38</v>
      </c>
      <c r="C801" s="2" t="s">
        <v>65</v>
      </c>
      <c r="D801" s="7">
        <v>2430.43</v>
      </c>
      <c r="E801" s="2">
        <v>5.0</v>
      </c>
      <c r="F801" s="7">
        <v>12152.15</v>
      </c>
      <c r="G801" s="2" t="s">
        <v>2706</v>
      </c>
      <c r="H801" s="2" t="s">
        <v>2707</v>
      </c>
      <c r="I801" s="2" t="s">
        <v>2708</v>
      </c>
      <c r="K801" s="25" t="str">
        <f>IFERROR(__xludf.DUMMYFUNCTION("IF(ISBLANK(A801),
  """",
  IF(ISNUMBER(A801),
    TEXT(A801,""dd/mm/yyyy""),
    IF(
      REGEXMATCH(TRIM(A801),""^\d{1,2}/\d{1,2}/\d{4}$""),
      TRIM(A801),
      IFERROR(
        TEXT(DATEVALUE(SUBSTITUTE(SUBSTITUTE(TRIM(A801),""-"",""/""),""."",""/"&amp;""")),""dd/mm/yyyy""),
        TRIM(A801)
      )
    )
  )
)
"),"20/10/2024")</f>
        <v>20/10/2024</v>
      </c>
      <c r="L801" s="26">
        <v>45585.0</v>
      </c>
      <c r="M801" s="27" t="str">
        <f>IFERROR(__xludf.DUMMYFUNCTION("PROPER(TRIM(
  REGEXREPLACE(
    REGEXREPLACE(
      SUBSTITUTE(SUBSTITUTE(SUBSTITUTE(SUBSTITUTE(SUBSTITUTE(SUBSTITUTE(SUBSTITUTE(SUBSTITUTE(SUBSTITUTE(SUBSTITUTE(SUBSTITUTE(
        B801,""√©"",""é""),""√°"",""á""),""√±"",""ñ""),""√≥"",""ó""),""√â"",""é"&amp;"""),""√Å"",""á""),""√ç"",""í""),""√Ç"",""Í""),""√Â"",""é""),""√≠"",""í""),""√º"",""ú""),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01" s="28" t="str">
        <f>IFERROR(__xludf.DUMMYFUNCTION("SPLIT(
  TRIM(
    SUBSTITUTE(
      SUBSTITUTE(
        SUBSTITUTE(
          SUBSTITUTE(
            C801,
            ""√©"", ""é""
          ),
          ""√±"", ""ñ""
        ),
        ""√°"", ""á""
      ),
      ""√≥"", ""ó""
    )
  ),
  ""-""
)
"),"Auriculares")</f>
        <v>Auriculares</v>
      </c>
      <c r="O801" s="28" t="str">
        <f>IFERROR(__xludf.DUMMYFUNCTION("""COMPUTED_VALUE"""),"Bluetooth")</f>
        <v>Bluetooth</v>
      </c>
      <c r="P801" s="28" t="str">
        <f>IFERROR(__xludf.DUMMYFUNCTION("""COMPUTED_VALUE"""),"16GB")</f>
        <v>16GB</v>
      </c>
      <c r="Q801" s="29">
        <f t="shared" si="1"/>
        <v>2430.43</v>
      </c>
      <c r="R801" s="28">
        <f t="shared" si="2"/>
        <v>5</v>
      </c>
      <c r="S801" s="29">
        <f t="shared" si="3"/>
        <v>12152.15</v>
      </c>
      <c r="T801" s="28" t="str">
        <f>IFERROR(__xludf.DUMMYFUNCTION("PROPER(TRIM(
  LET(
    texto1, REGEXREPLACE(G801,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Perla Zavala Laboy")</f>
        <v>Ana Perla Zavala Laboy</v>
      </c>
      <c r="U801" s="28" t="str">
        <f t="shared" si="4"/>
        <v>972e7cf2-8e0a-43e6-a952-bbda3382870a</v>
      </c>
      <c r="V801" s="30" t="str">
        <f t="shared" si="5"/>
        <v>Auriculares Bluetooth 16GB</v>
      </c>
    </row>
    <row r="802" ht="15.75" customHeight="1">
      <c r="A802" s="6">
        <v>45612.0</v>
      </c>
      <c r="B802" s="2" t="s">
        <v>101</v>
      </c>
      <c r="C802" s="2" t="s">
        <v>235</v>
      </c>
      <c r="D802" s="7">
        <v>1203.93</v>
      </c>
      <c r="E802" s="2">
        <v>4.0</v>
      </c>
      <c r="F802" s="7">
        <v>4815.72</v>
      </c>
      <c r="G802" s="2" t="s">
        <v>2709</v>
      </c>
      <c r="H802" s="2" t="s">
        <v>2710</v>
      </c>
      <c r="I802" s="2" t="s">
        <v>2711</v>
      </c>
      <c r="K802" s="19" t="str">
        <f>IFERROR(__xludf.DUMMYFUNCTION("IF(ISBLANK(A802),
  """",
  IF(ISNUMBER(A802),
    TEXT(A802,""dd/mm/yyyy""),
    IF(
      REGEXMATCH(TRIM(A802),""^\d{1,2}/\d{1,2}/\d{4}$""),
      TRIM(A802),
      IFERROR(
        TEXT(DATEVALUE(SUBSTITUTE(SUBSTITUTE(TRIM(A802),""-"",""/""),""."",""/"&amp;""")),""dd/mm/yyyy""),
        TRIM(A802)
      )
    )
  )
)
"),"16/11/2024")</f>
        <v>16/11/2024</v>
      </c>
      <c r="L802" s="20">
        <v>45612.0</v>
      </c>
      <c r="M802" s="21" t="str">
        <f>IFERROR(__xludf.DUMMYFUNCTION("PROPER(TRIM(
  REGEXREPLACE(
    REGEXREPLACE(
      SUBSTITUTE(SUBSTITUTE(SUBSTITUTE(SUBSTITUTE(SUBSTITUTE(SUBSTITUTE(SUBSTITUTE(SUBSTITUTE(SUBSTITUTE(SUBSTITUTE(SUBSTITUTE(
        B802,""√©"",""é""),""√°"",""á""),""√±"",""ñ""),""√≥"",""ó""),""√â"",""é"&amp;"""),""√Å"",""á""),""√ç"",""í""),""√Ç"",""Í""),""√Â"",""é""),""√≠"",""í""),""√º"",""ú""),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02" s="22" t="str">
        <f>IFERROR(__xludf.DUMMYFUNCTION("SPLIT(
  TRIM(
    SUBSTITUTE(
      SUBSTITUTE(
        SUBSTITUTE(
          SUBSTITUTE(
            C802,
            ""√©"", ""é""
          ),
          ""√±"", ""ñ""
        ),
        ""√°"", ""á""
      ),
      ""√≥"", ""ó""
    )
  ),
  ""-""
)
"),"Tablet")</f>
        <v>Tablet</v>
      </c>
      <c r="O802" s="22" t="str">
        <f>IFERROR(__xludf.DUMMYFUNCTION("""COMPUTED_VALUE"""),"Estándar")</f>
        <v>Estándar</v>
      </c>
      <c r="P802" s="22" t="str">
        <f>IFERROR(__xludf.DUMMYFUNCTION("""COMPUTED_VALUE"""),"4GB")</f>
        <v>4GB</v>
      </c>
      <c r="Q802" s="23">
        <f t="shared" si="1"/>
        <v>1203.93</v>
      </c>
      <c r="R802" s="22">
        <f t="shared" si="2"/>
        <v>4</v>
      </c>
      <c r="S802" s="23">
        <f t="shared" si="3"/>
        <v>4815.72</v>
      </c>
      <c r="T802" s="22" t="str">
        <f>IFERROR(__xludf.DUMMYFUNCTION("PROPER(TRIM(
  LET(
    texto1, REGEXREPLACE(G802,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"),"Zoé Alejandro")</f>
        <v>Zoé Alejandro</v>
      </c>
      <c r="U802" s="22" t="str">
        <f t="shared" si="4"/>
        <v>43dd123c-830b-4e71-8f96-a6643feac4d9</v>
      </c>
      <c r="V802" s="24" t="str">
        <f t="shared" si="5"/>
        <v>Tablet Estándar 4GB</v>
      </c>
    </row>
    <row r="803" ht="15.75" customHeight="1">
      <c r="A803" s="6">
        <v>45617.0</v>
      </c>
      <c r="B803" s="2" t="s">
        <v>38</v>
      </c>
      <c r="C803" s="2" t="s">
        <v>111</v>
      </c>
      <c r="D803" s="32"/>
      <c r="E803" s="2">
        <v>4.0</v>
      </c>
      <c r="F803" s="7">
        <v>9635.4</v>
      </c>
      <c r="G803" s="2" t="s">
        <v>2712</v>
      </c>
      <c r="H803" s="2" t="s">
        <v>2713</v>
      </c>
      <c r="I803" s="2" t="s">
        <v>2714</v>
      </c>
      <c r="K803" s="25" t="str">
        <f>IFERROR(__xludf.DUMMYFUNCTION("IF(ISBLANK(A803),
  """",
  IF(ISNUMBER(A803),
    TEXT(A803,""dd/mm/yyyy""),
    IF(
      REGEXMATCH(TRIM(A803),""^\d{1,2}/\d{1,2}/\d{4}$""),
      TRIM(A803),
      IFERROR(
        TEXT(DATEVALUE(SUBSTITUTE(SUBSTITUTE(TRIM(A803),""-"",""/""),""."",""/"&amp;""")),""dd/mm/yyyy""),
        TRIM(A803)
      )
    )
  )
)
"),"21/11/2024")</f>
        <v>21/11/2024</v>
      </c>
      <c r="L803" s="26">
        <v>45617.0</v>
      </c>
      <c r="M803" s="27" t="str">
        <f>IFERROR(__xludf.DUMMYFUNCTION("PROPER(TRIM(
  REGEXREPLACE(
    REGEXREPLACE(
      SUBSTITUTE(SUBSTITUTE(SUBSTITUTE(SUBSTITUTE(SUBSTITUTE(SUBSTITUTE(SUBSTITUTE(SUBSTITUTE(SUBSTITUTE(SUBSTITUTE(SUBSTITUTE(
        B803,""√©"",""é""),""√°"",""á""),""√±"",""ñ""),""√≥"",""ó""),""√â"",""é"&amp;"""),""√Å"",""á""),""√ç"",""í""),""√Ç"",""Í""),""√Â"",""é""),""√≠"",""í""),""√º"",""ú""),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03" s="28" t="str">
        <f>IFERROR(__xludf.DUMMYFUNCTION("SPLIT(
  TRIM(
    SUBSTITUTE(
      SUBSTITUTE(
        SUBSTITUTE(
          SUBSTITUTE(
            C803,
            ""√©"", ""é""
          ),
          ""√±"", ""ñ""
        ),
        ""√°"", ""á""
      ),
      ""√≥"", ""ó""
    )
  ),
  ""-""
)
"),"Tablet")</f>
        <v>Tablet</v>
      </c>
      <c r="O803" s="28" t="str">
        <f>IFERROR(__xludf.DUMMYFUNCTION("""COMPUTED_VALUE"""),"Estándar")</f>
        <v>Estándar</v>
      </c>
      <c r="P803" s="28" t="str">
        <f>IFERROR(__xludf.DUMMYFUNCTION("""COMPUTED_VALUE"""),"16GB")</f>
        <v>16GB</v>
      </c>
      <c r="Q803" s="34" t="str">
        <f t="shared" si="1"/>
        <v>0</v>
      </c>
      <c r="R803" s="28">
        <f t="shared" si="2"/>
        <v>4</v>
      </c>
      <c r="S803" s="29">
        <f t="shared" si="3"/>
        <v>9635.4</v>
      </c>
      <c r="T803" s="28" t="str">
        <f>IFERROR(__xludf.DUMMYFUNCTION("PROPER(TRIM(
  LET(
    texto1, REGEXREPLACE(G803,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"),"Pascual Bravo")</f>
        <v>Pascual Bravo</v>
      </c>
      <c r="U803" s="28" t="str">
        <f t="shared" si="4"/>
        <v>c04d55c7-13f0-4d59-820e-72c4f05b3e9a</v>
      </c>
      <c r="V803" s="30" t="str">
        <f t="shared" si="5"/>
        <v>Tablet Estándar 16GB</v>
      </c>
    </row>
    <row r="804" ht="15.75" customHeight="1">
      <c r="A804" s="6">
        <v>45614.0</v>
      </c>
      <c r="B804" s="2" t="s">
        <v>16</v>
      </c>
      <c r="C804" s="2" t="s">
        <v>206</v>
      </c>
      <c r="D804" s="7">
        <v>2426.87</v>
      </c>
      <c r="E804" s="2">
        <v>5.0</v>
      </c>
      <c r="F804" s="7">
        <v>12134.35</v>
      </c>
      <c r="G804" s="2" t="s">
        <v>2715</v>
      </c>
      <c r="H804" s="2" t="s">
        <v>2716</v>
      </c>
      <c r="I804" s="2" t="s">
        <v>2717</v>
      </c>
      <c r="K804" s="19" t="str">
        <f>IFERROR(__xludf.DUMMYFUNCTION("IF(ISBLANK(A804),
  """",
  IF(ISNUMBER(A804),
    TEXT(A804,""dd/mm/yyyy""),
    IF(
      REGEXMATCH(TRIM(A804),""^\d{1,2}/\d{1,2}/\d{4}$""),
      TRIM(A804),
      IFERROR(
        TEXT(DATEVALUE(SUBSTITUTE(SUBSTITUTE(TRIM(A804),""-"",""/""),""."",""/"&amp;""")),""dd/mm/yyyy""),
        TRIM(A804)
      )
    )
  )
)
"),"18/11/2024")</f>
        <v>18/11/2024</v>
      </c>
      <c r="L804" s="20">
        <v>45614.0</v>
      </c>
      <c r="M804" s="21" t="str">
        <f>IFERROR(__xludf.DUMMYFUNCTION("PROPER(TRIM(
  REGEXREPLACE(
    REGEXREPLACE(
      SUBSTITUTE(SUBSTITUTE(SUBSTITUTE(SUBSTITUTE(SUBSTITUTE(SUBSTITUTE(SUBSTITUTE(SUBSTITUTE(SUBSTITUTE(SUBSTITUTE(SUBSTITUTE(
        B804,""√©"",""é""),""√°"",""á""),""√±"",""ñ""),""√≥"",""ó""),""√â"",""é"&amp;"""),""√Å"",""á""),""√ç"",""í""),""√Ç"",""Í""),""√Â"",""é""),""√≠"",""í""),""√º"",""ú""),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04" s="22" t="str">
        <f>IFERROR(__xludf.DUMMYFUNCTION("SPLIT(
  TRIM(
    SUBSTITUTE(
      SUBSTITUTE(
        SUBSTITUTE(
          SUBSTITUTE(
            C804,
            ""√©"", ""é""
          ),
          ""√±"", ""ñ""
        ),
        ""√°"", ""á""
      ),
      ""√≥"", ""ó""
    )
  ),
  ""-""
)
"),"Auriculares")</f>
        <v>Auriculares</v>
      </c>
      <c r="O804" s="22" t="str">
        <f>IFERROR(__xludf.DUMMYFUNCTION("""COMPUTED_VALUE"""),"Bluetooth")</f>
        <v>Bluetooth</v>
      </c>
      <c r="P804" s="22" t="str">
        <f>IFERROR(__xludf.DUMMYFUNCTION("""COMPUTED_VALUE"""),"4GB")</f>
        <v>4GB</v>
      </c>
      <c r="Q804" s="23">
        <f t="shared" si="1"/>
        <v>2426.87</v>
      </c>
      <c r="R804" s="22">
        <f t="shared" si="2"/>
        <v>5</v>
      </c>
      <c r="S804" s="23">
        <f t="shared" si="3"/>
        <v>12134.35</v>
      </c>
      <c r="T804" s="22" t="str">
        <f>IFERROR(__xludf.DUMMYFUNCTION("PROPER(TRIM(
  LET(
    texto1, REGEXREPLACE(G804,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"),"Alma Karina Munguía Paredes")</f>
        <v>Alma Karina Munguía Paredes</v>
      </c>
      <c r="U804" s="22" t="str">
        <f t="shared" si="4"/>
        <v>770c656a-1e48-4e6d-8a82-6d225a04964e</v>
      </c>
      <c r="V804" s="24" t="str">
        <f t="shared" si="5"/>
        <v>Auriculares Bluetooth 4GB</v>
      </c>
    </row>
    <row r="805" ht="15.75" customHeight="1">
      <c r="A805" s="36">
        <v>45575.0</v>
      </c>
      <c r="B805" s="2" t="s">
        <v>85</v>
      </c>
      <c r="C805" s="2" t="s">
        <v>75</v>
      </c>
      <c r="D805" s="7">
        <v>1848.98</v>
      </c>
      <c r="E805" s="2">
        <v>3.0</v>
      </c>
      <c r="F805" s="7">
        <v>5546.94</v>
      </c>
      <c r="G805" s="2" t="s">
        <v>2718</v>
      </c>
      <c r="H805" s="2" t="s">
        <v>2719</v>
      </c>
      <c r="I805" s="2" t="s">
        <v>2720</v>
      </c>
      <c r="K805" s="25" t="str">
        <f>IFERROR(__xludf.DUMMYFUNCTION("IF(ISBLANK(A805),
  """",
  IF(ISNUMBER(A805),
    TEXT(A805,""dd/mm/yyyy""),
    IF(
      REGEXMATCH(TRIM(A805),""^\d{1,2}/\d{1,2}/\d{4}$""),
      TRIM(A805),
      IFERROR(
        TEXT(DATEVALUE(SUBSTITUTE(SUBSTITUTE(TRIM(A805),""-"",""/""),""."",""/"&amp;""")),""dd/mm/yyyy""),
        TRIM(A805)
      )
    )
  )
)
"),"10/10/2024")</f>
        <v>10/10/2024</v>
      </c>
      <c r="L805" s="26">
        <v>45575.0</v>
      </c>
      <c r="M805" s="27" t="str">
        <f>IFERROR(__xludf.DUMMYFUNCTION("PROPER(TRIM(
  REGEXREPLACE(
    REGEXREPLACE(
      SUBSTITUTE(SUBSTITUTE(SUBSTITUTE(SUBSTITUTE(SUBSTITUTE(SUBSTITUTE(SUBSTITUTE(SUBSTITUTE(SUBSTITUTE(SUBSTITUTE(SUBSTITUTE(
        B805,""√©"",""é""),""√°"",""á""),""√±"",""ñ""),""√≥"",""ó""),""√â"",""é"&amp;"""),""√Å"",""á""),""√ç"",""í""),""√Ç"",""Í""),""√Â"",""é""),""√≠"",""í""),""√º"",""ú""),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05" s="28" t="str">
        <f>IFERROR(__xludf.DUMMYFUNCTION("SPLIT(
  TRIM(
    SUBSTITUTE(
      SUBSTITUTE(
        SUBSTITUTE(
          SUBSTITUTE(
            C805,
            ""√©"", ""é""
          ),
          ""√±"", ""ñ""
        ),
        ""√°"", ""á""
      ),
      ""√≥"", ""ó""
    )
  ),
  ""-""
)
"),"Tablet")</f>
        <v>Tablet</v>
      </c>
      <c r="O805" s="28" t="str">
        <f>IFERROR(__xludf.DUMMYFUNCTION("""COMPUTED_VALUE"""),"Pro")</f>
        <v>Pro</v>
      </c>
      <c r="P805" s="28" t="str">
        <f>IFERROR(__xludf.DUMMYFUNCTION("""COMPUTED_VALUE"""),"4GB")</f>
        <v>4GB</v>
      </c>
      <c r="Q805" s="29">
        <f t="shared" si="1"/>
        <v>1848.98</v>
      </c>
      <c r="R805" s="28">
        <f t="shared" si="2"/>
        <v>3</v>
      </c>
      <c r="S805" s="29">
        <f t="shared" si="3"/>
        <v>5546.94</v>
      </c>
      <c r="T805" s="28" t="str">
        <f>IFERROR(__xludf.DUMMYFUNCTION("PROPER(TRIM(
  LET(
    texto1, REGEXREPLACE(G805,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"),"Maximiliano Omar Brito Vega")</f>
        <v>Maximiliano Omar Brito Vega</v>
      </c>
      <c r="U805" s="28" t="str">
        <f t="shared" si="4"/>
        <v>99bc21fb-dcd1-48e4-be06-9bd0b762b73e</v>
      </c>
      <c r="V805" s="30" t="str">
        <f t="shared" si="5"/>
        <v>Tablet Pro 4GB</v>
      </c>
    </row>
    <row r="806" ht="15.75" customHeight="1">
      <c r="A806" s="36">
        <v>45393.0</v>
      </c>
      <c r="B806" s="2" t="s">
        <v>101</v>
      </c>
      <c r="C806" s="2" t="s">
        <v>245</v>
      </c>
      <c r="D806" s="7">
        <v>1436.52</v>
      </c>
      <c r="E806" s="2">
        <v>2.0</v>
      </c>
      <c r="F806" s="7">
        <v>2873.04</v>
      </c>
      <c r="G806" s="2" t="s">
        <v>2721</v>
      </c>
      <c r="H806" s="2" t="s">
        <v>2722</v>
      </c>
      <c r="I806" s="2" t="s">
        <v>2723</v>
      </c>
      <c r="K806" s="19" t="str">
        <f>IFERROR(__xludf.DUMMYFUNCTION("IF(ISBLANK(A806),
  """",
  IF(ISNUMBER(A806),
    TEXT(A806,""dd/mm/yyyy""),
    IF(
      REGEXMATCH(TRIM(A806),""^\d{1,2}/\d{1,2}/\d{4}$""),
      TRIM(A806),
      IFERROR(
        TEXT(DATEVALUE(SUBSTITUTE(SUBSTITUTE(TRIM(A806),""-"",""/""),""."",""/"&amp;""")),""dd/mm/yyyy""),
        TRIM(A806)
      )
    )
  )
)
"),"11/04/2024")</f>
        <v>11/04/2024</v>
      </c>
      <c r="L806" s="20">
        <v>45393.0</v>
      </c>
      <c r="M806" s="21" t="str">
        <f>IFERROR(__xludf.DUMMYFUNCTION("PROPER(TRIM(
  REGEXREPLACE(
    REGEXREPLACE(
      SUBSTITUTE(SUBSTITUTE(SUBSTITUTE(SUBSTITUTE(SUBSTITUTE(SUBSTITUTE(SUBSTITUTE(SUBSTITUTE(SUBSTITUTE(SUBSTITUTE(SUBSTITUTE(
        B806,""√©"",""é""),""√°"",""á""),""√±"",""ñ""),""√≥"",""ó""),""√â"",""é"&amp;"""),""√Å"",""á""),""√ç"",""í""),""√Ç"",""Í""),""√Â"",""é""),""√≠"",""í""),""√º"",""ú""),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06" s="22" t="str">
        <f>IFERROR(__xludf.DUMMYFUNCTION("SPLIT(
  TRIM(
    SUBSTITUTE(
      SUBSTITUTE(
        SUBSTITUTE(
          SUBSTITUTE(
            C806,
            ""√©"", ""é""
          ),
          ""√±"", ""ñ""
        ),
        ""√°"", ""á""
      ),
      ""√≥"", ""ó""
    )
  ),
  ""-""
)
"),"Teléfono")</f>
        <v>Teléfono</v>
      </c>
      <c r="O806" s="22" t="str">
        <f>IFERROR(__xludf.DUMMYFUNCTION("""COMPUTED_VALUE"""),"Gama baja")</f>
        <v>Gama baja</v>
      </c>
      <c r="P806" s="22" t="str">
        <f>IFERROR(__xludf.DUMMYFUNCTION("""COMPUTED_VALUE"""),"32GB")</f>
        <v>32GB</v>
      </c>
      <c r="Q806" s="23">
        <f t="shared" si="1"/>
        <v>1436.52</v>
      </c>
      <c r="R806" s="22">
        <f t="shared" si="2"/>
        <v>2</v>
      </c>
      <c r="S806" s="23">
        <f t="shared" si="3"/>
        <v>2873.04</v>
      </c>
      <c r="T806" s="22" t="str">
        <f>IFERROR(__xludf.DUMMYFUNCTION("PROPER(TRIM(
  LET(
    texto1, REGEXREPLACE(G806,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Cristina De La Crz")</f>
        <v>María Cristina De La Crz</v>
      </c>
      <c r="U806" s="22" t="str">
        <f t="shared" si="4"/>
        <v>5c8c2dfc-51fd-4224-a71e-92d06b2b0fa1</v>
      </c>
      <c r="V806" s="24" t="str">
        <f t="shared" si="5"/>
        <v>Teléfono Gama baja 32GB</v>
      </c>
    </row>
    <row r="807" ht="15.75" customHeight="1">
      <c r="A807" s="6">
        <v>45583.0</v>
      </c>
      <c r="B807" s="2" t="s">
        <v>85</v>
      </c>
      <c r="C807" s="2" t="s">
        <v>593</v>
      </c>
      <c r="D807" s="7">
        <v>904.01</v>
      </c>
      <c r="E807" s="2">
        <v>1.0</v>
      </c>
      <c r="F807" s="7">
        <v>904.01</v>
      </c>
      <c r="G807" s="2" t="s">
        <v>2724</v>
      </c>
      <c r="H807" s="2" t="s">
        <v>2725</v>
      </c>
      <c r="I807" s="2" t="s">
        <v>2726</v>
      </c>
      <c r="K807" s="25" t="str">
        <f>IFERROR(__xludf.DUMMYFUNCTION("IF(ISBLANK(A807),
  """",
  IF(ISNUMBER(A807),
    TEXT(A807,""dd/mm/yyyy""),
    IF(
      REGEXMATCH(TRIM(A807),""^\d{1,2}/\d{1,2}/\d{4}$""),
      TRIM(A807),
      IFERROR(
        TEXT(DATEVALUE(SUBSTITUTE(SUBSTITUTE(TRIM(A807),""-"",""/""),""."",""/"&amp;""")),""dd/mm/yyyy""),
        TRIM(A807)
      )
    )
  )
)
"),"18/10/2024")</f>
        <v>18/10/2024</v>
      </c>
      <c r="L807" s="26">
        <v>45583.0</v>
      </c>
      <c r="M807" s="27" t="str">
        <f>IFERROR(__xludf.DUMMYFUNCTION("PROPER(TRIM(
  REGEXREPLACE(
    REGEXREPLACE(
      SUBSTITUTE(SUBSTITUTE(SUBSTITUTE(SUBSTITUTE(SUBSTITUTE(SUBSTITUTE(SUBSTITUTE(SUBSTITUTE(SUBSTITUTE(SUBSTITUTE(SUBSTITUTE(
        B807,""√©"",""é""),""√°"",""á""),""√±"",""ñ""),""√≥"",""ó""),""√â"",""é"&amp;"""),""√Å"",""á""),""√ç"",""í""),""√Ç"",""Í""),""√Â"",""é""),""√≠"",""í""),""√º"",""ú""),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07" s="28" t="str">
        <f>IFERROR(__xludf.DUMMYFUNCTION("SPLIT(
  TRIM(
    SUBSTITUTE(
      SUBSTITUTE(
        SUBSTITUTE(
          SUBSTITUTE(
            C807,
            ""√©"", ""é""
          ),
          ""√±"", ""ñ""
        ),
        ""√°"", ""á""
      ),
      ""√≥"", ""ó""
    )
  ),
  ""-""
)
"),"Laptop")</f>
        <v>Laptop</v>
      </c>
      <c r="O807" s="28" t="str">
        <f>IFERROR(__xludf.DUMMYFUNCTION("""COMPUTED_VALUE"""),"Gaming")</f>
        <v>Gaming</v>
      </c>
      <c r="P807" s="28" t="str">
        <f>IFERROR(__xludf.DUMMYFUNCTION("""COMPUTED_VALUE"""),"16GB")</f>
        <v>16GB</v>
      </c>
      <c r="Q807" s="29">
        <f t="shared" si="1"/>
        <v>904.01</v>
      </c>
      <c r="R807" s="28">
        <f t="shared" si="2"/>
        <v>1</v>
      </c>
      <c r="S807" s="29">
        <f t="shared" si="3"/>
        <v>904.01</v>
      </c>
      <c r="T807" s="28" t="str">
        <f>IFERROR(__xludf.DUMMYFUNCTION("PROPER(TRIM(
  LET(
    texto1, REGEXREPLACE(G807,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"),"David Preciado")</f>
        <v>David Preciado</v>
      </c>
      <c r="U807" s="28" t="str">
        <f t="shared" si="4"/>
        <v>ef211983-e418-498f-bd94-b407618f19f2</v>
      </c>
      <c r="V807" s="30" t="str">
        <f t="shared" si="5"/>
        <v>Laptop Gaming 16GB</v>
      </c>
    </row>
    <row r="808" ht="15.75" customHeight="1">
      <c r="A808" s="36">
        <v>45394.0</v>
      </c>
      <c r="B808" s="2" t="s">
        <v>101</v>
      </c>
      <c r="C808" s="2" t="s">
        <v>2727</v>
      </c>
      <c r="D808" s="7">
        <v>344.69</v>
      </c>
      <c r="E808" s="2">
        <v>5.0</v>
      </c>
      <c r="F808" s="7">
        <v>1723.45</v>
      </c>
      <c r="G808" s="2" t="s">
        <v>2728</v>
      </c>
      <c r="H808" s="2" t="s">
        <v>2729</v>
      </c>
      <c r="I808" s="2" t="s">
        <v>2730</v>
      </c>
      <c r="K808" s="19" t="str">
        <f>IFERROR(__xludf.DUMMYFUNCTION("IF(ISBLANK(A808),
  """",
  IF(ISNUMBER(A808),
    TEXT(A808,""dd/mm/yyyy""),
    IF(
      REGEXMATCH(TRIM(A808),""^\d{1,2}/\d{1,2}/\d{4}$""),
      TRIM(A808),
      IFERROR(
        TEXT(DATEVALUE(SUBSTITUTE(SUBSTITUTE(TRIM(A808),""-"",""/""),""."",""/"&amp;""")),""dd/mm/yyyy""),
        TRIM(A808)
      )
    )
  )
)
"),"12/04/2024")</f>
        <v>12/04/2024</v>
      </c>
      <c r="L808" s="20">
        <v>45394.0</v>
      </c>
      <c r="M808" s="21" t="str">
        <f>IFERROR(__xludf.DUMMYFUNCTION("PROPER(TRIM(
  REGEXREPLACE(
    REGEXREPLACE(
      SUBSTITUTE(SUBSTITUTE(SUBSTITUTE(SUBSTITUTE(SUBSTITUTE(SUBSTITUTE(SUBSTITUTE(SUBSTITUTE(SUBSTITUTE(SUBSTITUTE(SUBSTITUTE(
        B808,""√©"",""é""),""√°"",""á""),""√±"",""ñ""),""√≥"",""ó""),""√â"",""é"&amp;"""),""√Å"",""á""),""√ç"",""í""),""√Ç"",""Í""),""√Â"",""é""),""√≠"",""í""),""√º"",""ú""),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08" s="22" t="str">
        <f>IFERROR(__xludf.DUMMYFUNCTION("SPLIT(
  TRIM(
    SUBSTITUTE(
      SUBSTITUTE(
        SUBSTITUTE(
          SUBSTITUTE(
            C808,
            ""√©"", ""é""
          ),
          ""√±"", ""ñ""
        ),
        ""√°"", ""á""
      ),
      ""√≥"", ""ó""
    )
  ),
  ""-""
)
"),"Tablet")</f>
        <v>Tablet</v>
      </c>
      <c r="O808" s="22" t="str">
        <f>IFERROR(__xludf.DUMMYFUNCTION("""COMPUTED_VALUE"""),"Mini")</f>
        <v>Mini</v>
      </c>
      <c r="P808" s="22" t="str">
        <f>IFERROR(__xludf.DUMMYFUNCTION("""COMPUTED_VALUE"""),"4GB")</f>
        <v>4GB</v>
      </c>
      <c r="Q808" s="23">
        <f t="shared" si="1"/>
        <v>344.69</v>
      </c>
      <c r="R808" s="22">
        <f t="shared" si="2"/>
        <v>5</v>
      </c>
      <c r="S808" s="23">
        <f t="shared" si="3"/>
        <v>1723.45</v>
      </c>
      <c r="T808" s="22" t="str">
        <f>IFERROR(__xludf.DUMMYFUNCTION("PROPER(TRIM(
  LET(
    texto1, REGEXREPLACE(G808,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"),"Jess Arce Valles")</f>
        <v>Jess Arce Valles</v>
      </c>
      <c r="U808" s="22" t="str">
        <f t="shared" si="4"/>
        <v>32d07aeb-5e62-4984-b015-b54c974f9568</v>
      </c>
      <c r="V808" s="24" t="str">
        <f t="shared" si="5"/>
        <v>Tablet Mini 4GB</v>
      </c>
    </row>
    <row r="809" ht="15.75" customHeight="1">
      <c r="A809" s="6">
        <v>45584.0</v>
      </c>
      <c r="B809" s="2" t="s">
        <v>85</v>
      </c>
      <c r="C809" s="2" t="s">
        <v>245</v>
      </c>
      <c r="D809" s="7">
        <v>1564.37</v>
      </c>
      <c r="E809" s="2">
        <v>1.0</v>
      </c>
      <c r="F809" s="7">
        <v>1564.37</v>
      </c>
      <c r="G809" s="2" t="s">
        <v>2731</v>
      </c>
      <c r="H809" s="2" t="s">
        <v>2732</v>
      </c>
      <c r="I809" s="2" t="s">
        <v>2733</v>
      </c>
      <c r="K809" s="25" t="str">
        <f>IFERROR(__xludf.DUMMYFUNCTION("IF(ISBLANK(A809),
  """",
  IF(ISNUMBER(A809),
    TEXT(A809,""dd/mm/yyyy""),
    IF(
      REGEXMATCH(TRIM(A809),""^\d{1,2}/\d{1,2}/\d{4}$""),
      TRIM(A809),
      IFERROR(
        TEXT(DATEVALUE(SUBSTITUTE(SUBSTITUTE(TRIM(A809),""-"",""/""),""."",""/"&amp;""")),""dd/mm/yyyy""),
        TRIM(A809)
      )
    )
  )
)
"),"19/10/2024")</f>
        <v>19/10/2024</v>
      </c>
      <c r="L809" s="26">
        <v>45584.0</v>
      </c>
      <c r="M809" s="27" t="str">
        <f>IFERROR(__xludf.DUMMYFUNCTION("PROPER(TRIM(
  REGEXREPLACE(
    REGEXREPLACE(
      SUBSTITUTE(SUBSTITUTE(SUBSTITUTE(SUBSTITUTE(SUBSTITUTE(SUBSTITUTE(SUBSTITUTE(SUBSTITUTE(SUBSTITUTE(SUBSTITUTE(SUBSTITUTE(
        B809,""√©"",""é""),""√°"",""á""),""√±"",""ñ""),""√≥"",""ó""),""√â"",""é"&amp;"""),""√Å"",""á""),""√ç"",""í""),""√Ç"",""Í""),""√Â"",""é""),""√≠"",""í""),""√º"",""ú""),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09" s="28" t="str">
        <f>IFERROR(__xludf.DUMMYFUNCTION("SPLIT(
  TRIM(
    SUBSTITUTE(
      SUBSTITUTE(
        SUBSTITUTE(
          SUBSTITUTE(
            C809,
            ""√©"", ""é""
          ),
          ""√±"", ""ñ""
        ),
        ""√°"", ""á""
      ),
      ""√≥"", ""ó""
    )
  ),
  ""-""
)
"),"Teléfono")</f>
        <v>Teléfono</v>
      </c>
      <c r="O809" s="28" t="str">
        <f>IFERROR(__xludf.DUMMYFUNCTION("""COMPUTED_VALUE"""),"Gama baja")</f>
        <v>Gama baja</v>
      </c>
      <c r="P809" s="28" t="str">
        <f>IFERROR(__xludf.DUMMYFUNCTION("""COMPUTED_VALUE"""),"32GB")</f>
        <v>32GB</v>
      </c>
      <c r="Q809" s="29">
        <f t="shared" si="1"/>
        <v>1564.37</v>
      </c>
      <c r="R809" s="28">
        <f t="shared" si="2"/>
        <v>1</v>
      </c>
      <c r="S809" s="29">
        <f t="shared" si="3"/>
        <v>1564.37</v>
      </c>
      <c r="T809" s="28" t="str">
        <f>IFERROR(__xludf.DUMMYFUNCTION("PROPER(TRIM(
  LET(
    texto1, REGEXREPLACE(G809,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"),"Vanesa Valverde Gaona")</f>
        <v>Vanesa Valverde Gaona</v>
      </c>
      <c r="U809" s="28" t="str">
        <f t="shared" si="4"/>
        <v>57a6f553-cfd0-401a-ab8d-e08db3b7b54c</v>
      </c>
      <c r="V809" s="30" t="str">
        <f t="shared" si="5"/>
        <v>Teléfono Gama baja 32GB</v>
      </c>
    </row>
    <row r="810" ht="15.75" customHeight="1">
      <c r="A810" s="6">
        <v>45644.0</v>
      </c>
      <c r="B810" s="2" t="s">
        <v>101</v>
      </c>
      <c r="C810" s="2" t="s">
        <v>55</v>
      </c>
      <c r="D810" s="7">
        <v>2031.79</v>
      </c>
      <c r="E810" s="2">
        <v>5.0</v>
      </c>
      <c r="F810" s="7">
        <v>10158.95</v>
      </c>
      <c r="G810" s="2" t="s">
        <v>2734</v>
      </c>
      <c r="H810" s="2" t="s">
        <v>2735</v>
      </c>
      <c r="I810" s="2" t="s">
        <v>2736</v>
      </c>
      <c r="K810" s="19" t="str">
        <f>IFERROR(__xludf.DUMMYFUNCTION("IF(ISBLANK(A810),
  """",
  IF(ISNUMBER(A810),
    TEXT(A810,""dd/mm/yyyy""),
    IF(
      REGEXMATCH(TRIM(A810),""^\d{1,2}/\d{1,2}/\d{4}$""),
      TRIM(A810),
      IFERROR(
        TEXT(DATEVALUE(SUBSTITUTE(SUBSTITUTE(TRIM(A810),""-"",""/""),""."",""/"&amp;""")),""dd/mm/yyyy""),
        TRIM(A810)
      )
    )
  )
)
"),"18/12/2024")</f>
        <v>18/12/2024</v>
      </c>
      <c r="L810" s="20">
        <v>45644.0</v>
      </c>
      <c r="M810" s="21" t="str">
        <f>IFERROR(__xludf.DUMMYFUNCTION("PROPER(TRIM(
  REGEXREPLACE(
    REGEXREPLACE(
      SUBSTITUTE(SUBSTITUTE(SUBSTITUTE(SUBSTITUTE(SUBSTITUTE(SUBSTITUTE(SUBSTITUTE(SUBSTITUTE(SUBSTITUTE(SUBSTITUTE(SUBSTITUTE(
        B810,""√©"",""é""),""√°"",""á""),""√±"",""ñ""),""√≥"",""ó""),""√â"",""é"&amp;"""),""√Å"",""á""),""√ç"",""í""),""√Ç"",""Í""),""√Â"",""é""),""√≠"",""í""),""√º"",""ú""),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10" s="22" t="str">
        <f>IFERROR(__xludf.DUMMYFUNCTION("SPLIT(
  TRIM(
    SUBSTITUTE(
      SUBSTITUTE(
        SUBSTITUTE(
          SUBSTITUTE(
            C810,
            ""√©"", ""é""
          ),
          ""√±"", ""ñ""
        ),
        ""√°"", ""á""
      ),
      ""√≥"", ""ó""
    )
  ),
  ""-""
)
"),"Laptop")</f>
        <v>Laptop</v>
      </c>
      <c r="O810" s="22" t="str">
        <f>IFERROR(__xludf.DUMMYFUNCTION("""COMPUTED_VALUE"""),"Ultraliviana")</f>
        <v>Ultraliviana</v>
      </c>
      <c r="P810" s="22" t="str">
        <f>IFERROR(__xludf.DUMMYFUNCTION("""COMPUTED_VALUE"""),"16GB")</f>
        <v>16GB</v>
      </c>
      <c r="Q810" s="23">
        <f t="shared" si="1"/>
        <v>2031.79</v>
      </c>
      <c r="R810" s="22">
        <f t="shared" si="2"/>
        <v>5</v>
      </c>
      <c r="S810" s="23">
        <f t="shared" si="3"/>
        <v>10158.95</v>
      </c>
      <c r="T810" s="22" t="str">
        <f>IFERROR(__xludf.DUMMYFUNCTION("PROPER(TRIM(
  LET(
    texto1, REGEXREPLACE(G810,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"),"Leonel Noelia Solís")</f>
        <v>Leonel Noelia Solís</v>
      </c>
      <c r="U810" s="22" t="str">
        <f t="shared" si="4"/>
        <v>342d4b10-ea36-4f9d-a345-cbb571e1445f</v>
      </c>
      <c r="V810" s="24" t="str">
        <f t="shared" si="5"/>
        <v>Laptop Ultraliviana 16GB</v>
      </c>
    </row>
    <row r="811" ht="15.75" customHeight="1">
      <c r="A811" s="6">
        <v>45642.0</v>
      </c>
      <c r="B811" s="2" t="s">
        <v>27</v>
      </c>
      <c r="C811" s="2" t="s">
        <v>369</v>
      </c>
      <c r="D811" s="7">
        <v>1119.17</v>
      </c>
      <c r="E811" s="2">
        <v>5.0</v>
      </c>
      <c r="F811" s="7">
        <v>5595.85</v>
      </c>
      <c r="G811" s="2" t="s">
        <v>2737</v>
      </c>
      <c r="H811" s="2" t="s">
        <v>2738</v>
      </c>
      <c r="I811" s="2" t="s">
        <v>2739</v>
      </c>
      <c r="K811" s="25" t="str">
        <f>IFERROR(__xludf.DUMMYFUNCTION("IF(ISBLANK(A811),
  """",
  IF(ISNUMBER(A811),
    TEXT(A811,""dd/mm/yyyy""),
    IF(
      REGEXMATCH(TRIM(A811),""^\d{1,2}/\d{1,2}/\d{4}$""),
      TRIM(A811),
      IFERROR(
        TEXT(DATEVALUE(SUBSTITUTE(SUBSTITUTE(TRIM(A811),""-"",""/""),""."",""/"&amp;""")),""dd/mm/yyyy""),
        TRIM(A811)
      )
    )
  )
)
"),"16/12/2024")</f>
        <v>16/12/2024</v>
      </c>
      <c r="L811" s="26">
        <v>45642.0</v>
      </c>
      <c r="M811" s="27" t="str">
        <f>IFERROR(__xludf.DUMMYFUNCTION("PROPER(TRIM(
  REGEXREPLACE(
    REGEXREPLACE(
      SUBSTITUTE(SUBSTITUTE(SUBSTITUTE(SUBSTITUTE(SUBSTITUTE(SUBSTITUTE(SUBSTITUTE(SUBSTITUTE(SUBSTITUTE(SUBSTITUTE(SUBSTITUTE(
        B811,""√©"",""é""),""√°"",""á""),""√±"",""ñ""),""√≥"",""ó""),""√â"",""é"&amp;"""),""√Å"",""á""),""√ç"",""í""),""√Ç"",""Í""),""√Â"",""é""),""√≠"",""í""),""√º"",""ú""),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11" s="28" t="str">
        <f>IFERROR(__xludf.DUMMYFUNCTION("SPLIT(
  TRIM(
    SUBSTITUTE(
      SUBSTITUTE(
        SUBSTITUTE(
          SUBSTITUTE(
            C811,
            ""√©"", ""é""
          ),
          ""√±"", ""ñ""
        ),
        ""√°"", ""á""
      ),
      ""√≥"", ""ó""
    )
  ),
  ""-""
)
"),"Tablet")</f>
        <v>Tablet</v>
      </c>
      <c r="O811" s="28" t="str">
        <f>IFERROR(__xludf.DUMMYFUNCTION("""COMPUTED_VALUE"""),"Pro")</f>
        <v>Pro</v>
      </c>
      <c r="P811" s="28" t="str">
        <f>IFERROR(__xludf.DUMMYFUNCTION("""COMPUTED_VALUE"""),"16GB")</f>
        <v>16GB</v>
      </c>
      <c r="Q811" s="29">
        <f t="shared" si="1"/>
        <v>1119.17</v>
      </c>
      <c r="R811" s="28">
        <f t="shared" si="2"/>
        <v>5</v>
      </c>
      <c r="S811" s="29">
        <f t="shared" si="3"/>
        <v>5595.85</v>
      </c>
      <c r="T811" s="28" t="str">
        <f>IFERROR(__xludf.DUMMYFUNCTION("PROPER(TRIM(
  LET(
    texto1, REGEXREPLACE(G811,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"),"Porfirio Lorenzo Cordero")</f>
        <v>Porfirio Lorenzo Cordero</v>
      </c>
      <c r="U811" s="28" t="str">
        <f t="shared" si="4"/>
        <v>6b289530-390b-4fbc-a2f2-7adff1dc65eb</v>
      </c>
      <c r="V811" s="30" t="str">
        <f t="shared" si="5"/>
        <v>Tablet Pro 16GB</v>
      </c>
    </row>
    <row r="812" ht="15.75" customHeight="1">
      <c r="A812" s="6">
        <v>45644.0</v>
      </c>
      <c r="B812" s="2" t="s">
        <v>85</v>
      </c>
      <c r="C812" s="2" t="s">
        <v>508</v>
      </c>
      <c r="D812" s="7">
        <v>1031.51</v>
      </c>
      <c r="E812" s="2">
        <v>1.0</v>
      </c>
      <c r="F812" s="7">
        <v>1031.51</v>
      </c>
      <c r="G812" s="2" t="s">
        <v>2740</v>
      </c>
      <c r="H812" s="2" t="s">
        <v>2741</v>
      </c>
      <c r="I812" s="2" t="s">
        <v>2742</v>
      </c>
      <c r="K812" s="19" t="str">
        <f>IFERROR(__xludf.DUMMYFUNCTION("IF(ISBLANK(A812),
  """",
  IF(ISNUMBER(A812),
    TEXT(A812,""dd/mm/yyyy""),
    IF(
      REGEXMATCH(TRIM(A812),""^\d{1,2}/\d{1,2}/\d{4}$""),
      TRIM(A812),
      IFERROR(
        TEXT(DATEVALUE(SUBSTITUTE(SUBSTITUTE(TRIM(A812),""-"",""/""),""."",""/"&amp;""")),""dd/mm/yyyy""),
        TRIM(A812)
      )
    )
  )
)
"),"18/12/2024")</f>
        <v>18/12/2024</v>
      </c>
      <c r="L812" s="20">
        <v>45644.0</v>
      </c>
      <c r="M812" s="21" t="str">
        <f>IFERROR(__xludf.DUMMYFUNCTION("PROPER(TRIM(
  REGEXREPLACE(
    REGEXREPLACE(
      SUBSTITUTE(SUBSTITUTE(SUBSTITUTE(SUBSTITUTE(SUBSTITUTE(SUBSTITUTE(SUBSTITUTE(SUBSTITUTE(SUBSTITUTE(SUBSTITUTE(SUBSTITUTE(
        B812,""√©"",""é""),""√°"",""á""),""√±"",""ñ""),""√≥"",""ó""),""√â"",""é"&amp;"""),""√Å"",""á""),""√ç"",""í""),""√Ç"",""Í""),""√Â"",""é""),""√≠"",""í""),""√º"",""ú""),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12" s="22" t="str">
        <f>IFERROR(__xludf.DUMMYFUNCTION("SPLIT(
  TRIM(
    SUBSTITUTE(
      SUBSTITUTE(
        SUBSTITUTE(
          SUBSTITUTE(
            C812,
            ""√©"", ""é""
          ),
          ""√±"", ""ñ""
        ),
        ""√°"", ""á""
      ),
      ""√≥"", ""ó""
    )
  ),
  ""-""
)
"),"Auriculares")</f>
        <v>Auriculares</v>
      </c>
      <c r="O812" s="22" t="str">
        <f>IFERROR(__xludf.DUMMYFUNCTION("""COMPUTED_VALUE"""),"Cancelación de ruido")</f>
        <v>Cancelación de ruido</v>
      </c>
      <c r="P812" s="22" t="str">
        <f>IFERROR(__xludf.DUMMYFUNCTION("""COMPUTED_VALUE"""),"16GB")</f>
        <v>16GB</v>
      </c>
      <c r="Q812" s="23">
        <f t="shared" si="1"/>
        <v>1031.51</v>
      </c>
      <c r="R812" s="22">
        <f t="shared" si="2"/>
        <v>1</v>
      </c>
      <c r="S812" s="23">
        <f t="shared" si="3"/>
        <v>1031.51</v>
      </c>
      <c r="T812" s="22" t="str">
        <f>IFERROR(__xludf.DUMMYFUNCTION("PROPER(TRIM(
  LET(
    texto1, REGEXREPLACE(G812,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"),"Pascual Gracia Robles")</f>
        <v>Pascual Gracia Robles</v>
      </c>
      <c r="U812" s="22" t="str">
        <f t="shared" si="4"/>
        <v>1b8b26e6-8632-4b38-8f73-c6f0e70ccf60</v>
      </c>
      <c r="V812" s="24" t="str">
        <f t="shared" si="5"/>
        <v>Auriculares Cancelación de ruido 16GB</v>
      </c>
    </row>
    <row r="813" ht="15.75" customHeight="1">
      <c r="A813" s="6">
        <v>45583.0</v>
      </c>
      <c r="B813" s="2" t="s">
        <v>38</v>
      </c>
      <c r="C813" s="2" t="s">
        <v>135</v>
      </c>
      <c r="D813" s="7">
        <v>700.55</v>
      </c>
      <c r="E813" s="2">
        <v>5.0</v>
      </c>
      <c r="F813" s="7">
        <v>3502.75</v>
      </c>
      <c r="G813" s="2" t="s">
        <v>2743</v>
      </c>
      <c r="H813" s="2" t="s">
        <v>2744</v>
      </c>
      <c r="I813" s="2" t="s">
        <v>2745</v>
      </c>
      <c r="K813" s="25" t="str">
        <f>IFERROR(__xludf.DUMMYFUNCTION("IF(ISBLANK(A813),
  """",
  IF(ISNUMBER(A813),
    TEXT(A813,""dd/mm/yyyy""),
    IF(
      REGEXMATCH(TRIM(A813),""^\d{1,2}/\d{1,2}/\d{4}$""),
      TRIM(A813),
      IFERROR(
        TEXT(DATEVALUE(SUBSTITUTE(SUBSTITUTE(TRIM(A813),""-"",""/""),""."",""/"&amp;""")),""dd/mm/yyyy""),
        TRIM(A813)
      )
    )
  )
)
"),"18/10/2024")</f>
        <v>18/10/2024</v>
      </c>
      <c r="L813" s="26">
        <v>45583.0</v>
      </c>
      <c r="M813" s="27" t="str">
        <f>IFERROR(__xludf.DUMMYFUNCTION("PROPER(TRIM(
  REGEXREPLACE(
    REGEXREPLACE(
      SUBSTITUTE(SUBSTITUTE(SUBSTITUTE(SUBSTITUTE(SUBSTITUTE(SUBSTITUTE(SUBSTITUTE(SUBSTITUTE(SUBSTITUTE(SUBSTITUTE(SUBSTITUTE(
        B813,""√©"",""é""),""√°"",""á""),""√±"",""ñ""),""√≥"",""ó""),""√â"",""é"&amp;"""),""√Å"",""á""),""√ç"",""í""),""√Ç"",""Í""),""√Â"",""é""),""√≠"",""í""),""√º"",""ú""),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13" s="28" t="str">
        <f>IFERROR(__xludf.DUMMYFUNCTION("SPLIT(
  TRIM(
    SUBSTITUTE(
      SUBSTITUTE(
        SUBSTITUTE(
          SUBSTITUTE(
            C813,
            ""√©"", ""é""
          ),
          ""√±"", ""ñ""
        ),
        ""√°"", ""á""
      ),
      ""√≥"", ""ó""
    )
  ),
  ""-""
)
"),"Laptop")</f>
        <v>Laptop</v>
      </c>
      <c r="O813" s="28" t="str">
        <f>IFERROR(__xludf.DUMMYFUNCTION("""COMPUTED_VALUE"""),"Ultraliviana")</f>
        <v>Ultraliviana</v>
      </c>
      <c r="P813" s="28" t="str">
        <f>IFERROR(__xludf.DUMMYFUNCTION("""COMPUTED_VALUE"""),"32GB")</f>
        <v>32GB</v>
      </c>
      <c r="Q813" s="29">
        <f t="shared" si="1"/>
        <v>700.55</v>
      </c>
      <c r="R813" s="28">
        <f t="shared" si="2"/>
        <v>5</v>
      </c>
      <c r="S813" s="29">
        <f t="shared" si="3"/>
        <v>3502.75</v>
      </c>
      <c r="T813" s="28" t="str">
        <f>IFERROR(__xludf.DUMMYFUNCTION("PROPER(TRIM(
  LET(
    texto1, REGEXREPLACE(G813,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"),"Bianca Ávalos Cant")</f>
        <v>Bianca Ávalos Cant</v>
      </c>
      <c r="U813" s="28" t="str">
        <f t="shared" si="4"/>
        <v>46208692-578c-41c7-a7ca-6da2fc87ff43</v>
      </c>
      <c r="V813" s="30" t="str">
        <f t="shared" si="5"/>
        <v>Laptop Ultraliviana 32GB</v>
      </c>
    </row>
    <row r="814" ht="15.75" customHeight="1">
      <c r="A814" s="36">
        <v>45333.0</v>
      </c>
      <c r="B814" s="2" t="s">
        <v>101</v>
      </c>
      <c r="C814" s="2" t="s">
        <v>235</v>
      </c>
      <c r="D814" s="7">
        <v>2138.25</v>
      </c>
      <c r="E814" s="2">
        <v>2.0</v>
      </c>
      <c r="F814" s="7">
        <v>4276.5</v>
      </c>
      <c r="G814" s="2" t="s">
        <v>2746</v>
      </c>
      <c r="H814" s="2" t="s">
        <v>2747</v>
      </c>
      <c r="I814" s="2" t="s">
        <v>2748</v>
      </c>
      <c r="K814" s="19" t="str">
        <f>IFERROR(__xludf.DUMMYFUNCTION("IF(ISBLANK(A814),
  """",
  IF(ISNUMBER(A814),
    TEXT(A814,""dd/mm/yyyy""),
    IF(
      REGEXMATCH(TRIM(A814),""^\d{1,2}/\d{1,2}/\d{4}$""),
      TRIM(A814),
      IFERROR(
        TEXT(DATEVALUE(SUBSTITUTE(SUBSTITUTE(TRIM(A814),""-"",""/""),""."",""/"&amp;""")),""dd/mm/yyyy""),
        TRIM(A814)
      )
    )
  )
)
"),"11/02/2024")</f>
        <v>11/02/2024</v>
      </c>
      <c r="L814" s="20">
        <v>45333.0</v>
      </c>
      <c r="M814" s="21" t="str">
        <f>IFERROR(__xludf.DUMMYFUNCTION("PROPER(TRIM(
  REGEXREPLACE(
    REGEXREPLACE(
      SUBSTITUTE(SUBSTITUTE(SUBSTITUTE(SUBSTITUTE(SUBSTITUTE(SUBSTITUTE(SUBSTITUTE(SUBSTITUTE(SUBSTITUTE(SUBSTITUTE(SUBSTITUTE(
        B814,""√©"",""é""),""√°"",""á""),""√±"",""ñ""),""√≥"",""ó""),""√â"",""é"&amp;"""),""√Å"",""á""),""√ç"",""í""),""√Ç"",""Í""),""√Â"",""é""),""√≠"",""í""),""√º"",""ú""),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14" s="22" t="str">
        <f>IFERROR(__xludf.DUMMYFUNCTION("SPLIT(
  TRIM(
    SUBSTITUTE(
      SUBSTITUTE(
        SUBSTITUTE(
          SUBSTITUTE(
            C814,
            ""√©"", ""é""
          ),
          ""√±"", ""ñ""
        ),
        ""√°"", ""á""
      ),
      ""√≥"", ""ó""
    )
  ),
  ""-""
)
"),"Tablet")</f>
        <v>Tablet</v>
      </c>
      <c r="O814" s="22" t="str">
        <f>IFERROR(__xludf.DUMMYFUNCTION("""COMPUTED_VALUE"""),"Estándar")</f>
        <v>Estándar</v>
      </c>
      <c r="P814" s="22" t="str">
        <f>IFERROR(__xludf.DUMMYFUNCTION("""COMPUTED_VALUE"""),"4GB")</f>
        <v>4GB</v>
      </c>
      <c r="Q814" s="23">
        <f t="shared" si="1"/>
        <v>2138.25</v>
      </c>
      <c r="R814" s="22">
        <f t="shared" si="2"/>
        <v>2</v>
      </c>
      <c r="S814" s="23">
        <f t="shared" si="3"/>
        <v>4276.5</v>
      </c>
      <c r="T814" s="22" t="str">
        <f>IFERROR(__xludf.DUMMYFUNCTION("PROPER(TRIM(
  LET(
    texto1, REGEXREPLACE(G814,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"),"Espartaco José Eduardo Zayas")</f>
        <v>Espartaco José Eduardo Zayas</v>
      </c>
      <c r="U814" s="22" t="str">
        <f t="shared" si="4"/>
        <v>d67ed293-5149-4284-baa6-032c288347c3</v>
      </c>
      <c r="V814" s="24" t="str">
        <f t="shared" si="5"/>
        <v>Tablet Estándar 4GB</v>
      </c>
    </row>
    <row r="815" ht="15.75" customHeight="1">
      <c r="A815" s="6">
        <v>45586.0</v>
      </c>
      <c r="B815" s="2" t="s">
        <v>85</v>
      </c>
      <c r="C815" s="2" t="s">
        <v>167</v>
      </c>
      <c r="D815" s="7">
        <v>1604.02</v>
      </c>
      <c r="E815" s="2">
        <v>5.0</v>
      </c>
      <c r="F815" s="7">
        <v>8020.1</v>
      </c>
      <c r="G815" s="2" t="s">
        <v>2749</v>
      </c>
      <c r="H815" s="2" t="s">
        <v>2750</v>
      </c>
      <c r="I815" s="2" t="s">
        <v>2751</v>
      </c>
      <c r="K815" s="25" t="str">
        <f>IFERROR(__xludf.DUMMYFUNCTION("IF(ISBLANK(A815),
  """",
  IF(ISNUMBER(A815),
    TEXT(A815,""dd/mm/yyyy""),
    IF(
      REGEXMATCH(TRIM(A815),""^\d{1,2}/\d{1,2}/\d{4}$""),
      TRIM(A815),
      IFERROR(
        TEXT(DATEVALUE(SUBSTITUTE(SUBSTITUTE(TRIM(A815),""-"",""/""),""."",""/"&amp;""")),""dd/mm/yyyy""),
        TRIM(A815)
      )
    )
  )
)
"),"21/10/2024")</f>
        <v>21/10/2024</v>
      </c>
      <c r="L815" s="26">
        <v>45586.0</v>
      </c>
      <c r="M815" s="27" t="str">
        <f>IFERROR(__xludf.DUMMYFUNCTION("PROPER(TRIM(
  REGEXREPLACE(
    REGEXREPLACE(
      SUBSTITUTE(SUBSTITUTE(SUBSTITUTE(SUBSTITUTE(SUBSTITUTE(SUBSTITUTE(SUBSTITUTE(SUBSTITUTE(SUBSTITUTE(SUBSTITUTE(SUBSTITUTE(
        B815,""√©"",""é""),""√°"",""á""),""√±"",""ñ""),""√≥"",""ó""),""√â"",""é"&amp;"""),""√Å"",""á""),""√ç"",""í""),""√Ç"",""Í""),""√Â"",""é""),""√≠"",""í""),""√º"",""ú""),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15" s="28" t="str">
        <f>IFERROR(__xludf.DUMMYFUNCTION("SPLIT(
  TRIM(
    SUBSTITUTE(
      SUBSTITUTE(
        SUBSTITUTE(
          SUBSTITUTE(
            C815,
            ""√©"", ""é""
          ),
          ""√±"", ""ñ""
        ),
        ""√°"", ""á""
      ),
      ""√≥"", ""ó""
    )
  ),
  ""-""
)
"),"Laptop")</f>
        <v>Laptop</v>
      </c>
      <c r="O815" s="28" t="str">
        <f>IFERROR(__xludf.DUMMYFUNCTION("""COMPUTED_VALUE"""),"Gaming")</f>
        <v>Gaming</v>
      </c>
      <c r="P815" s="28" t="str">
        <f>IFERROR(__xludf.DUMMYFUNCTION("""COMPUTED_VALUE"""),"8GB")</f>
        <v>8GB</v>
      </c>
      <c r="Q815" s="29">
        <f t="shared" si="1"/>
        <v>1604.02</v>
      </c>
      <c r="R815" s="28">
        <f t="shared" si="2"/>
        <v>5</v>
      </c>
      <c r="S815" s="29">
        <f t="shared" si="3"/>
        <v>8020.1</v>
      </c>
      <c r="T815" s="28" t="str">
        <f>IFERROR(__xludf.DUMMYFUNCTION("PROPER(TRIM(
  LET(
    texto1, REGEXREPLACE(G815,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"),"Alma Mondragón Elizondo")</f>
        <v>Alma Mondragón Elizondo</v>
      </c>
      <c r="U815" s="28" t="str">
        <f t="shared" si="4"/>
        <v>a12e4ea3-c46c-4bfd-9028-7458aa0b25d1</v>
      </c>
      <c r="V815" s="30" t="str">
        <f t="shared" si="5"/>
        <v>Laptop Gaming 8GB</v>
      </c>
    </row>
    <row r="816" ht="15.75" customHeight="1">
      <c r="A816" s="6">
        <v>45655.0</v>
      </c>
      <c r="B816" s="2" t="s">
        <v>27</v>
      </c>
      <c r="C816" s="2" t="s">
        <v>807</v>
      </c>
      <c r="D816" s="7">
        <v>714.18</v>
      </c>
      <c r="E816" s="2">
        <v>4.0</v>
      </c>
      <c r="F816" s="7">
        <v>2856.72</v>
      </c>
      <c r="G816" s="2" t="s">
        <v>2752</v>
      </c>
      <c r="H816" s="2" t="s">
        <v>2753</v>
      </c>
      <c r="I816" s="2" t="s">
        <v>2754</v>
      </c>
      <c r="K816" s="19" t="str">
        <f>IFERROR(__xludf.DUMMYFUNCTION("IF(ISBLANK(A816),
  """",
  IF(ISNUMBER(A816),
    TEXT(A816,""dd/mm/yyyy""),
    IF(
      REGEXMATCH(TRIM(A816),""^\d{1,2}/\d{1,2}/\d{4}$""),
      TRIM(A816),
      IFERROR(
        TEXT(DATEVALUE(SUBSTITUTE(SUBSTITUTE(TRIM(A816),""-"",""/""),""."",""/"&amp;""")),""dd/mm/yyyy""),
        TRIM(A816)
      )
    )
  )
)
"),"29/12/2024")</f>
        <v>29/12/2024</v>
      </c>
      <c r="L816" s="20">
        <v>45655.0</v>
      </c>
      <c r="M816" s="21" t="str">
        <f>IFERROR(__xludf.DUMMYFUNCTION("PROPER(TRIM(
  REGEXREPLACE(
    REGEXREPLACE(
      SUBSTITUTE(SUBSTITUTE(SUBSTITUTE(SUBSTITUTE(SUBSTITUTE(SUBSTITUTE(SUBSTITUTE(SUBSTITUTE(SUBSTITUTE(SUBSTITUTE(SUBSTITUTE(
        B816,""√©"",""é""),""√°"",""á""),""√±"",""ñ""),""√≥"",""ó""),""√â"",""é"&amp;"""),""√Å"",""á""),""√ç"",""í""),""√Ç"",""Í""),""√Â"",""é""),""√≠"",""í""),""√º"",""ú""),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16" s="22" t="str">
        <f>IFERROR(__xludf.DUMMYFUNCTION("SPLIT(
  TRIM(
    SUBSTITUTE(
      SUBSTITUTE(
        SUBSTITUTE(
          SUBSTITUTE(
            C816,
            ""√©"", ""é""
          ),
          ""√±"", ""ñ""
        ),
        ""√°"", ""á""
      ),
      ""√≥"", ""ó""
    )
  ),
  ""-""
)
"),"Auriculares")</f>
        <v>Auriculares</v>
      </c>
      <c r="O816" s="22" t="str">
        <f>IFERROR(__xludf.DUMMYFUNCTION("""COMPUTED_VALUE"""),"Con cable")</f>
        <v>Con cable</v>
      </c>
      <c r="P816" s="22" t="str">
        <f>IFERROR(__xludf.DUMMYFUNCTION("""COMPUTED_VALUE"""),"4GB")</f>
        <v>4GB</v>
      </c>
      <c r="Q816" s="23">
        <f t="shared" si="1"/>
        <v>714.18</v>
      </c>
      <c r="R816" s="22">
        <f t="shared" si="2"/>
        <v>4</v>
      </c>
      <c r="S816" s="23">
        <f t="shared" si="3"/>
        <v>2856.72</v>
      </c>
      <c r="T816" s="22" t="str">
        <f>IFERROR(__xludf.DUMMYFUNCTION("PROPER(TRIM(
  LET(
    texto1, REGEXREPLACE(G816,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"),"Aida Perales")</f>
        <v>Aida Perales</v>
      </c>
      <c r="U816" s="22" t="str">
        <f t="shared" si="4"/>
        <v>3bd772bc-8bbc-41a0-b2df-bdeee19f3595</v>
      </c>
      <c r="V816" s="24" t="str">
        <f t="shared" si="5"/>
        <v>Auriculares Con cable 4GB</v>
      </c>
    </row>
    <row r="817" ht="15.75" customHeight="1">
      <c r="A817" s="36">
        <v>45545.0</v>
      </c>
      <c r="B817" s="2" t="s">
        <v>38</v>
      </c>
      <c r="C817" s="2" t="s">
        <v>226</v>
      </c>
      <c r="D817" s="7">
        <v>2181.56</v>
      </c>
      <c r="E817" s="2">
        <v>5.0</v>
      </c>
      <c r="F817" s="7">
        <v>10907.8</v>
      </c>
      <c r="G817" s="2" t="s">
        <v>2755</v>
      </c>
      <c r="H817" s="2" t="s">
        <v>2756</v>
      </c>
      <c r="I817" s="2" t="s">
        <v>2757</v>
      </c>
      <c r="K817" s="25" t="str">
        <f>IFERROR(__xludf.DUMMYFUNCTION("IF(ISBLANK(A817),
  """",
  IF(ISNUMBER(A817),
    TEXT(A817,""dd/mm/yyyy""),
    IF(
      REGEXMATCH(TRIM(A817),""^\d{1,2}/\d{1,2}/\d{4}$""),
      TRIM(A817),
      IFERROR(
        TEXT(DATEVALUE(SUBSTITUTE(SUBSTITUTE(TRIM(A817),""-"",""/""),""."",""/"&amp;""")),""dd/mm/yyyy""),
        TRIM(A817)
      )
    )
  )
)
"),"10/09/2024")</f>
        <v>10/09/2024</v>
      </c>
      <c r="L817" s="26">
        <v>45545.0</v>
      </c>
      <c r="M817" s="27" t="str">
        <f>IFERROR(__xludf.DUMMYFUNCTION("PROPER(TRIM(
  REGEXREPLACE(
    REGEXREPLACE(
      SUBSTITUTE(SUBSTITUTE(SUBSTITUTE(SUBSTITUTE(SUBSTITUTE(SUBSTITUTE(SUBSTITUTE(SUBSTITUTE(SUBSTITUTE(SUBSTITUTE(SUBSTITUTE(
        B817,""√©"",""é""),""√°"",""á""),""√±"",""ñ""),""√≥"",""ó""),""√â"",""é"&amp;"""),""√Å"",""á""),""√ç"",""í""),""√Ç"",""Í""),""√Â"",""é""),""√≠"",""í""),""√º"",""ú""),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17" s="28" t="str">
        <f>IFERROR(__xludf.DUMMYFUNCTION("SPLIT(
  TRIM(
    SUBSTITUTE(
      SUBSTITUTE(
        SUBSTITUTE(
          SUBSTITUTE(
            C817,
            ""√©"", ""é""
          ),
          ""√±"", ""ñ""
        ),
        ""√°"", ""á""
      ),
      ""√≥"", ""ó""
    )
  ),
  ""-""
)
"),"Tablet")</f>
        <v>Tablet</v>
      </c>
      <c r="O817" s="28" t="str">
        <f>IFERROR(__xludf.DUMMYFUNCTION("""COMPUTED_VALUE"""),"Mini")</f>
        <v>Mini</v>
      </c>
      <c r="P817" s="28" t="str">
        <f>IFERROR(__xludf.DUMMYFUNCTION("""COMPUTED_VALUE"""),"16GB")</f>
        <v>16GB</v>
      </c>
      <c r="Q817" s="29">
        <f t="shared" si="1"/>
        <v>2181.56</v>
      </c>
      <c r="R817" s="28">
        <f t="shared" si="2"/>
        <v>5</v>
      </c>
      <c r="S817" s="29">
        <f t="shared" si="3"/>
        <v>10907.8</v>
      </c>
      <c r="T817" s="28" t="str">
        <f>IFERROR(__xludf.DUMMYFUNCTION("PROPER(TRIM(
  LET(
    texto1, REGEXREPLACE(G817,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"),"José Urrutia")</f>
        <v>José Urrutia</v>
      </c>
      <c r="U817" s="28" t="str">
        <f t="shared" si="4"/>
        <v>6150fdc0-97c3-4c8a-9865-22d23587632f</v>
      </c>
      <c r="V817" s="30" t="str">
        <f t="shared" si="5"/>
        <v>Tablet Mini 16GB</v>
      </c>
    </row>
    <row r="818" ht="15.75" customHeight="1">
      <c r="A818" s="6">
        <v>45640.0</v>
      </c>
      <c r="B818" s="2" t="s">
        <v>50</v>
      </c>
      <c r="C818" s="2" t="s">
        <v>147</v>
      </c>
      <c r="D818" s="7">
        <v>2083.24</v>
      </c>
      <c r="E818" s="2">
        <v>1.0</v>
      </c>
      <c r="F818" s="7">
        <v>2083.24</v>
      </c>
      <c r="G818" s="2" t="s">
        <v>2758</v>
      </c>
      <c r="H818" s="2" t="s">
        <v>2759</v>
      </c>
      <c r="I818" s="2" t="s">
        <v>2760</v>
      </c>
      <c r="K818" s="19" t="str">
        <f>IFERROR(__xludf.DUMMYFUNCTION("IF(ISBLANK(A818),
  """",
  IF(ISNUMBER(A818),
    TEXT(A818,""dd/mm/yyyy""),
    IF(
      REGEXMATCH(TRIM(A818),""^\d{1,2}/\d{1,2}/\d{4}$""),
      TRIM(A818),
      IFERROR(
        TEXT(DATEVALUE(SUBSTITUTE(SUBSTITUTE(TRIM(A818),""-"",""/""),""."",""/"&amp;""")),""dd/mm/yyyy""),
        TRIM(A818)
      )
    )
  )
)
"),"14/12/2024")</f>
        <v>14/12/2024</v>
      </c>
      <c r="L818" s="20">
        <v>45640.0</v>
      </c>
      <c r="M818" s="21" t="str">
        <f>IFERROR(__xludf.DUMMYFUNCTION("PROPER(TRIM(
  REGEXREPLACE(
    REGEXREPLACE(
      SUBSTITUTE(SUBSTITUTE(SUBSTITUTE(SUBSTITUTE(SUBSTITUTE(SUBSTITUTE(SUBSTITUTE(SUBSTITUTE(SUBSTITUTE(SUBSTITUTE(SUBSTITUTE(
        B818,""√©"",""é""),""√°"",""á""),""√±"",""ñ""),""√≥"",""ó""),""√â"",""é"&amp;"""),""√Å"",""á""),""√ç"",""í""),""√Ç"",""Í""),""√Â"",""é""),""√≠"",""í""),""√º"",""ú""),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18" s="22" t="str">
        <f>IFERROR(__xludf.DUMMYFUNCTION("SPLIT(
  TRIM(
    SUBSTITUTE(
      SUBSTITUTE(
        SUBSTITUTE(
          SUBSTITUTE(
            C818,
            ""√©"", ""é""
          ),
          ""√±"", ""ñ""
        ),
        ""√°"", ""á""
      ),
      ""√≥"", ""ó""
    )
  ),
  ""-""
)
"),"Laptop")</f>
        <v>Laptop</v>
      </c>
      <c r="O818" s="22" t="str">
        <f>IFERROR(__xludf.DUMMYFUNCTION("""COMPUTED_VALUE"""),"Oficina")</f>
        <v>Oficina</v>
      </c>
      <c r="P818" s="22" t="str">
        <f>IFERROR(__xludf.DUMMYFUNCTION("""COMPUTED_VALUE"""),"16GB")</f>
        <v>16GB</v>
      </c>
      <c r="Q818" s="23">
        <f t="shared" si="1"/>
        <v>2083.24</v>
      </c>
      <c r="R818" s="22">
        <f t="shared" si="2"/>
        <v>1</v>
      </c>
      <c r="S818" s="23">
        <f t="shared" si="3"/>
        <v>2083.24</v>
      </c>
      <c r="T818" s="22" t="str">
        <f>IFERROR(__xludf.DUMMYFUNCTION("PROPER(TRIM(
  LET(
    texto1, REGEXREPLACE(G818,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"),"Humberto Yeni Ceballos")</f>
        <v>Humberto Yeni Ceballos</v>
      </c>
      <c r="U818" s="22" t="str">
        <f t="shared" si="4"/>
        <v>5532c3c2-1fd2-4b63-a93a-fe0891b55345</v>
      </c>
      <c r="V818" s="24" t="str">
        <f t="shared" si="5"/>
        <v>Laptop Oficina 16GB</v>
      </c>
    </row>
    <row r="819" ht="15.75" customHeight="1">
      <c r="A819" s="6">
        <v>45644.0</v>
      </c>
      <c r="B819" s="2" t="s">
        <v>38</v>
      </c>
      <c r="C819" s="2" t="s">
        <v>116</v>
      </c>
      <c r="D819" s="7">
        <v>879.04</v>
      </c>
      <c r="E819" s="2">
        <v>2.0</v>
      </c>
      <c r="F819" s="7">
        <v>1758.08</v>
      </c>
      <c r="G819" s="2" t="s">
        <v>2761</v>
      </c>
      <c r="H819" s="2" t="s">
        <v>2762</v>
      </c>
      <c r="I819" s="2" t="s">
        <v>2763</v>
      </c>
      <c r="K819" s="25" t="str">
        <f>IFERROR(__xludf.DUMMYFUNCTION("IF(ISBLANK(A819),
  """",
  IF(ISNUMBER(A819),
    TEXT(A819,""dd/mm/yyyy""),
    IF(
      REGEXMATCH(TRIM(A819),""^\d{1,2}/\d{1,2}/\d{4}$""),
      TRIM(A819),
      IFERROR(
        TEXT(DATEVALUE(SUBSTITUTE(SUBSTITUTE(TRIM(A819),""-"",""/""),""."",""/"&amp;""")),""dd/mm/yyyy""),
        TRIM(A819)
      )
    )
  )
)
"),"18/12/2024")</f>
        <v>18/12/2024</v>
      </c>
      <c r="L819" s="26">
        <v>45644.0</v>
      </c>
      <c r="M819" s="27" t="str">
        <f>IFERROR(__xludf.DUMMYFUNCTION("PROPER(TRIM(
  REGEXREPLACE(
    REGEXREPLACE(
      SUBSTITUTE(SUBSTITUTE(SUBSTITUTE(SUBSTITUTE(SUBSTITUTE(SUBSTITUTE(SUBSTITUTE(SUBSTITUTE(SUBSTITUTE(SUBSTITUTE(SUBSTITUTE(
        B819,""√©"",""é""),""√°"",""á""),""√±"",""ñ""),""√≥"",""ó""),""√â"",""é"&amp;"""),""√Å"",""á""),""√ç"",""í""),""√Ç"",""Í""),""√Â"",""é""),""√≠"",""í""),""√º"",""ú""),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19" s="28" t="str">
        <f>IFERROR(__xludf.DUMMYFUNCTION("SPLIT(
  TRIM(
    SUBSTITUTE(
      SUBSTITUTE(
        SUBSTITUTE(
          SUBSTITUTE(
            C819,
            ""√©"", ""é""
          ),
          ""√±"", ""ñ""
        ),
        ""√°"", ""á""
      ),
      ""√≥"", ""ó""
    )
  ),
  ""-""
)
"),"Teléfono")</f>
        <v>Teléfono</v>
      </c>
      <c r="O819" s="28" t="str">
        <f>IFERROR(__xludf.DUMMYFUNCTION("""COMPUTED_VALUE"""),"Gama media")</f>
        <v>Gama media</v>
      </c>
      <c r="P819" s="28" t="str">
        <f>IFERROR(__xludf.DUMMYFUNCTION("""COMPUTED_VALUE"""),"4GB")</f>
        <v>4GB</v>
      </c>
      <c r="Q819" s="29">
        <f t="shared" si="1"/>
        <v>879.04</v>
      </c>
      <c r="R819" s="28">
        <f t="shared" si="2"/>
        <v>2</v>
      </c>
      <c r="S819" s="29">
        <f t="shared" si="3"/>
        <v>1758.08</v>
      </c>
      <c r="T819" s="28" t="str">
        <f>IFERROR(__xludf.DUMMYFUNCTION("PROPER(TRIM(
  LET(
    texto1, REGEXREPLACE(G819,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"),"Lorenzo Rafaél Morales Valles")</f>
        <v>Lorenzo Rafaél Morales Valles</v>
      </c>
      <c r="U819" s="28" t="str">
        <f t="shared" si="4"/>
        <v>346d7c42-eb45-461e-a667-5669781129fb</v>
      </c>
      <c r="V819" s="30" t="str">
        <f t="shared" si="5"/>
        <v>Teléfono Gama media 4GB</v>
      </c>
    </row>
    <row r="820" ht="15.75" customHeight="1">
      <c r="A820" s="36">
        <v>45394.0</v>
      </c>
      <c r="B820" s="2" t="s">
        <v>27</v>
      </c>
      <c r="C820" s="2" t="s">
        <v>152</v>
      </c>
      <c r="D820" s="7">
        <v>1606.74</v>
      </c>
      <c r="E820" s="2">
        <v>4.0</v>
      </c>
      <c r="F820" s="7">
        <v>6426.96</v>
      </c>
      <c r="G820" s="2" t="s">
        <v>2764</v>
      </c>
      <c r="H820" s="2" t="s">
        <v>2765</v>
      </c>
      <c r="I820" s="2" t="s">
        <v>2766</v>
      </c>
      <c r="K820" s="19" t="str">
        <f>IFERROR(__xludf.DUMMYFUNCTION("IF(ISBLANK(A820),
  """",
  IF(ISNUMBER(A820),
    TEXT(A820,""dd/mm/yyyy""),
    IF(
      REGEXMATCH(TRIM(A820),""^\d{1,2}/\d{1,2}/\d{4}$""),
      TRIM(A820),
      IFERROR(
        TEXT(DATEVALUE(SUBSTITUTE(SUBSTITUTE(TRIM(A820),""-"",""/""),""."",""/"&amp;""")),""dd/mm/yyyy""),
        TRIM(A820)
      )
    )
  )
)
"),"12/04/2024")</f>
        <v>12/04/2024</v>
      </c>
      <c r="L820" s="20">
        <v>45394.0</v>
      </c>
      <c r="M820" s="21" t="str">
        <f>IFERROR(__xludf.DUMMYFUNCTION("PROPER(TRIM(
  REGEXREPLACE(
    REGEXREPLACE(
      SUBSTITUTE(SUBSTITUTE(SUBSTITUTE(SUBSTITUTE(SUBSTITUTE(SUBSTITUTE(SUBSTITUTE(SUBSTITUTE(SUBSTITUTE(SUBSTITUTE(SUBSTITUTE(
        B820,""√©"",""é""),""√°"",""á""),""√±"",""ñ""),""√≥"",""ó""),""√â"",""é"&amp;"""),""√Å"",""á""),""√ç"",""í""),""√Ç"",""Í""),""√Â"",""é""),""√≠"",""í""),""√º"",""ú""),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20" s="22" t="str">
        <f>IFERROR(__xludf.DUMMYFUNCTION("SPLIT(
  TRIM(
    SUBSTITUTE(
      SUBSTITUTE(
        SUBSTITUTE(
          SUBSTITUTE(
            C820,
            ""√©"", ""é""
          ),
          ""√±"", ""ñ""
        ),
        ""√°"", ""á""
      ),
      ""√≥"", ""ó""
    )
  ),
  ""-""
)
"),"Teléfono")</f>
        <v>Teléfono</v>
      </c>
      <c r="O820" s="22" t="str">
        <f>IFERROR(__xludf.DUMMYFUNCTION("""COMPUTED_VALUE"""),"Gama baja")</f>
        <v>Gama baja</v>
      </c>
      <c r="P820" s="22" t="str">
        <f>IFERROR(__xludf.DUMMYFUNCTION("""COMPUTED_VALUE"""),"4GB")</f>
        <v>4GB</v>
      </c>
      <c r="Q820" s="23">
        <f t="shared" si="1"/>
        <v>1606.74</v>
      </c>
      <c r="R820" s="22">
        <f t="shared" si="2"/>
        <v>4</v>
      </c>
      <c r="S820" s="23">
        <f t="shared" si="3"/>
        <v>6426.96</v>
      </c>
      <c r="T820" s="22" t="str">
        <f>IFERROR(__xludf.DUMMYFUNCTION("PROPER(TRIM(
  LET(
    texto1, REGEXREPLACE(G820,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"),"Florencia Viera")</f>
        <v>Florencia Viera</v>
      </c>
      <c r="U820" s="22" t="str">
        <f t="shared" si="4"/>
        <v>c18afb66-4e4c-4a10-8418-cc817467cd65</v>
      </c>
      <c r="V820" s="24" t="str">
        <f t="shared" si="5"/>
        <v>Teléfono Gama baja 4GB</v>
      </c>
    </row>
    <row r="821" ht="15.75" customHeight="1">
      <c r="A821" s="36">
        <v>45607.0</v>
      </c>
      <c r="B821" s="2" t="s">
        <v>101</v>
      </c>
      <c r="C821" s="2" t="s">
        <v>45</v>
      </c>
      <c r="D821" s="7">
        <v>2442.23</v>
      </c>
      <c r="E821" s="2">
        <v>4.0</v>
      </c>
      <c r="F821" s="7">
        <v>9768.92</v>
      </c>
      <c r="G821" s="2" t="s">
        <v>2767</v>
      </c>
      <c r="H821" s="2" t="s">
        <v>2768</v>
      </c>
      <c r="I821" s="2" t="s">
        <v>2769</v>
      </c>
      <c r="K821" s="25" t="str">
        <f>IFERROR(__xludf.DUMMYFUNCTION("IF(ISBLANK(A821),
  """",
  IF(ISNUMBER(A821),
    TEXT(A821,""dd/mm/yyyy""),
    IF(
      REGEXMATCH(TRIM(A821),""^\d{1,2}/\d{1,2}/\d{4}$""),
      TRIM(A821),
      IFERROR(
        TEXT(DATEVALUE(SUBSTITUTE(SUBSTITUTE(TRIM(A821),""-"",""/""),""."",""/"&amp;""")),""dd/mm/yyyy""),
        TRIM(A821)
      )
    )
  )
)
"),"11/11/2024")</f>
        <v>11/11/2024</v>
      </c>
      <c r="L821" s="26">
        <v>45607.0</v>
      </c>
      <c r="M821" s="27" t="str">
        <f>IFERROR(__xludf.DUMMYFUNCTION("PROPER(TRIM(
  REGEXREPLACE(
    REGEXREPLACE(
      SUBSTITUTE(SUBSTITUTE(SUBSTITUTE(SUBSTITUTE(SUBSTITUTE(SUBSTITUTE(SUBSTITUTE(SUBSTITUTE(SUBSTITUTE(SUBSTITUTE(SUBSTITUTE(
        B821,""√©"",""é""),""√°"",""á""),""√±"",""ñ""),""√≥"",""ó""),""√â"",""é"&amp;"""),""√Å"",""á""),""√ç"",""í""),""√Ç"",""Í""),""√Â"",""é""),""√≠"",""í""),""√º"",""ú""),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21" s="28" t="str">
        <f>IFERROR(__xludf.DUMMYFUNCTION("SPLIT(
  TRIM(
    SUBSTITUTE(
      SUBSTITUTE(
        SUBSTITUTE(
          SUBSTITUTE(
            C821,
            ""√©"", ""é""
          ),
          ""√±"", ""ñ""
        ),
        ""√°"", ""á""
      ),
      ""√≥"", ""ó""
    )
  ),
  ""-""
)
"),"Tablet")</f>
        <v>Tablet</v>
      </c>
      <c r="O821" s="28" t="str">
        <f>IFERROR(__xludf.DUMMYFUNCTION("""COMPUTED_VALUE"""),"Mini")</f>
        <v>Mini</v>
      </c>
      <c r="P821" s="28" t="str">
        <f>IFERROR(__xludf.DUMMYFUNCTION("""COMPUTED_VALUE"""),"4GB")</f>
        <v>4GB</v>
      </c>
      <c r="Q821" s="29">
        <f t="shared" si="1"/>
        <v>2442.23</v>
      </c>
      <c r="R821" s="28">
        <f t="shared" si="2"/>
        <v>4</v>
      </c>
      <c r="S821" s="29">
        <f t="shared" si="3"/>
        <v>9768.92</v>
      </c>
      <c r="T821" s="28" t="str">
        <f>IFERROR(__xludf.DUMMYFUNCTION("PROPER(TRIM(
  LET(
    texto1, REGEXREPLACE(G821,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"),"Camila Arcelia Enríquez Hinojosa")</f>
        <v>Camila Arcelia Enríquez Hinojosa</v>
      </c>
      <c r="U821" s="28" t="str">
        <f t="shared" si="4"/>
        <v>3f4e6744-9808-4bca-91b6-ef2b005468ab</v>
      </c>
      <c r="V821" s="30" t="str">
        <f t="shared" si="5"/>
        <v>Tablet Mini 4GB</v>
      </c>
    </row>
    <row r="822" ht="15.75" customHeight="1">
      <c r="A822" s="36">
        <v>45484.0</v>
      </c>
      <c r="B822" s="2" t="s">
        <v>85</v>
      </c>
      <c r="C822" s="2" t="s">
        <v>80</v>
      </c>
      <c r="D822" s="7">
        <v>462.11</v>
      </c>
      <c r="E822" s="2">
        <v>4.0</v>
      </c>
      <c r="F822" s="7">
        <v>1848.44</v>
      </c>
      <c r="G822" s="2" t="s">
        <v>2770</v>
      </c>
      <c r="H822" s="2" t="s">
        <v>2771</v>
      </c>
      <c r="I822" s="2" t="s">
        <v>2772</v>
      </c>
      <c r="K822" s="19" t="str">
        <f>IFERROR(__xludf.DUMMYFUNCTION("IF(ISBLANK(A822),
  """",
  IF(ISNUMBER(A822),
    TEXT(A822,""dd/mm/yyyy""),
    IF(
      REGEXMATCH(TRIM(A822),""^\d{1,2}/\d{1,2}/\d{4}$""),
      TRIM(A822),
      IFERROR(
        TEXT(DATEVALUE(SUBSTITUTE(SUBSTITUTE(TRIM(A822),""-"",""/""),""."",""/"&amp;""")),""dd/mm/yyyy""),
        TRIM(A822)
      )
    )
  )
)
"),"11/07/2024")</f>
        <v>11/07/2024</v>
      </c>
      <c r="L822" s="20">
        <v>45484.0</v>
      </c>
      <c r="M822" s="21" t="str">
        <f>IFERROR(__xludf.DUMMYFUNCTION("PROPER(TRIM(
  REGEXREPLACE(
    REGEXREPLACE(
      SUBSTITUTE(SUBSTITUTE(SUBSTITUTE(SUBSTITUTE(SUBSTITUTE(SUBSTITUTE(SUBSTITUTE(SUBSTITUTE(SUBSTITUTE(SUBSTITUTE(SUBSTITUTE(
        B822,""√©"",""é""),""√°"",""á""),""√±"",""ñ""),""√≥"",""ó""),""√â"",""é"&amp;"""),""√Å"",""á""),""√ç"",""í""),""√Ç"",""Í""),""√Â"",""é""),""√≠"",""í""),""√º"",""ú""),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22" s="22" t="str">
        <f>IFERROR(__xludf.DUMMYFUNCTION("SPLIT(
  TRIM(
    SUBSTITUTE(
      SUBSTITUTE(
        SUBSTITUTE(
          SUBSTITUTE(
            C822,
            ""√©"", ""é""
          ),
          ""√±"", ""ñ""
        ),
        ""√°"", ""á""
      ),
      ""√≥"", ""ó""
    )
  ),
  ""-""
)
"),"Teléfono")</f>
        <v>Teléfono</v>
      </c>
      <c r="O822" s="22" t="str">
        <f>IFERROR(__xludf.DUMMYFUNCTION("""COMPUTED_VALUE"""),"Gama baja")</f>
        <v>Gama baja</v>
      </c>
      <c r="P822" s="22" t="str">
        <f>IFERROR(__xludf.DUMMYFUNCTION("""COMPUTED_VALUE"""),"16GB")</f>
        <v>16GB</v>
      </c>
      <c r="Q822" s="23">
        <f t="shared" si="1"/>
        <v>462.11</v>
      </c>
      <c r="R822" s="22">
        <f t="shared" si="2"/>
        <v>4</v>
      </c>
      <c r="S822" s="23">
        <f t="shared" si="3"/>
        <v>1848.44</v>
      </c>
      <c r="T822" s="22" t="str">
        <f>IFERROR(__xludf.DUMMYFUNCTION("PROPER(TRIM(
  LET(
    texto1, REGEXREPLACE(G822,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"),"Felipe Fuentes Loera")</f>
        <v>Felipe Fuentes Loera</v>
      </c>
      <c r="U822" s="22" t="str">
        <f t="shared" si="4"/>
        <v>96733b38-2406-4c1b-a994-b0ac17d42098</v>
      </c>
      <c r="V822" s="24" t="str">
        <f t="shared" si="5"/>
        <v>Teléfono Gama baja 16GB</v>
      </c>
    </row>
    <row r="823" ht="15.75" customHeight="1">
      <c r="A823" s="36">
        <v>45516.0</v>
      </c>
      <c r="B823" s="2" t="s">
        <v>50</v>
      </c>
      <c r="C823" s="2" t="s">
        <v>17</v>
      </c>
      <c r="D823" s="7">
        <v>867.71</v>
      </c>
      <c r="E823" s="2">
        <v>3.0</v>
      </c>
      <c r="F823" s="7">
        <v>2603.13</v>
      </c>
      <c r="G823" s="2" t="s">
        <v>2773</v>
      </c>
      <c r="H823" s="2" t="s">
        <v>2774</v>
      </c>
      <c r="I823" s="2" t="s">
        <v>2775</v>
      </c>
      <c r="K823" s="25" t="str">
        <f>IFERROR(__xludf.DUMMYFUNCTION("IF(ISBLANK(A823),
  """",
  IF(ISNUMBER(A823),
    TEXT(A823,""dd/mm/yyyy""),
    IF(
      REGEXMATCH(TRIM(A823),""^\d{1,2}/\d{1,2}/\d{4}$""),
      TRIM(A823),
      IFERROR(
        TEXT(DATEVALUE(SUBSTITUTE(SUBSTITUTE(TRIM(A823),""-"",""/""),""."",""/"&amp;""")),""dd/mm/yyyy""),
        TRIM(A823)
      )
    )
  )
)
"),"12/08/2024")</f>
        <v>12/08/2024</v>
      </c>
      <c r="L823" s="26">
        <v>45516.0</v>
      </c>
      <c r="M823" s="27" t="str">
        <f>IFERROR(__xludf.DUMMYFUNCTION("PROPER(TRIM(
  REGEXREPLACE(
    REGEXREPLACE(
      SUBSTITUTE(SUBSTITUTE(SUBSTITUTE(SUBSTITUTE(SUBSTITUTE(SUBSTITUTE(SUBSTITUTE(SUBSTITUTE(SUBSTITUTE(SUBSTITUTE(SUBSTITUTE(
        B823,""√©"",""é""),""√°"",""á""),""√±"",""ñ""),""√≥"",""ó""),""√â"",""é"&amp;"""),""√Å"",""á""),""√ç"",""í""),""√Ç"",""Í""),""√Â"",""é""),""√≠"",""í""),""√º"",""ú""),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23" s="28" t="str">
        <f>IFERROR(__xludf.DUMMYFUNCTION("SPLIT(
  TRIM(
    SUBSTITUTE(
      SUBSTITUTE(
        SUBSTITUTE(
          SUBSTITUTE(
            C823,
            ""√©"", ""é""
          ),
          ""√±"", ""ñ""
        ),
        ""√°"", ""á""
      ),
      ""√≥"", ""ó""
    )
  ),
  ""-""
)
"),"Auriculares")</f>
        <v>Auriculares</v>
      </c>
      <c r="O823" s="28" t="str">
        <f>IFERROR(__xludf.DUMMYFUNCTION("""COMPUTED_VALUE"""),"Bluetooth")</f>
        <v>Bluetooth</v>
      </c>
      <c r="P823" s="28" t="str">
        <f>IFERROR(__xludf.DUMMYFUNCTION("""COMPUTED_VALUE"""),"8GB")</f>
        <v>8GB</v>
      </c>
      <c r="Q823" s="29">
        <f t="shared" si="1"/>
        <v>867.71</v>
      </c>
      <c r="R823" s="28">
        <f t="shared" si="2"/>
        <v>3</v>
      </c>
      <c r="S823" s="29">
        <f t="shared" si="3"/>
        <v>2603.13</v>
      </c>
      <c r="T823" s="28" t="str">
        <f>IFERROR(__xludf.DUMMYFUNCTION("PROPER(TRIM(
  LET(
    texto1, REGEXREPLACE(G823,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"),"Leonardo Griego")</f>
        <v>Leonardo Griego</v>
      </c>
      <c r="U823" s="28" t="str">
        <f t="shared" si="4"/>
        <v>f31c900d-f7f8-4aa9-8044-9fceda063770</v>
      </c>
      <c r="V823" s="30" t="str">
        <f t="shared" si="5"/>
        <v>Auriculares Bluetooth 8GB</v>
      </c>
    </row>
    <row r="824" ht="15.75" customHeight="1">
      <c r="A824" s="6">
        <v>45654.0</v>
      </c>
      <c r="B824" s="2" t="s">
        <v>16</v>
      </c>
      <c r="C824" s="2" t="s">
        <v>121</v>
      </c>
      <c r="D824" s="7">
        <v>1793.94</v>
      </c>
      <c r="E824" s="2">
        <v>3.0</v>
      </c>
      <c r="F824" s="7">
        <v>5381.82</v>
      </c>
      <c r="G824" s="2" t="s">
        <v>2776</v>
      </c>
      <c r="H824" s="2" t="s">
        <v>2777</v>
      </c>
      <c r="I824" s="2" t="s">
        <v>2778</v>
      </c>
      <c r="K824" s="19" t="str">
        <f>IFERROR(__xludf.DUMMYFUNCTION("IF(ISBLANK(A824),
  """",
  IF(ISNUMBER(A824),
    TEXT(A824,""dd/mm/yyyy""),
    IF(
      REGEXMATCH(TRIM(A824),""^\d{1,2}/\d{1,2}/\d{4}$""),
      TRIM(A824),
      IFERROR(
        TEXT(DATEVALUE(SUBSTITUTE(SUBSTITUTE(TRIM(A824),""-"",""/""),""."",""/"&amp;""")),""dd/mm/yyyy""),
        TRIM(A824)
      )
    )
  )
)
"),"28/12/2024")</f>
        <v>28/12/2024</v>
      </c>
      <c r="L824" s="20">
        <v>45654.0</v>
      </c>
      <c r="M824" s="21" t="str">
        <f>IFERROR(__xludf.DUMMYFUNCTION("PROPER(TRIM(
  REGEXREPLACE(
    REGEXREPLACE(
      SUBSTITUTE(SUBSTITUTE(SUBSTITUTE(SUBSTITUTE(SUBSTITUTE(SUBSTITUTE(SUBSTITUTE(SUBSTITUTE(SUBSTITUTE(SUBSTITUTE(SUBSTITUTE(
        B824,""√©"",""é""),""√°"",""á""),""√±"",""ñ""),""√≥"",""ó""),""√â"",""é"&amp;"""),""√Å"",""á""),""√ç"",""í""),""√Ç"",""Í""),""√Â"",""é""),""√≠"",""í""),""√º"",""ú""),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24" s="22" t="str">
        <f>IFERROR(__xludf.DUMMYFUNCTION("SPLIT(
  TRIM(
    SUBSTITUTE(
      SUBSTITUTE(
        SUBSTITUTE(
          SUBSTITUTE(
            C824,
            ""√©"", ""é""
          ),
          ""√±"", ""ñ""
        ),
        ""√°"", ""á""
      ),
      ""√≥"", ""ó""
    )
  ),
  ""-""
)
"),"Teléfono")</f>
        <v>Teléfono</v>
      </c>
      <c r="O824" s="22" t="str">
        <f>IFERROR(__xludf.DUMMYFUNCTION("""COMPUTED_VALUE"""),"Gama baja")</f>
        <v>Gama baja</v>
      </c>
      <c r="P824" s="22" t="str">
        <f>IFERROR(__xludf.DUMMYFUNCTION("""COMPUTED_VALUE"""),"8GB")</f>
        <v>8GB</v>
      </c>
      <c r="Q824" s="23">
        <f t="shared" si="1"/>
        <v>1793.94</v>
      </c>
      <c r="R824" s="22">
        <f t="shared" si="2"/>
        <v>3</v>
      </c>
      <c r="S824" s="23">
        <f t="shared" si="3"/>
        <v>5381.82</v>
      </c>
      <c r="T824" s="22" t="str">
        <f>IFERROR(__xludf.DUMMYFUNCTION("PROPER(TRIM(
  LET(
    texto1, REGEXREPLACE(G824,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"),"Nadia Canales Nñez")</f>
        <v>Nadia Canales Nñez</v>
      </c>
      <c r="U824" s="22" t="str">
        <f t="shared" si="4"/>
        <v>0aaaf135-b356-4f2c-bdf2-f1df1f461081</v>
      </c>
      <c r="V824" s="24" t="str">
        <f t="shared" si="5"/>
        <v>Teléfono Gama baja 8GB</v>
      </c>
    </row>
    <row r="825" ht="15.75" customHeight="1">
      <c r="A825" s="6">
        <v>45621.0</v>
      </c>
      <c r="B825" s="2" t="s">
        <v>38</v>
      </c>
      <c r="C825" s="2" t="s">
        <v>91</v>
      </c>
      <c r="D825" s="7">
        <v>2068.34</v>
      </c>
      <c r="E825" s="2">
        <v>2.0</v>
      </c>
      <c r="F825" s="7">
        <v>4136.68</v>
      </c>
      <c r="G825" s="2" t="s">
        <v>2779</v>
      </c>
      <c r="H825" s="2" t="s">
        <v>2780</v>
      </c>
      <c r="I825" s="2" t="s">
        <v>2781</v>
      </c>
      <c r="K825" s="25" t="str">
        <f>IFERROR(__xludf.DUMMYFUNCTION("IF(ISBLANK(A825),
  """",
  IF(ISNUMBER(A825),
    TEXT(A825,""dd/mm/yyyy""),
    IF(
      REGEXMATCH(TRIM(A825),""^\d{1,2}/\d{1,2}/\d{4}$""),
      TRIM(A825),
      IFERROR(
        TEXT(DATEVALUE(SUBSTITUTE(SUBSTITUTE(TRIM(A825),""-"",""/""),""."",""/"&amp;""")),""dd/mm/yyyy""),
        TRIM(A825)
      )
    )
  )
)
"),"25/11/2024")</f>
        <v>25/11/2024</v>
      </c>
      <c r="L825" s="26">
        <v>45621.0</v>
      </c>
      <c r="M825" s="27" t="str">
        <f>IFERROR(__xludf.DUMMYFUNCTION("PROPER(TRIM(
  REGEXREPLACE(
    REGEXREPLACE(
      SUBSTITUTE(SUBSTITUTE(SUBSTITUTE(SUBSTITUTE(SUBSTITUTE(SUBSTITUTE(SUBSTITUTE(SUBSTITUTE(SUBSTITUTE(SUBSTITUTE(SUBSTITUTE(
        B825,""√©"",""é""),""√°"",""á""),""√±"",""ñ""),""√≥"",""ó""),""√â"",""é"&amp;"""),""√Å"",""á""),""√ç"",""í""),""√Ç"",""Í""),""√Â"",""é""),""√≠"",""í""),""√º"",""ú""),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25" s="28" t="str">
        <f>IFERROR(__xludf.DUMMYFUNCTION("SPLIT(
  TRIM(
    SUBSTITUTE(
      SUBSTITUTE(
        SUBSTITUTE(
          SUBSTITUTE(
            C825,
            ""√©"", ""é""
          ),
          ""√±"", ""ñ""
        ),
        ""√°"", ""á""
      ),
      ""√≥"", ""ó""
    )
  ),
  ""-""
)
"),"Tablet")</f>
        <v>Tablet</v>
      </c>
      <c r="O825" s="28" t="str">
        <f>IFERROR(__xludf.DUMMYFUNCTION("""COMPUTED_VALUE"""),"Mini")</f>
        <v>Mini</v>
      </c>
      <c r="P825" s="28" t="str">
        <f>IFERROR(__xludf.DUMMYFUNCTION("""COMPUTED_VALUE"""),"32GB")</f>
        <v>32GB</v>
      </c>
      <c r="Q825" s="29">
        <f t="shared" si="1"/>
        <v>2068.34</v>
      </c>
      <c r="R825" s="28">
        <f t="shared" si="2"/>
        <v>2</v>
      </c>
      <c r="S825" s="29">
        <f t="shared" si="3"/>
        <v>4136.68</v>
      </c>
      <c r="T825" s="28" t="str">
        <f>IFERROR(__xludf.DUMMYFUNCTION("PROPER(TRIM(
  LET(
    texto1, REGEXREPLACE(G825,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"),"Soledad Yeni Gonzales")</f>
        <v>Soledad Yeni Gonzales</v>
      </c>
      <c r="U825" s="28" t="str">
        <f t="shared" si="4"/>
        <v>27424277-2200-4cc7-a0af-4c423a089f4b</v>
      </c>
      <c r="V825" s="30" t="str">
        <f t="shared" si="5"/>
        <v>Tablet Mini 32GB</v>
      </c>
    </row>
    <row r="826" ht="15.75" customHeight="1">
      <c r="A826" s="6">
        <v>45649.0</v>
      </c>
      <c r="B826" s="2" t="s">
        <v>27</v>
      </c>
      <c r="C826" s="2" t="s">
        <v>167</v>
      </c>
      <c r="D826" s="7">
        <v>2469.75</v>
      </c>
      <c r="E826" s="2">
        <v>5.0</v>
      </c>
      <c r="F826" s="7">
        <v>12348.75</v>
      </c>
      <c r="G826" s="2" t="s">
        <v>2782</v>
      </c>
      <c r="H826" s="2" t="s">
        <v>2783</v>
      </c>
      <c r="I826" s="2" t="s">
        <v>2784</v>
      </c>
      <c r="K826" s="19" t="str">
        <f>IFERROR(__xludf.DUMMYFUNCTION("IF(ISBLANK(A826),
  """",
  IF(ISNUMBER(A826),
    TEXT(A826,""dd/mm/yyyy""),
    IF(
      REGEXMATCH(TRIM(A826),""^\d{1,2}/\d{1,2}/\d{4}$""),
      TRIM(A826),
      IFERROR(
        TEXT(DATEVALUE(SUBSTITUTE(SUBSTITUTE(TRIM(A826),""-"",""/""),""."",""/"&amp;""")),""dd/mm/yyyy""),
        TRIM(A826)
      )
    )
  )
)
"),"23/12/2024")</f>
        <v>23/12/2024</v>
      </c>
      <c r="L826" s="20">
        <v>45649.0</v>
      </c>
      <c r="M826" s="21" t="str">
        <f>IFERROR(__xludf.DUMMYFUNCTION("PROPER(TRIM(
  REGEXREPLACE(
    REGEXREPLACE(
      SUBSTITUTE(SUBSTITUTE(SUBSTITUTE(SUBSTITUTE(SUBSTITUTE(SUBSTITUTE(SUBSTITUTE(SUBSTITUTE(SUBSTITUTE(SUBSTITUTE(SUBSTITUTE(
        B826,""√©"",""é""),""√°"",""á""),""√±"",""ñ""),""√≥"",""ó""),""√â"",""é"&amp;"""),""√Å"",""á""),""√ç"",""í""),""√Ç"",""Í""),""√Â"",""é""),""√≠"",""í""),""√º"",""ú""),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26" s="22" t="str">
        <f>IFERROR(__xludf.DUMMYFUNCTION("SPLIT(
  TRIM(
    SUBSTITUTE(
      SUBSTITUTE(
        SUBSTITUTE(
          SUBSTITUTE(
            C826,
            ""√©"", ""é""
          ),
          ""√±"", ""ñ""
        ),
        ""√°"", ""á""
      ),
      ""√≥"", ""ó""
    )
  ),
  ""-""
)
"),"Laptop")</f>
        <v>Laptop</v>
      </c>
      <c r="O826" s="22" t="str">
        <f>IFERROR(__xludf.DUMMYFUNCTION("""COMPUTED_VALUE"""),"Gaming")</f>
        <v>Gaming</v>
      </c>
      <c r="P826" s="22" t="str">
        <f>IFERROR(__xludf.DUMMYFUNCTION("""COMPUTED_VALUE"""),"8GB")</f>
        <v>8GB</v>
      </c>
      <c r="Q826" s="23">
        <f t="shared" si="1"/>
        <v>2469.75</v>
      </c>
      <c r="R826" s="22">
        <f t="shared" si="2"/>
        <v>5</v>
      </c>
      <c r="S826" s="23">
        <f t="shared" si="3"/>
        <v>12348.75</v>
      </c>
      <c r="T826" s="22" t="str">
        <f>IFERROR(__xludf.DUMMYFUNCTION("PROPER(TRIM(
  LET(
    texto1, REGEXREPLACE(G826,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"),"Samuel Esteban Caraballo Balderas")</f>
        <v>Samuel Esteban Caraballo Balderas</v>
      </c>
      <c r="U826" s="22" t="str">
        <f t="shared" si="4"/>
        <v>7262df37-0083-41ed-b686-43f93dc8ea21</v>
      </c>
      <c r="V826" s="24" t="str">
        <f t="shared" si="5"/>
        <v>Laptop Gaming 8GB</v>
      </c>
    </row>
    <row r="827" ht="15.75" customHeight="1">
      <c r="A827" s="6">
        <v>45581.0</v>
      </c>
      <c r="B827" s="2" t="s">
        <v>50</v>
      </c>
      <c r="C827" s="2" t="s">
        <v>245</v>
      </c>
      <c r="D827" s="7">
        <v>1268.91</v>
      </c>
      <c r="E827" s="2">
        <v>2.0</v>
      </c>
      <c r="F827" s="7">
        <v>2537.82</v>
      </c>
      <c r="G827" s="2" t="s">
        <v>2785</v>
      </c>
      <c r="H827" s="2" t="s">
        <v>2786</v>
      </c>
      <c r="I827" s="2" t="s">
        <v>2787</v>
      </c>
      <c r="K827" s="25" t="str">
        <f>IFERROR(__xludf.DUMMYFUNCTION("IF(ISBLANK(A827),
  """",
  IF(ISNUMBER(A827),
    TEXT(A827,""dd/mm/yyyy""),
    IF(
      REGEXMATCH(TRIM(A827),""^\d{1,2}/\d{1,2}/\d{4}$""),
      TRIM(A827),
      IFERROR(
        TEXT(DATEVALUE(SUBSTITUTE(SUBSTITUTE(TRIM(A827),""-"",""/""),""."",""/"&amp;""")),""dd/mm/yyyy""),
        TRIM(A827)
      )
    )
  )
)
"),"16/10/2024")</f>
        <v>16/10/2024</v>
      </c>
      <c r="L827" s="26">
        <v>45581.0</v>
      </c>
      <c r="M827" s="27" t="str">
        <f>IFERROR(__xludf.DUMMYFUNCTION("PROPER(TRIM(
  REGEXREPLACE(
    REGEXREPLACE(
      SUBSTITUTE(SUBSTITUTE(SUBSTITUTE(SUBSTITUTE(SUBSTITUTE(SUBSTITUTE(SUBSTITUTE(SUBSTITUTE(SUBSTITUTE(SUBSTITUTE(SUBSTITUTE(
        B827,""√©"",""é""),""√°"",""á""),""√±"",""ñ""),""√≥"",""ó""),""√â"",""é"&amp;"""),""√Å"",""á""),""√ç"",""í""),""√Ç"",""Í""),""√Â"",""é""),""√≠"",""í""),""√º"",""ú""),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27" s="28" t="str">
        <f>IFERROR(__xludf.DUMMYFUNCTION("SPLIT(
  TRIM(
    SUBSTITUTE(
      SUBSTITUTE(
        SUBSTITUTE(
          SUBSTITUTE(
            C827,
            ""√©"", ""é""
          ),
          ""√±"", ""ñ""
        ),
        ""√°"", ""á""
      ),
      ""√≥"", ""ó""
    )
  ),
  ""-""
)
"),"Teléfono")</f>
        <v>Teléfono</v>
      </c>
      <c r="O827" s="28" t="str">
        <f>IFERROR(__xludf.DUMMYFUNCTION("""COMPUTED_VALUE"""),"Gama baja")</f>
        <v>Gama baja</v>
      </c>
      <c r="P827" s="28" t="str">
        <f>IFERROR(__xludf.DUMMYFUNCTION("""COMPUTED_VALUE"""),"32GB")</f>
        <v>32GB</v>
      </c>
      <c r="Q827" s="29">
        <f t="shared" si="1"/>
        <v>1268.91</v>
      </c>
      <c r="R827" s="28">
        <f t="shared" si="2"/>
        <v>2</v>
      </c>
      <c r="S827" s="29">
        <f t="shared" si="3"/>
        <v>2537.82</v>
      </c>
      <c r="T827" s="28" t="str">
        <f>IFERROR(__xludf.DUMMYFUNCTION("PROPER(TRIM(
  LET(
    texto1, REGEXREPLACE(G827,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"),"Rosalia Florencia Contreras")</f>
        <v>Rosalia Florencia Contreras</v>
      </c>
      <c r="U827" s="28" t="str">
        <f t="shared" si="4"/>
        <v>54ac59d8-1eda-4373-bd55-691a4a1a13f9</v>
      </c>
      <c r="V827" s="30" t="str">
        <f t="shared" si="5"/>
        <v>Teléfono Gama baja 32GB</v>
      </c>
    </row>
    <row r="828" ht="15.75" customHeight="1">
      <c r="A828" s="6">
        <v>45640.0</v>
      </c>
      <c r="B828" s="2" t="s">
        <v>50</v>
      </c>
      <c r="C828" s="2" t="s">
        <v>385</v>
      </c>
      <c r="D828" s="7">
        <v>818.61</v>
      </c>
      <c r="E828" s="2">
        <v>3.0</v>
      </c>
      <c r="F828" s="7">
        <v>2455.83</v>
      </c>
      <c r="G828" s="2" t="s">
        <v>2788</v>
      </c>
      <c r="H828" s="2" t="s">
        <v>2789</v>
      </c>
      <c r="I828" s="2" t="s">
        <v>2790</v>
      </c>
      <c r="K828" s="19" t="str">
        <f>IFERROR(__xludf.DUMMYFUNCTION("IF(ISBLANK(A828),
  """",
  IF(ISNUMBER(A828),
    TEXT(A828,""dd/mm/yyyy""),
    IF(
      REGEXMATCH(TRIM(A828),""^\d{1,2}/\d{1,2}/\d{4}$""),
      TRIM(A828),
      IFERROR(
        TEXT(DATEVALUE(SUBSTITUTE(SUBSTITUTE(TRIM(A828),""-"",""/""),""."",""/"&amp;""")),""dd/mm/yyyy""),
        TRIM(A828)
      )
    )
  )
)
"),"14/12/2024")</f>
        <v>14/12/2024</v>
      </c>
      <c r="L828" s="20">
        <v>45640.0</v>
      </c>
      <c r="M828" s="21" t="str">
        <f>IFERROR(__xludf.DUMMYFUNCTION("PROPER(TRIM(
  REGEXREPLACE(
    REGEXREPLACE(
      SUBSTITUTE(SUBSTITUTE(SUBSTITUTE(SUBSTITUTE(SUBSTITUTE(SUBSTITUTE(SUBSTITUTE(SUBSTITUTE(SUBSTITUTE(SUBSTITUTE(SUBSTITUTE(
        B828,""√©"",""é""),""√°"",""á""),""√±"",""ñ""),""√≥"",""ó""),""√â"",""é"&amp;"""),""√Å"",""á""),""√ç"",""í""),""√Ç"",""Í""),""√Â"",""é""),""√≠"",""í""),""√º"",""ú""),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28" s="22" t="str">
        <f>IFERROR(__xludf.DUMMYFUNCTION("SPLIT(
  TRIM(
    SUBSTITUTE(
      SUBSTITUTE(
        SUBSTITUTE(
          SUBSTITUTE(
            C828,
            ""√©"", ""é""
          ),
          ""√±"", ""ñ""
        ),
        ""√°"", ""á""
      ),
      ""√≥"", ""ó""
    )
  ),
  ""-""
)
"),"Tablet")</f>
        <v>Tablet</v>
      </c>
      <c r="O828" s="22" t="str">
        <f>IFERROR(__xludf.DUMMYFUNCTION("""COMPUTED_VALUE"""),"Estándar")</f>
        <v>Estándar</v>
      </c>
      <c r="P828" s="22" t="str">
        <f>IFERROR(__xludf.DUMMYFUNCTION("""COMPUTED_VALUE"""),"32GB")</f>
        <v>32GB</v>
      </c>
      <c r="Q828" s="23">
        <f t="shared" si="1"/>
        <v>818.61</v>
      </c>
      <c r="R828" s="22">
        <f t="shared" si="2"/>
        <v>3</v>
      </c>
      <c r="S828" s="23">
        <f t="shared" si="3"/>
        <v>2455.83</v>
      </c>
      <c r="T828" s="22" t="str">
        <f>IFERROR(__xludf.DUMMYFUNCTION("PROPER(TRIM(
  LET(
    texto1, REGEXREPLACE(G828,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"),"Eugenio Almonte")</f>
        <v>Eugenio Almonte</v>
      </c>
      <c r="U828" s="22" t="str">
        <f t="shared" si="4"/>
        <v>b5bf5404-1040-4584-9e23-bd9aa4a748c4</v>
      </c>
      <c r="V828" s="24" t="str">
        <f t="shared" si="5"/>
        <v>Tablet Estándar 32GB</v>
      </c>
    </row>
    <row r="829" ht="15.75" customHeight="1">
      <c r="A829" s="36">
        <v>45515.0</v>
      </c>
      <c r="B829" s="2" t="s">
        <v>101</v>
      </c>
      <c r="C829" s="2" t="s">
        <v>245</v>
      </c>
      <c r="D829" s="7">
        <v>500.92</v>
      </c>
      <c r="E829" s="2">
        <v>5.0</v>
      </c>
      <c r="F829" s="7">
        <v>2504.6</v>
      </c>
      <c r="G829" s="2" t="s">
        <v>2791</v>
      </c>
      <c r="H829" s="2" t="s">
        <v>2792</v>
      </c>
      <c r="I829" s="2" t="s">
        <v>2793</v>
      </c>
      <c r="K829" s="25" t="str">
        <f>IFERROR(__xludf.DUMMYFUNCTION("IF(ISBLANK(A829),
  """",
  IF(ISNUMBER(A829),
    TEXT(A829,""dd/mm/yyyy""),
    IF(
      REGEXMATCH(TRIM(A829),""^\d{1,2}/\d{1,2}/\d{4}$""),
      TRIM(A829),
      IFERROR(
        TEXT(DATEVALUE(SUBSTITUTE(SUBSTITUTE(TRIM(A829),""-"",""/""),""."",""/"&amp;""")),""dd/mm/yyyy""),
        TRIM(A829)
      )
    )
  )
)
"),"11/08/2024")</f>
        <v>11/08/2024</v>
      </c>
      <c r="L829" s="26">
        <v>45515.0</v>
      </c>
      <c r="M829" s="27" t="str">
        <f>IFERROR(__xludf.DUMMYFUNCTION("PROPER(TRIM(
  REGEXREPLACE(
    REGEXREPLACE(
      SUBSTITUTE(SUBSTITUTE(SUBSTITUTE(SUBSTITUTE(SUBSTITUTE(SUBSTITUTE(SUBSTITUTE(SUBSTITUTE(SUBSTITUTE(SUBSTITUTE(SUBSTITUTE(
        B829,""√©"",""é""),""√°"",""á""),""√±"",""ñ""),""√≥"",""ó""),""√â"",""é"&amp;"""),""√Å"",""á""),""√ç"",""í""),""√Ç"",""Í""),""√Â"",""é""),""√≠"",""í""),""√º"",""ú""),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29" s="28" t="str">
        <f>IFERROR(__xludf.DUMMYFUNCTION("SPLIT(
  TRIM(
    SUBSTITUTE(
      SUBSTITUTE(
        SUBSTITUTE(
          SUBSTITUTE(
            C829,
            ""√©"", ""é""
          ),
          ""√±"", ""ñ""
        ),
        ""√°"", ""á""
      ),
      ""√≥"", ""ó""
    )
  ),
  ""-""
)
"),"Teléfono")</f>
        <v>Teléfono</v>
      </c>
      <c r="O829" s="28" t="str">
        <f>IFERROR(__xludf.DUMMYFUNCTION("""COMPUTED_VALUE"""),"Gama baja")</f>
        <v>Gama baja</v>
      </c>
      <c r="P829" s="28" t="str">
        <f>IFERROR(__xludf.DUMMYFUNCTION("""COMPUTED_VALUE"""),"32GB")</f>
        <v>32GB</v>
      </c>
      <c r="Q829" s="29">
        <f t="shared" si="1"/>
        <v>500.92</v>
      </c>
      <c r="R829" s="28">
        <f t="shared" si="2"/>
        <v>5</v>
      </c>
      <c r="S829" s="29">
        <f t="shared" si="3"/>
        <v>2504.6</v>
      </c>
      <c r="T829" s="28" t="str">
        <f>IFERROR(__xludf.DUMMYFUNCTION("PROPER(TRIM(
  LET(
    texto1, REGEXREPLACE(G829,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"),"Francisca Norma Valle Lozada")</f>
        <v>Francisca Norma Valle Lozada</v>
      </c>
      <c r="U829" s="28" t="str">
        <f t="shared" si="4"/>
        <v>7570252f-383e-4b44-92de-ec6fa27e5c27</v>
      </c>
      <c r="V829" s="30" t="str">
        <f t="shared" si="5"/>
        <v>Teléfono Gama baja 32GB</v>
      </c>
    </row>
    <row r="830" ht="15.75" customHeight="1">
      <c r="A830" s="36">
        <v>45363.0</v>
      </c>
      <c r="B830" s="2" t="s">
        <v>38</v>
      </c>
      <c r="C830" s="2" t="s">
        <v>152</v>
      </c>
      <c r="D830" s="7">
        <v>2247.57</v>
      </c>
      <c r="E830" s="2">
        <v>4.0</v>
      </c>
      <c r="F830" s="7">
        <v>8990.28</v>
      </c>
      <c r="G830" s="2" t="s">
        <v>2794</v>
      </c>
      <c r="H830" s="2" t="s">
        <v>2795</v>
      </c>
      <c r="I830" s="2" t="s">
        <v>2796</v>
      </c>
      <c r="K830" s="19" t="str">
        <f>IFERROR(__xludf.DUMMYFUNCTION("IF(ISBLANK(A830),
  """",
  IF(ISNUMBER(A830),
    TEXT(A830,""dd/mm/yyyy""),
    IF(
      REGEXMATCH(TRIM(A830),""^\d{1,2}/\d{1,2}/\d{4}$""),
      TRIM(A830),
      IFERROR(
        TEXT(DATEVALUE(SUBSTITUTE(SUBSTITUTE(TRIM(A830),""-"",""/""),""."",""/"&amp;""")),""dd/mm/yyyy""),
        TRIM(A830)
      )
    )
  )
)
"),"12/03/2024")</f>
        <v>12/03/2024</v>
      </c>
      <c r="L830" s="20">
        <v>45363.0</v>
      </c>
      <c r="M830" s="21" t="str">
        <f>IFERROR(__xludf.DUMMYFUNCTION("PROPER(TRIM(
  REGEXREPLACE(
    REGEXREPLACE(
      SUBSTITUTE(SUBSTITUTE(SUBSTITUTE(SUBSTITUTE(SUBSTITUTE(SUBSTITUTE(SUBSTITUTE(SUBSTITUTE(SUBSTITUTE(SUBSTITUTE(SUBSTITUTE(
        B830,""√©"",""é""),""√°"",""á""),""√±"",""ñ""),""√≥"",""ó""),""√â"",""é"&amp;"""),""√Å"",""á""),""√ç"",""í""),""√Ç"",""Í""),""√Â"",""é""),""√≠"",""í""),""√º"",""ú""),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30" s="22" t="str">
        <f>IFERROR(__xludf.DUMMYFUNCTION("SPLIT(
  TRIM(
    SUBSTITUTE(
      SUBSTITUTE(
        SUBSTITUTE(
          SUBSTITUTE(
            C830,
            ""√©"", ""é""
          ),
          ""√±"", ""ñ""
        ),
        ""√°"", ""á""
      ),
      ""√≥"", ""ó""
    )
  ),
  ""-""
)
"),"Teléfono")</f>
        <v>Teléfono</v>
      </c>
      <c r="O830" s="22" t="str">
        <f>IFERROR(__xludf.DUMMYFUNCTION("""COMPUTED_VALUE"""),"Gama baja")</f>
        <v>Gama baja</v>
      </c>
      <c r="P830" s="22" t="str">
        <f>IFERROR(__xludf.DUMMYFUNCTION("""COMPUTED_VALUE"""),"4GB")</f>
        <v>4GB</v>
      </c>
      <c r="Q830" s="23">
        <f t="shared" si="1"/>
        <v>2247.57</v>
      </c>
      <c r="R830" s="22">
        <f t="shared" si="2"/>
        <v>4</v>
      </c>
      <c r="S830" s="23">
        <f t="shared" si="3"/>
        <v>8990.28</v>
      </c>
      <c r="T830" s="22" t="str">
        <f>IFERROR(__xludf.DUMMYFUNCTION("PROPER(TRIM(
  LET(
    texto1, REGEXREPLACE(G830,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"),"Olga Delgadillo")</f>
        <v>Olga Delgadillo</v>
      </c>
      <c r="U830" s="22" t="str">
        <f t="shared" si="4"/>
        <v>d99b4d05-4df3-4c9f-a3a3-39f8b9dd5f4b</v>
      </c>
      <c r="V830" s="24" t="str">
        <f t="shared" si="5"/>
        <v>Teléfono Gama baja 4GB</v>
      </c>
    </row>
    <row r="831" ht="15.75" customHeight="1">
      <c r="A831" s="6">
        <v>45616.0</v>
      </c>
      <c r="B831" s="2" t="s">
        <v>85</v>
      </c>
      <c r="C831" s="2" t="s">
        <v>55</v>
      </c>
      <c r="D831" s="7">
        <v>2189.91</v>
      </c>
      <c r="E831" s="2">
        <v>3.0</v>
      </c>
      <c r="F831" s="7">
        <v>6569.73</v>
      </c>
      <c r="G831" s="2" t="s">
        <v>2797</v>
      </c>
      <c r="H831" s="2" t="s">
        <v>2798</v>
      </c>
      <c r="I831" s="2" t="s">
        <v>2799</v>
      </c>
      <c r="K831" s="25" t="str">
        <f>IFERROR(__xludf.DUMMYFUNCTION("IF(ISBLANK(A831),
  """",
  IF(ISNUMBER(A831),
    TEXT(A831,""dd/mm/yyyy""),
    IF(
      REGEXMATCH(TRIM(A831),""^\d{1,2}/\d{1,2}/\d{4}$""),
      TRIM(A831),
      IFERROR(
        TEXT(DATEVALUE(SUBSTITUTE(SUBSTITUTE(TRIM(A831),""-"",""/""),""."",""/"&amp;""")),""dd/mm/yyyy""),
        TRIM(A831)
      )
    )
  )
)
"),"20/11/2024")</f>
        <v>20/11/2024</v>
      </c>
      <c r="L831" s="26">
        <v>45616.0</v>
      </c>
      <c r="M831" s="27" t="str">
        <f>IFERROR(__xludf.DUMMYFUNCTION("PROPER(TRIM(
  REGEXREPLACE(
    REGEXREPLACE(
      SUBSTITUTE(SUBSTITUTE(SUBSTITUTE(SUBSTITUTE(SUBSTITUTE(SUBSTITUTE(SUBSTITUTE(SUBSTITUTE(SUBSTITUTE(SUBSTITUTE(SUBSTITUTE(
        B831,""√©"",""é""),""√°"",""á""),""√±"",""ñ""),""√≥"",""ó""),""√â"",""é"&amp;"""),""√Å"",""á""),""√ç"",""í""),""√Ç"",""Í""),""√Â"",""é""),""√≠"",""í""),""√º"",""ú""),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31" s="28" t="str">
        <f>IFERROR(__xludf.DUMMYFUNCTION("SPLIT(
  TRIM(
    SUBSTITUTE(
      SUBSTITUTE(
        SUBSTITUTE(
          SUBSTITUTE(
            C831,
            ""√©"", ""é""
          ),
          ""√±"", ""ñ""
        ),
        ""√°"", ""á""
      ),
      ""√≥"", ""ó""
    )
  ),
  ""-""
)
"),"Laptop")</f>
        <v>Laptop</v>
      </c>
      <c r="O831" s="28" t="str">
        <f>IFERROR(__xludf.DUMMYFUNCTION("""COMPUTED_VALUE"""),"Ultraliviana")</f>
        <v>Ultraliviana</v>
      </c>
      <c r="P831" s="28" t="str">
        <f>IFERROR(__xludf.DUMMYFUNCTION("""COMPUTED_VALUE"""),"16GB")</f>
        <v>16GB</v>
      </c>
      <c r="Q831" s="29">
        <f t="shared" si="1"/>
        <v>2189.91</v>
      </c>
      <c r="R831" s="28">
        <f t="shared" si="2"/>
        <v>3</v>
      </c>
      <c r="S831" s="29">
        <f t="shared" si="3"/>
        <v>6569.73</v>
      </c>
      <c r="T831" s="28" t="str">
        <f>IFERROR(__xludf.DUMMYFUNCTION("PROPER(TRIM(
  LET(
    texto1, REGEXREPLACE(G831,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Anguiano")</f>
        <v>Cristina Anguiano</v>
      </c>
      <c r="U831" s="28" t="str">
        <f t="shared" si="4"/>
        <v>21534354-fc0b-48d9-9d78-62a4badc1a43</v>
      </c>
      <c r="V831" s="30" t="str">
        <f t="shared" si="5"/>
        <v>Laptop Ultraliviana 16GB</v>
      </c>
    </row>
    <row r="832" ht="15.75" customHeight="1">
      <c r="A832" s="6">
        <v>45654.0</v>
      </c>
      <c r="B832" s="2" t="s">
        <v>85</v>
      </c>
      <c r="C832" s="2" t="s">
        <v>186</v>
      </c>
      <c r="D832" s="7">
        <v>2144.75</v>
      </c>
      <c r="E832" s="2">
        <v>1.0</v>
      </c>
      <c r="F832" s="7">
        <v>2144.75</v>
      </c>
      <c r="G832" s="2" t="s">
        <v>2800</v>
      </c>
      <c r="H832" s="2" t="s">
        <v>2801</v>
      </c>
      <c r="I832" s="2" t="s">
        <v>2802</v>
      </c>
      <c r="K832" s="19" t="str">
        <f>IFERROR(__xludf.DUMMYFUNCTION("IF(ISBLANK(A832),
  """",
  IF(ISNUMBER(A832),
    TEXT(A832,""dd/mm/yyyy""),
    IF(
      REGEXMATCH(TRIM(A832),""^\d{1,2}/\d{1,2}/\d{4}$""),
      TRIM(A832),
      IFERROR(
        TEXT(DATEVALUE(SUBSTITUTE(SUBSTITUTE(TRIM(A832),""-"",""/""),""."",""/"&amp;""")),""dd/mm/yyyy""),
        TRIM(A832)
      )
    )
  )
)
"),"28/12/2024")</f>
        <v>28/12/2024</v>
      </c>
      <c r="L832" s="20">
        <v>45654.0</v>
      </c>
      <c r="M832" s="21" t="str">
        <f>IFERROR(__xludf.DUMMYFUNCTION("PROPER(TRIM(
  REGEXREPLACE(
    REGEXREPLACE(
      SUBSTITUTE(SUBSTITUTE(SUBSTITUTE(SUBSTITUTE(SUBSTITUTE(SUBSTITUTE(SUBSTITUTE(SUBSTITUTE(SUBSTITUTE(SUBSTITUTE(SUBSTITUTE(
        B832,""√©"",""é""),""√°"",""á""),""√±"",""ñ""),""√≥"",""ó""),""√â"",""é"&amp;"""),""√Å"",""á""),""√ç"",""í""),""√Ç"",""Í""),""√Â"",""é""),""√≠"",""í""),""√º"",""ú""),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32" s="22" t="str">
        <f>IFERROR(__xludf.DUMMYFUNCTION("SPLIT(
  TRIM(
    SUBSTITUTE(
      SUBSTITUTE(
        SUBSTITUTE(
          SUBSTITUTE(
            C832,
            ""√©"", ""é""
          ),
          ""√±"", ""ñ""
        ),
        ""√°"", ""á""
      ),
      ""√≥"", ""ó""
    )
  ),
  ""-""
)
"),"Tablet")</f>
        <v>Tablet</v>
      </c>
      <c r="O832" s="22" t="str">
        <f>IFERROR(__xludf.DUMMYFUNCTION("""COMPUTED_VALUE"""),"Mini")</f>
        <v>Mini</v>
      </c>
      <c r="P832" s="22" t="str">
        <f>IFERROR(__xludf.DUMMYFUNCTION("""COMPUTED_VALUE"""),"8GB")</f>
        <v>8GB</v>
      </c>
      <c r="Q832" s="23">
        <f t="shared" si="1"/>
        <v>2144.75</v>
      </c>
      <c r="R832" s="22">
        <f t="shared" si="2"/>
        <v>1</v>
      </c>
      <c r="S832" s="23">
        <f t="shared" si="3"/>
        <v>2144.75</v>
      </c>
      <c r="T832" s="22" t="str">
        <f>IFERROR(__xludf.DUMMYFUNCTION("PROPER(TRIM(
  LET(
    texto1, REGEXREPLACE(G832,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"),"Estefanía Casas")</f>
        <v>Estefanía Casas</v>
      </c>
      <c r="U832" s="22" t="str">
        <f t="shared" si="4"/>
        <v>1fc16a62-28d6-40bf-bd79-70a515ccaa32</v>
      </c>
      <c r="V832" s="24" t="str">
        <f t="shared" si="5"/>
        <v>Tablet Mini 8GB</v>
      </c>
    </row>
    <row r="833" ht="15.75" customHeight="1">
      <c r="A833" s="6">
        <v>45654.0</v>
      </c>
      <c r="B833" s="2" t="s">
        <v>16</v>
      </c>
      <c r="C833" s="2" t="s">
        <v>162</v>
      </c>
      <c r="D833" s="7">
        <v>1642.37</v>
      </c>
      <c r="E833" s="2">
        <v>3.0</v>
      </c>
      <c r="F833" s="7">
        <v>4927.11</v>
      </c>
      <c r="G833" s="2" t="s">
        <v>2803</v>
      </c>
      <c r="H833" s="2" t="s">
        <v>2804</v>
      </c>
      <c r="I833" s="2" t="s">
        <v>2805</v>
      </c>
      <c r="K833" s="25" t="str">
        <f>IFERROR(__xludf.DUMMYFUNCTION("IF(ISBLANK(A833),
  """",
  IF(ISNUMBER(A833),
    TEXT(A833,""dd/mm/yyyy""),
    IF(
      REGEXMATCH(TRIM(A833),""^\d{1,2}/\d{1,2}/\d{4}$""),
      TRIM(A833),
      IFERROR(
        TEXT(DATEVALUE(SUBSTITUTE(SUBSTITUTE(TRIM(A833),""-"",""/""),""."",""/"&amp;""")),""dd/mm/yyyy""),
        TRIM(A833)
      )
    )
  )
)
"),"28/12/2024")</f>
        <v>28/12/2024</v>
      </c>
      <c r="L833" s="26">
        <v>45654.0</v>
      </c>
      <c r="M833" s="27" t="str">
        <f>IFERROR(__xludf.DUMMYFUNCTION("PROPER(TRIM(
  REGEXREPLACE(
    REGEXREPLACE(
      SUBSTITUTE(SUBSTITUTE(SUBSTITUTE(SUBSTITUTE(SUBSTITUTE(SUBSTITUTE(SUBSTITUTE(SUBSTITUTE(SUBSTITUTE(SUBSTITUTE(SUBSTITUTE(
        B833,""√©"",""é""),""√°"",""á""),""√±"",""ñ""),""√≥"",""ó""),""√â"",""é"&amp;"""),""√Å"",""á""),""√ç"",""í""),""√Ç"",""Í""),""√Â"",""é""),""√≠"",""í""),""√º"",""ú""),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33" s="28" t="str">
        <f>IFERROR(__xludf.DUMMYFUNCTION("SPLIT(
  TRIM(
    SUBSTITUTE(
      SUBSTITUTE(
        SUBSTITUTE(
          SUBSTITUTE(
            C833,
            ""√©"", ""é""
          ),
          ""√±"", ""ñ""
        ),
        ""√°"", ""á""
      ),
      ""√≥"", ""ó""
    )
  ),
  ""-""
)
"),"Teléfono")</f>
        <v>Teléfono</v>
      </c>
      <c r="O833" s="28" t="str">
        <f>IFERROR(__xludf.DUMMYFUNCTION("""COMPUTED_VALUE"""),"Gama alta")</f>
        <v>Gama alta</v>
      </c>
      <c r="P833" s="28" t="str">
        <f>IFERROR(__xludf.DUMMYFUNCTION("""COMPUTED_VALUE"""),"16GB")</f>
        <v>16GB</v>
      </c>
      <c r="Q833" s="29">
        <f t="shared" si="1"/>
        <v>1642.37</v>
      </c>
      <c r="R833" s="28">
        <f t="shared" si="2"/>
        <v>3</v>
      </c>
      <c r="S833" s="29">
        <f t="shared" si="3"/>
        <v>4927.11</v>
      </c>
      <c r="T833" s="28" t="str">
        <f>IFERROR(__xludf.DUMMYFUNCTION("PROPER(TRIM(
  LET(
    texto1, REGEXREPLACE(G833,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"),"Liver De León")</f>
        <v>Liver De León</v>
      </c>
      <c r="U833" s="28" t="str">
        <f t="shared" si="4"/>
        <v>123ae22b-bc9d-4228-96dc-fc15dfb19590</v>
      </c>
      <c r="V833" s="30" t="str">
        <f t="shared" si="5"/>
        <v>Teléfono Gama alta 16GB</v>
      </c>
    </row>
    <row r="834" ht="15.75" customHeight="1">
      <c r="A834" s="36">
        <v>45454.0</v>
      </c>
      <c r="B834" s="2" t="s">
        <v>38</v>
      </c>
      <c r="C834" s="2" t="s">
        <v>111</v>
      </c>
      <c r="D834" s="7">
        <v>2005.24</v>
      </c>
      <c r="E834" s="2">
        <v>1.0</v>
      </c>
      <c r="F834" s="7">
        <v>2005.24</v>
      </c>
      <c r="G834" s="2" t="s">
        <v>2806</v>
      </c>
      <c r="H834" s="2" t="s">
        <v>2807</v>
      </c>
      <c r="I834" s="2" t="s">
        <v>2808</v>
      </c>
      <c r="K834" s="19" t="str">
        <f>IFERROR(__xludf.DUMMYFUNCTION("IF(ISBLANK(A834),
  """",
  IF(ISNUMBER(A834),
    TEXT(A834,""dd/mm/yyyy""),
    IF(
      REGEXMATCH(TRIM(A834),""^\d{1,2}/\d{1,2}/\d{4}$""),
      TRIM(A834),
      IFERROR(
        TEXT(DATEVALUE(SUBSTITUTE(SUBSTITUTE(TRIM(A834),""-"",""/""),""."",""/"&amp;""")),""dd/mm/yyyy""),
        TRIM(A834)
      )
    )
  )
)
"),"11/06/2024")</f>
        <v>11/06/2024</v>
      </c>
      <c r="L834" s="20">
        <v>45454.0</v>
      </c>
      <c r="M834" s="21" t="str">
        <f>IFERROR(__xludf.DUMMYFUNCTION("PROPER(TRIM(
  REGEXREPLACE(
    REGEXREPLACE(
      SUBSTITUTE(SUBSTITUTE(SUBSTITUTE(SUBSTITUTE(SUBSTITUTE(SUBSTITUTE(SUBSTITUTE(SUBSTITUTE(SUBSTITUTE(SUBSTITUTE(SUBSTITUTE(
        B834,""√©"",""é""),""√°"",""á""),""√±"",""ñ""),""√≥"",""ó""),""√â"",""é"&amp;"""),""√Å"",""á""),""√ç"",""í""),""√Ç"",""Í""),""√Â"",""é""),""√≠"",""í""),""√º"",""ú""),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34" s="22" t="str">
        <f>IFERROR(__xludf.DUMMYFUNCTION("SPLIT(
  TRIM(
    SUBSTITUTE(
      SUBSTITUTE(
        SUBSTITUTE(
          SUBSTITUTE(
            C834,
            ""√©"", ""é""
          ),
          ""√±"", ""ñ""
        ),
        ""√°"", ""á""
      ),
      ""√≥"", ""ó""
    )
  ),
  ""-""
)
"),"Tablet")</f>
        <v>Tablet</v>
      </c>
      <c r="O834" s="22" t="str">
        <f>IFERROR(__xludf.DUMMYFUNCTION("""COMPUTED_VALUE"""),"Estándar")</f>
        <v>Estándar</v>
      </c>
      <c r="P834" s="22" t="str">
        <f>IFERROR(__xludf.DUMMYFUNCTION("""COMPUTED_VALUE"""),"16GB")</f>
        <v>16GB</v>
      </c>
      <c r="Q834" s="23">
        <f t="shared" si="1"/>
        <v>2005.24</v>
      </c>
      <c r="R834" s="22">
        <f t="shared" si="2"/>
        <v>1</v>
      </c>
      <c r="S834" s="23">
        <f t="shared" si="3"/>
        <v>2005.24</v>
      </c>
      <c r="T834" s="22" t="str">
        <f>IFERROR(__xludf.DUMMYFUNCTION("PROPER(TRIM(
  LET(
    texto1, REGEXREPLACE(G834,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"),"Esperanza Scar Zelaya")</f>
        <v>Esperanza Scar Zelaya</v>
      </c>
      <c r="U834" s="22" t="str">
        <f t="shared" si="4"/>
        <v>e6a2b4de-97d2-4faf-82a6-28b39ab6b1b4</v>
      </c>
      <c r="V834" s="24" t="str">
        <f t="shared" si="5"/>
        <v>Tablet Estándar 16GB</v>
      </c>
    </row>
    <row r="835" ht="15.75" customHeight="1">
      <c r="A835" s="6">
        <v>45617.0</v>
      </c>
      <c r="B835" s="2" t="s">
        <v>101</v>
      </c>
      <c r="C835" s="2" t="s">
        <v>172</v>
      </c>
      <c r="D835" s="7">
        <v>1944.02</v>
      </c>
      <c r="E835" s="2">
        <v>1.0</v>
      </c>
      <c r="F835" s="7">
        <v>1944.02</v>
      </c>
      <c r="G835" s="2" t="s">
        <v>2809</v>
      </c>
      <c r="H835" s="2" t="s">
        <v>2810</v>
      </c>
      <c r="I835" s="2" t="s">
        <v>2811</v>
      </c>
      <c r="K835" s="25" t="str">
        <f>IFERROR(__xludf.DUMMYFUNCTION("IF(ISBLANK(A835),
  """",
  IF(ISNUMBER(A835),
    TEXT(A835,""dd/mm/yyyy""),
    IF(
      REGEXMATCH(TRIM(A835),""^\d{1,2}/\d{1,2}/\d{4}$""),
      TRIM(A835),
      IFERROR(
        TEXT(DATEVALUE(SUBSTITUTE(SUBSTITUTE(TRIM(A835),""-"",""/""),""."",""/"&amp;""")),""dd/mm/yyyy""),
        TRIM(A835)
      )
    )
  )
)
"),"21/11/2024")</f>
        <v>21/11/2024</v>
      </c>
      <c r="L835" s="26">
        <v>45617.0</v>
      </c>
      <c r="M835" s="27" t="str">
        <f>IFERROR(__xludf.DUMMYFUNCTION("PROPER(TRIM(
  REGEXREPLACE(
    REGEXREPLACE(
      SUBSTITUTE(SUBSTITUTE(SUBSTITUTE(SUBSTITUTE(SUBSTITUTE(SUBSTITUTE(SUBSTITUTE(SUBSTITUTE(SUBSTITUTE(SUBSTITUTE(SUBSTITUTE(
        B835,""√©"",""é""),""√°"",""á""),""√±"",""ñ""),""√≥"",""ó""),""√â"",""é"&amp;"""),""√Å"",""á""),""√ç"",""í""),""√Ç"",""Í""),""√Â"",""é""),""√≠"",""í""),""√º"",""ú""),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35" s="28" t="str">
        <f>IFERROR(__xludf.DUMMYFUNCTION("SPLIT(
  TRIM(
    SUBSTITUTE(
      SUBSTITUTE(
        SUBSTITUTE(
          SUBSTITUTE(
            C835,
            ""√©"", ""é""
          ),
          ""√±"", ""ñ""
        ),
        ""√°"", ""á""
      ),
      ""√≥"", ""ó""
    )
  ),
  ""-""
)
"),"Laptop")</f>
        <v>Laptop</v>
      </c>
      <c r="O835" s="28" t="str">
        <f>IFERROR(__xludf.DUMMYFUNCTION("""COMPUTED_VALUE"""),"Oficina")</f>
        <v>Oficina</v>
      </c>
      <c r="P835" s="28" t="str">
        <f>IFERROR(__xludf.DUMMYFUNCTION("""COMPUTED_VALUE"""),"8GB")</f>
        <v>8GB</v>
      </c>
      <c r="Q835" s="29">
        <f t="shared" si="1"/>
        <v>1944.02</v>
      </c>
      <c r="R835" s="28">
        <f t="shared" si="2"/>
        <v>1</v>
      </c>
      <c r="S835" s="29">
        <f t="shared" si="3"/>
        <v>1944.02</v>
      </c>
      <c r="T835" s="28" t="str">
        <f>IFERROR(__xludf.DUMMYFUNCTION("PROPER(TRIM(
  LET(
    texto1, REGEXREPLACE(G835,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"),"Estefanía Ruiz")</f>
        <v>Estefanía Ruiz</v>
      </c>
      <c r="U835" s="28" t="str">
        <f t="shared" si="4"/>
        <v>6fbf18c0-1d19-4cf9-b5cc-83d5970b7678</v>
      </c>
      <c r="V835" s="30" t="str">
        <f t="shared" si="5"/>
        <v>Laptop Oficina 8GB</v>
      </c>
    </row>
    <row r="836" ht="15.75" customHeight="1">
      <c r="A836" s="37">
        <v>45615.0</v>
      </c>
      <c r="B836" s="2" t="s">
        <v>38</v>
      </c>
      <c r="C836" s="2" t="s">
        <v>191</v>
      </c>
      <c r="D836" s="7">
        <v>215.41</v>
      </c>
      <c r="E836" s="2">
        <v>1.0</v>
      </c>
      <c r="F836" s="7">
        <v>215.41</v>
      </c>
      <c r="G836" s="2" t="s">
        <v>2812</v>
      </c>
      <c r="H836" s="2" t="s">
        <v>2813</v>
      </c>
      <c r="I836" s="2" t="s">
        <v>2814</v>
      </c>
      <c r="K836" s="19" t="str">
        <f>IFERROR(__xludf.DUMMYFUNCTION("IF(ISBLANK(A836),
  """",
  IF(ISNUMBER(A836),
    TEXT(A836,""dd/mm/yyyy""),
    IF(
      REGEXMATCH(TRIM(A836),""^\d{1,2}/\d{1,2}/\d{4}$""),
      TRIM(A836),
      IFERROR(
        TEXT(DATEVALUE(SUBSTITUTE(SUBSTITUTE(TRIM(A836),""-"",""/""),""."",""/"&amp;""")),""dd/mm/yyyy""),
        TRIM(A836)
      )
    )
  )
)
"),"19/11/2024")</f>
        <v>19/11/2024</v>
      </c>
      <c r="L836" s="20">
        <v>45615.0</v>
      </c>
      <c r="M836" s="21" t="str">
        <f>IFERROR(__xludf.DUMMYFUNCTION("PROPER(TRIM(
  REGEXREPLACE(
    REGEXREPLACE(
      SUBSTITUTE(SUBSTITUTE(SUBSTITUTE(SUBSTITUTE(SUBSTITUTE(SUBSTITUTE(SUBSTITUTE(SUBSTITUTE(SUBSTITUTE(SUBSTITUTE(SUBSTITUTE(
        B836,""√©"",""é""),""√°"",""á""),""√±"",""ñ""),""√≥"",""ó""),""√â"",""é"&amp;"""),""√Å"",""á""),""√ç"",""í""),""√Ç"",""Í""),""√Â"",""é""),""√≠"",""í""),""√º"",""ú""),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36" s="22" t="str">
        <f>IFERROR(__xludf.DUMMYFUNCTION("SPLIT(
  TRIM(
    SUBSTITUTE(
      SUBSTITUTE(
        SUBSTITUTE(
          SUBSTITUTE(
            C836,
            ""√©"", ""é""
          ),
          ""√±"", ""ñ""
        ),
        ""√°"", ""á""
      ),
      ""√≥"", ""ó""
    )
  ),
  ""-""
)
"),"Auriculares")</f>
        <v>Auriculares</v>
      </c>
      <c r="O836" s="22" t="str">
        <f>IFERROR(__xludf.DUMMYFUNCTION("""COMPUTED_VALUE"""),"Cancelación de ruido")</f>
        <v>Cancelación de ruido</v>
      </c>
      <c r="P836" s="22" t="str">
        <f>IFERROR(__xludf.DUMMYFUNCTION("""COMPUTED_VALUE"""),"32GB")</f>
        <v>32GB</v>
      </c>
      <c r="Q836" s="23">
        <f t="shared" si="1"/>
        <v>215.41</v>
      </c>
      <c r="R836" s="22">
        <f t="shared" si="2"/>
        <v>1</v>
      </c>
      <c r="S836" s="23">
        <f t="shared" si="3"/>
        <v>215.41</v>
      </c>
      <c r="T836" s="22" t="str">
        <f>IFERROR(__xludf.DUMMYFUNCTION("PROPER(TRIM(
  LET(
    texto1, REGEXREPLACE(G836,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"),"Mariana Guerrero Arreola")</f>
        <v>Mariana Guerrero Arreola</v>
      </c>
      <c r="U836" s="22" t="str">
        <f t="shared" si="4"/>
        <v>08b75205-ce56-4b95-a64f-9819304e40e0</v>
      </c>
      <c r="V836" s="24" t="str">
        <f t="shared" si="5"/>
        <v>Auriculares Cancelación de ruido 32GB</v>
      </c>
    </row>
    <row r="837" ht="15.75" customHeight="1">
      <c r="A837" s="36">
        <v>45423.0</v>
      </c>
      <c r="B837" s="2" t="s">
        <v>50</v>
      </c>
      <c r="C837" s="2" t="s">
        <v>147</v>
      </c>
      <c r="D837" s="7">
        <v>2331.11</v>
      </c>
      <c r="E837" s="2">
        <v>4.0</v>
      </c>
      <c r="F837" s="7">
        <v>9324.44</v>
      </c>
      <c r="G837" s="2" t="s">
        <v>2815</v>
      </c>
      <c r="H837" s="2" t="s">
        <v>2816</v>
      </c>
      <c r="I837" s="3" t="s">
        <v>2817</v>
      </c>
      <c r="K837" s="25" t="str">
        <f>IFERROR(__xludf.DUMMYFUNCTION("IF(ISBLANK(A837),
  """",
  IF(ISNUMBER(A837),
    TEXT(A837,""dd/mm/yyyy""),
    IF(
      REGEXMATCH(TRIM(A837),""^\d{1,2}/\d{1,2}/\d{4}$""),
      TRIM(A837),
      IFERROR(
        TEXT(DATEVALUE(SUBSTITUTE(SUBSTITUTE(TRIM(A837),""-"",""/""),""."",""/"&amp;""")),""dd/mm/yyyy""),
        TRIM(A837)
      )
    )
  )
)
"),"11/05/2024")</f>
        <v>11/05/2024</v>
      </c>
      <c r="L837" s="26">
        <v>45423.0</v>
      </c>
      <c r="M837" s="27" t="str">
        <f>IFERROR(__xludf.DUMMYFUNCTION("PROPER(TRIM(
  REGEXREPLACE(
    REGEXREPLACE(
      SUBSTITUTE(SUBSTITUTE(SUBSTITUTE(SUBSTITUTE(SUBSTITUTE(SUBSTITUTE(SUBSTITUTE(SUBSTITUTE(SUBSTITUTE(SUBSTITUTE(SUBSTITUTE(
        B837,""√©"",""é""),""√°"",""á""),""√±"",""ñ""),""√≥"",""ó""),""√â"",""é"&amp;"""),""√Å"",""á""),""√ç"",""í""),""√Ç"",""Í""),""√Â"",""é""),""√≠"",""í""),""√º"",""ú""),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37" s="28" t="str">
        <f>IFERROR(__xludf.DUMMYFUNCTION("SPLIT(
  TRIM(
    SUBSTITUTE(
      SUBSTITUTE(
        SUBSTITUTE(
          SUBSTITUTE(
            C837,
            ""√©"", ""é""
          ),
          ""√±"", ""ñ""
        ),
        ""√°"", ""á""
      ),
      ""√≥"", ""ó""
    )
  ),
  ""-""
)
"),"Laptop")</f>
        <v>Laptop</v>
      </c>
      <c r="O837" s="28" t="str">
        <f>IFERROR(__xludf.DUMMYFUNCTION("""COMPUTED_VALUE"""),"Oficina")</f>
        <v>Oficina</v>
      </c>
      <c r="P837" s="28" t="str">
        <f>IFERROR(__xludf.DUMMYFUNCTION("""COMPUTED_VALUE"""),"16GB")</f>
        <v>16GB</v>
      </c>
      <c r="Q837" s="29">
        <f t="shared" si="1"/>
        <v>2331.11</v>
      </c>
      <c r="R837" s="28">
        <f t="shared" si="2"/>
        <v>4</v>
      </c>
      <c r="S837" s="29">
        <f t="shared" si="3"/>
        <v>9324.44</v>
      </c>
      <c r="T837" s="28" t="str">
        <f>IFERROR(__xludf.DUMMYFUNCTION("PROPER(TRIM(
  LET(
    texto1, REGEXREPLACE(G837,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"),"Francisco Javier Gustavo Gracia Arteaga")</f>
        <v>Francisco Javier Gustavo Gracia Arteaga</v>
      </c>
      <c r="U837" s="31" t="str">
        <f t="shared" si="4"/>
        <v>54e1665d-4b89-4a00-ac21-c0dbd0a9f8e2</v>
      </c>
      <c r="V837" s="30" t="str">
        <f t="shared" si="5"/>
        <v>Laptop Oficina 16GB</v>
      </c>
    </row>
    <row r="838" ht="15.75" customHeight="1">
      <c r="A838" s="6">
        <v>45580.0</v>
      </c>
      <c r="B838" s="2" t="s">
        <v>38</v>
      </c>
      <c r="C838" s="2" t="s">
        <v>111</v>
      </c>
      <c r="D838" s="7">
        <v>1966.38</v>
      </c>
      <c r="E838" s="2">
        <v>5.0</v>
      </c>
      <c r="F838" s="7">
        <v>9831.9</v>
      </c>
      <c r="G838" s="2" t="s">
        <v>2818</v>
      </c>
      <c r="H838" s="2" t="s">
        <v>2819</v>
      </c>
      <c r="I838" s="2" t="s">
        <v>2820</v>
      </c>
      <c r="K838" s="19" t="str">
        <f>IFERROR(__xludf.DUMMYFUNCTION("IF(ISBLANK(A838),
  """",
  IF(ISNUMBER(A838),
    TEXT(A838,""dd/mm/yyyy""),
    IF(
      REGEXMATCH(TRIM(A838),""^\d{1,2}/\d{1,2}/\d{4}$""),
      TRIM(A838),
      IFERROR(
        TEXT(DATEVALUE(SUBSTITUTE(SUBSTITUTE(TRIM(A838),""-"",""/""),""."",""/"&amp;""")),""dd/mm/yyyy""),
        TRIM(A838)
      )
    )
  )
)
"),"15/10/2024")</f>
        <v>15/10/2024</v>
      </c>
      <c r="L838" s="20">
        <v>45580.0</v>
      </c>
      <c r="M838" s="21" t="str">
        <f>IFERROR(__xludf.DUMMYFUNCTION("PROPER(TRIM(
  REGEXREPLACE(
    REGEXREPLACE(
      SUBSTITUTE(SUBSTITUTE(SUBSTITUTE(SUBSTITUTE(SUBSTITUTE(SUBSTITUTE(SUBSTITUTE(SUBSTITUTE(SUBSTITUTE(SUBSTITUTE(SUBSTITUTE(
        B838,""√©"",""é""),""√°"",""á""),""√±"",""ñ""),""√≥"",""ó""),""√â"",""é"&amp;"""),""√Å"",""á""),""√ç"",""í""),""√Ç"",""Í""),""√Â"",""é""),""√≠"",""í""),""√º"",""ú""),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38" s="22" t="str">
        <f>IFERROR(__xludf.DUMMYFUNCTION("SPLIT(
  TRIM(
    SUBSTITUTE(
      SUBSTITUTE(
        SUBSTITUTE(
          SUBSTITUTE(
            C838,
            ""√©"", ""é""
          ),
          ""√±"", ""ñ""
        ),
        ""√°"", ""á""
      ),
      ""√≥"", ""ó""
    )
  ),
  ""-""
)
"),"Tablet")</f>
        <v>Tablet</v>
      </c>
      <c r="O838" s="22" t="str">
        <f>IFERROR(__xludf.DUMMYFUNCTION("""COMPUTED_VALUE"""),"Estándar")</f>
        <v>Estándar</v>
      </c>
      <c r="P838" s="22" t="str">
        <f>IFERROR(__xludf.DUMMYFUNCTION("""COMPUTED_VALUE"""),"16GB")</f>
        <v>16GB</v>
      </c>
      <c r="Q838" s="23">
        <f t="shared" si="1"/>
        <v>1966.38</v>
      </c>
      <c r="R838" s="22">
        <f t="shared" si="2"/>
        <v>5</v>
      </c>
      <c r="S838" s="23">
        <f t="shared" si="3"/>
        <v>9831.9</v>
      </c>
      <c r="T838" s="22" t="str">
        <f>IFERROR(__xludf.DUMMYFUNCTION("PROPER(TRIM(
  LET(
    texto1, REGEXREPLACE(G838,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"),"Eloisa Orta")</f>
        <v>Eloisa Orta</v>
      </c>
      <c r="U838" s="22" t="str">
        <f t="shared" si="4"/>
        <v>8f822140-8a36-4160-bf5d-68a254229e14</v>
      </c>
      <c r="V838" s="24" t="str">
        <f t="shared" si="5"/>
        <v>Tablet Estándar 16GB</v>
      </c>
    </row>
    <row r="839" ht="15.75" customHeight="1">
      <c r="A839" s="6">
        <v>45624.0</v>
      </c>
      <c r="B839" s="2" t="s">
        <v>85</v>
      </c>
      <c r="C839" s="2" t="s">
        <v>206</v>
      </c>
      <c r="D839" s="7">
        <v>1496.64</v>
      </c>
      <c r="E839" s="2">
        <v>2.0</v>
      </c>
      <c r="F839" s="7">
        <v>2993.28</v>
      </c>
      <c r="G839" s="2" t="s">
        <v>2821</v>
      </c>
      <c r="H839" s="2" t="s">
        <v>2822</v>
      </c>
      <c r="I839" s="2" t="s">
        <v>2823</v>
      </c>
      <c r="K839" s="25" t="str">
        <f>IFERROR(__xludf.DUMMYFUNCTION("IF(ISBLANK(A839),
  """",
  IF(ISNUMBER(A839),
    TEXT(A839,""dd/mm/yyyy""),
    IF(
      REGEXMATCH(TRIM(A839),""^\d{1,2}/\d{1,2}/\d{4}$""),
      TRIM(A839),
      IFERROR(
        TEXT(DATEVALUE(SUBSTITUTE(SUBSTITUTE(TRIM(A839),""-"",""/""),""."",""/"&amp;""")),""dd/mm/yyyy""),
        TRIM(A839)
      )
    )
  )
)
"),"28/11/2024")</f>
        <v>28/11/2024</v>
      </c>
      <c r="L839" s="26">
        <v>45624.0</v>
      </c>
      <c r="M839" s="27" t="str">
        <f>IFERROR(__xludf.DUMMYFUNCTION("PROPER(TRIM(
  REGEXREPLACE(
    REGEXREPLACE(
      SUBSTITUTE(SUBSTITUTE(SUBSTITUTE(SUBSTITUTE(SUBSTITUTE(SUBSTITUTE(SUBSTITUTE(SUBSTITUTE(SUBSTITUTE(SUBSTITUTE(SUBSTITUTE(
        B839,""√©"",""é""),""√°"",""á""),""√±"",""ñ""),""√≥"",""ó""),""√â"",""é"&amp;"""),""√Å"",""á""),""√ç"",""í""),""√Ç"",""Í""),""√Â"",""é""),""√≠"",""í""),""√º"",""ú""),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39" s="28" t="str">
        <f>IFERROR(__xludf.DUMMYFUNCTION("SPLIT(
  TRIM(
    SUBSTITUTE(
      SUBSTITUTE(
        SUBSTITUTE(
          SUBSTITUTE(
            C839,
            ""√©"", ""é""
          ),
          ""√±"", ""ñ""
        ),
        ""√°"", ""á""
      ),
      ""√≥"", ""ó""
    )
  ),
  ""-""
)
"),"Auriculares")</f>
        <v>Auriculares</v>
      </c>
      <c r="O839" s="28" t="str">
        <f>IFERROR(__xludf.DUMMYFUNCTION("""COMPUTED_VALUE"""),"Bluetooth")</f>
        <v>Bluetooth</v>
      </c>
      <c r="P839" s="28" t="str">
        <f>IFERROR(__xludf.DUMMYFUNCTION("""COMPUTED_VALUE"""),"4GB")</f>
        <v>4GB</v>
      </c>
      <c r="Q839" s="29">
        <f t="shared" si="1"/>
        <v>1496.64</v>
      </c>
      <c r="R839" s="28">
        <f t="shared" si="2"/>
        <v>2</v>
      </c>
      <c r="S839" s="29">
        <f t="shared" si="3"/>
        <v>2993.28</v>
      </c>
      <c r="T839" s="28" t="str">
        <f>IFERROR(__xludf.DUMMYFUNCTION("PROPER(TRIM(
  LET(
    texto1, REGEXREPLACE(G839,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"),"Magdalena Carlota Pérez")</f>
        <v>Magdalena Carlota Pérez</v>
      </c>
      <c r="U839" s="28" t="str">
        <f t="shared" si="4"/>
        <v>76479ec1-d623-4c0b-afe8-94ed5d2b1841</v>
      </c>
      <c r="V839" s="30" t="str">
        <f t="shared" si="5"/>
        <v>Auriculares Bluetooth 4GB</v>
      </c>
    </row>
    <row r="840" ht="15.75" customHeight="1">
      <c r="A840" s="6">
        <v>45580.0</v>
      </c>
      <c r="B840" s="2" t="s">
        <v>27</v>
      </c>
      <c r="C840" s="2" t="s">
        <v>172</v>
      </c>
      <c r="D840" s="7">
        <v>2242.47</v>
      </c>
      <c r="E840" s="2">
        <v>4.0</v>
      </c>
      <c r="F840" s="7">
        <v>8969.88</v>
      </c>
      <c r="G840" s="2" t="s">
        <v>2824</v>
      </c>
      <c r="H840" s="2" t="s">
        <v>2825</v>
      </c>
      <c r="I840" s="2" t="s">
        <v>2826</v>
      </c>
      <c r="K840" s="19" t="str">
        <f>IFERROR(__xludf.DUMMYFUNCTION("IF(ISBLANK(A840),
  """",
  IF(ISNUMBER(A840),
    TEXT(A840,""dd/mm/yyyy""),
    IF(
      REGEXMATCH(TRIM(A840),""^\d{1,2}/\d{1,2}/\d{4}$""),
      TRIM(A840),
      IFERROR(
        TEXT(DATEVALUE(SUBSTITUTE(SUBSTITUTE(TRIM(A840),""-"",""/""),""."",""/"&amp;""")),""dd/mm/yyyy""),
        TRIM(A840)
      )
    )
  )
)
"),"15/10/2024")</f>
        <v>15/10/2024</v>
      </c>
      <c r="L840" s="20">
        <v>45580.0</v>
      </c>
      <c r="M840" s="21" t="str">
        <f>IFERROR(__xludf.DUMMYFUNCTION("PROPER(TRIM(
  REGEXREPLACE(
    REGEXREPLACE(
      SUBSTITUTE(SUBSTITUTE(SUBSTITUTE(SUBSTITUTE(SUBSTITUTE(SUBSTITUTE(SUBSTITUTE(SUBSTITUTE(SUBSTITUTE(SUBSTITUTE(SUBSTITUTE(
        B840,""√©"",""é""),""√°"",""á""),""√±"",""ñ""),""√≥"",""ó""),""√â"",""é"&amp;"""),""√Å"",""á""),""√ç"",""í""),""√Ç"",""Í""),""√Â"",""é""),""√≠"",""í""),""√º"",""ú""),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40" s="22" t="str">
        <f>IFERROR(__xludf.DUMMYFUNCTION("SPLIT(
  TRIM(
    SUBSTITUTE(
      SUBSTITUTE(
        SUBSTITUTE(
          SUBSTITUTE(
            C840,
            ""√©"", ""é""
          ),
          ""√±"", ""ñ""
        ),
        ""√°"", ""á""
      ),
      ""√≥"", ""ó""
    )
  ),
  ""-""
)
"),"Laptop")</f>
        <v>Laptop</v>
      </c>
      <c r="O840" s="22" t="str">
        <f>IFERROR(__xludf.DUMMYFUNCTION("""COMPUTED_VALUE"""),"Oficina")</f>
        <v>Oficina</v>
      </c>
      <c r="P840" s="22" t="str">
        <f>IFERROR(__xludf.DUMMYFUNCTION("""COMPUTED_VALUE"""),"8GB")</f>
        <v>8GB</v>
      </c>
      <c r="Q840" s="23">
        <f t="shared" si="1"/>
        <v>2242.47</v>
      </c>
      <c r="R840" s="22">
        <f t="shared" si="2"/>
        <v>4</v>
      </c>
      <c r="S840" s="23">
        <f t="shared" si="3"/>
        <v>8969.88</v>
      </c>
      <c r="T840" s="22" t="str">
        <f>IFERROR(__xludf.DUMMYFUNCTION("PROPER(TRIM(
  LET(
    texto1, REGEXREPLACE(G840,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"),"Cristal Andrés Gómez")</f>
        <v>Cristal Andrés Gómez</v>
      </c>
      <c r="U840" s="22" t="str">
        <f t="shared" si="4"/>
        <v>70a2c437-9cb0-4e0b-9cd5-ec6294260bb1</v>
      </c>
      <c r="V840" s="24" t="str">
        <f t="shared" si="5"/>
        <v>Laptop Oficina 8GB</v>
      </c>
    </row>
    <row r="841" ht="15.75" customHeight="1">
      <c r="A841" s="6">
        <v>45646.0</v>
      </c>
      <c r="B841" s="2" t="s">
        <v>50</v>
      </c>
      <c r="C841" s="2" t="s">
        <v>250</v>
      </c>
      <c r="D841" s="7">
        <v>1507.69</v>
      </c>
      <c r="E841" s="2">
        <v>5.0</v>
      </c>
      <c r="F841" s="7">
        <v>7538.45</v>
      </c>
      <c r="G841" s="2" t="s">
        <v>2827</v>
      </c>
      <c r="H841" s="2" t="s">
        <v>2828</v>
      </c>
      <c r="I841" s="2" t="s">
        <v>2829</v>
      </c>
      <c r="K841" s="25" t="str">
        <f>IFERROR(__xludf.DUMMYFUNCTION("IF(ISBLANK(A841),
  """",
  IF(ISNUMBER(A841),
    TEXT(A841,""dd/mm/yyyy""),
    IF(
      REGEXMATCH(TRIM(A841),""^\d{1,2}/\d{1,2}/\d{4}$""),
      TRIM(A841),
      IFERROR(
        TEXT(DATEVALUE(SUBSTITUTE(SUBSTITUTE(TRIM(A841),""-"",""/""),""."",""/"&amp;""")),""dd/mm/yyyy""),
        TRIM(A841)
      )
    )
  )
)
"),"20/12/2024")</f>
        <v>20/12/2024</v>
      </c>
      <c r="L841" s="26">
        <v>45646.0</v>
      </c>
      <c r="M841" s="27" t="str">
        <f>IFERROR(__xludf.DUMMYFUNCTION("PROPER(TRIM(
  REGEXREPLACE(
    REGEXREPLACE(
      SUBSTITUTE(SUBSTITUTE(SUBSTITUTE(SUBSTITUTE(SUBSTITUTE(SUBSTITUTE(SUBSTITUTE(SUBSTITUTE(SUBSTITUTE(SUBSTITUTE(SUBSTITUTE(
        B841,""√©"",""é""),""√°"",""á""),""√±"",""ñ""),""√≥"",""ó""),""√â"",""é"&amp;"""),""√Å"",""á""),""√ç"",""í""),""√Ç"",""Í""),""√Â"",""é""),""√≠"",""í""),""√º"",""ú""),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41" s="28" t="str">
        <f>IFERROR(__xludf.DUMMYFUNCTION("SPLIT(
  TRIM(
    SUBSTITUTE(
      SUBSTITUTE(
        SUBSTITUTE(
          SUBSTITUTE(
            C841,
            ""√©"", ""é""
          ),
          ""√±"", ""ñ""
        ),
        ""√°"", ""á""
      ),
      ""√≥"", ""ó""
    )
  ),
  ""-""
)
"),"Laptop")</f>
        <v>Laptop</v>
      </c>
      <c r="O841" s="28" t="str">
        <f>IFERROR(__xludf.DUMMYFUNCTION("""COMPUTED_VALUE"""),"Oficina")</f>
        <v>Oficina</v>
      </c>
      <c r="P841" s="28" t="str">
        <f>IFERROR(__xludf.DUMMYFUNCTION("""COMPUTED_VALUE"""),"32GB")</f>
        <v>32GB</v>
      </c>
      <c r="Q841" s="29">
        <f t="shared" si="1"/>
        <v>1507.69</v>
      </c>
      <c r="R841" s="28">
        <f t="shared" si="2"/>
        <v>5</v>
      </c>
      <c r="S841" s="29">
        <f t="shared" si="3"/>
        <v>7538.45</v>
      </c>
      <c r="T841" s="28" t="str">
        <f>IFERROR(__xludf.DUMMYFUNCTION("PROPER(TRIM(
  LET(
    texto1, REGEXREPLACE(G841,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"),"Celia Cardona Griego")</f>
        <v>Celia Cardona Griego</v>
      </c>
      <c r="U841" s="28" t="str">
        <f t="shared" si="4"/>
        <v>dac9f21c-448d-4f16-bcea-f8eb66b827c1</v>
      </c>
      <c r="V841" s="30" t="str">
        <f t="shared" si="5"/>
        <v>Laptop Oficina 32GB</v>
      </c>
    </row>
    <row r="842" ht="15.75" customHeight="1">
      <c r="A842" s="6">
        <v>45650.0</v>
      </c>
      <c r="B842" s="2" t="s">
        <v>27</v>
      </c>
      <c r="C842" s="2" t="s">
        <v>80</v>
      </c>
      <c r="D842" s="7">
        <v>920.71</v>
      </c>
      <c r="E842" s="2">
        <v>4.0</v>
      </c>
      <c r="F842" s="7">
        <v>3682.84</v>
      </c>
      <c r="G842" s="2" t="s">
        <v>2830</v>
      </c>
      <c r="H842" s="2" t="s">
        <v>2831</v>
      </c>
      <c r="I842" s="2" t="s">
        <v>2832</v>
      </c>
      <c r="K842" s="19" t="str">
        <f>IFERROR(__xludf.DUMMYFUNCTION("IF(ISBLANK(A842),
  """",
  IF(ISNUMBER(A842),
    TEXT(A842,""dd/mm/yyyy""),
    IF(
      REGEXMATCH(TRIM(A842),""^\d{1,2}/\d{1,2}/\d{4}$""),
      TRIM(A842),
      IFERROR(
        TEXT(DATEVALUE(SUBSTITUTE(SUBSTITUTE(TRIM(A842),""-"",""/""),""."",""/"&amp;""")),""dd/mm/yyyy""),
        TRIM(A842)
      )
    )
  )
)
"),"24/12/2024")</f>
        <v>24/12/2024</v>
      </c>
      <c r="L842" s="20">
        <v>45650.0</v>
      </c>
      <c r="M842" s="21" t="str">
        <f>IFERROR(__xludf.DUMMYFUNCTION("PROPER(TRIM(
  REGEXREPLACE(
    REGEXREPLACE(
      SUBSTITUTE(SUBSTITUTE(SUBSTITUTE(SUBSTITUTE(SUBSTITUTE(SUBSTITUTE(SUBSTITUTE(SUBSTITUTE(SUBSTITUTE(SUBSTITUTE(SUBSTITUTE(
        B842,""√©"",""é""),""√°"",""á""),""√±"",""ñ""),""√≥"",""ó""),""√â"",""é"&amp;"""),""√Å"",""á""),""√ç"",""í""),""√Ç"",""Í""),""√Â"",""é""),""√≠"",""í""),""√º"",""ú""),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42" s="22" t="str">
        <f>IFERROR(__xludf.DUMMYFUNCTION("SPLIT(
  TRIM(
    SUBSTITUTE(
      SUBSTITUTE(
        SUBSTITUTE(
          SUBSTITUTE(
            C842,
            ""√©"", ""é""
          ),
          ""√±"", ""ñ""
        ),
        ""√°"", ""á""
      ),
      ""√≥"", ""ó""
    )
  ),
  ""-""
)
"),"Teléfono")</f>
        <v>Teléfono</v>
      </c>
      <c r="O842" s="22" t="str">
        <f>IFERROR(__xludf.DUMMYFUNCTION("""COMPUTED_VALUE"""),"Gama baja")</f>
        <v>Gama baja</v>
      </c>
      <c r="P842" s="22" t="str">
        <f>IFERROR(__xludf.DUMMYFUNCTION("""COMPUTED_VALUE"""),"16GB")</f>
        <v>16GB</v>
      </c>
      <c r="Q842" s="23">
        <f t="shared" si="1"/>
        <v>920.71</v>
      </c>
      <c r="R842" s="22">
        <f t="shared" si="2"/>
        <v>4</v>
      </c>
      <c r="S842" s="23">
        <f t="shared" si="3"/>
        <v>3682.84</v>
      </c>
      <c r="T842" s="22" t="str">
        <f>IFERROR(__xludf.DUMMYFUNCTION("PROPER(TRIM(
  LET(
    texto1, REGEXREPLACE(G842,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"),"Marisela Zeferino Adame Ureña")</f>
        <v>Marisela Zeferino Adame Ureña</v>
      </c>
      <c r="U842" s="22" t="str">
        <f t="shared" si="4"/>
        <v>ed9aad8e-d0c1-4dda-a2ae-ab5809b7fd52</v>
      </c>
      <c r="V842" s="24" t="str">
        <f t="shared" si="5"/>
        <v>Teléfono Gama baja 16GB</v>
      </c>
    </row>
    <row r="843" ht="15.75" customHeight="1">
      <c r="A843" s="6">
        <v>45594.0</v>
      </c>
      <c r="B843" s="2" t="s">
        <v>16</v>
      </c>
      <c r="C843" s="2" t="s">
        <v>116</v>
      </c>
      <c r="D843" s="7">
        <v>140.58</v>
      </c>
      <c r="E843" s="2">
        <v>3.0</v>
      </c>
      <c r="F843" s="7">
        <v>421.74</v>
      </c>
      <c r="G843" s="2" t="s">
        <v>2833</v>
      </c>
      <c r="H843" s="2" t="s">
        <v>2834</v>
      </c>
      <c r="I843" s="2" t="s">
        <v>2835</v>
      </c>
      <c r="K843" s="25" t="str">
        <f>IFERROR(__xludf.DUMMYFUNCTION("IF(ISBLANK(A843),
  """",
  IF(ISNUMBER(A843),
    TEXT(A843,""dd/mm/yyyy""),
    IF(
      REGEXMATCH(TRIM(A843),""^\d{1,2}/\d{1,2}/\d{4}$""),
      TRIM(A843),
      IFERROR(
        TEXT(DATEVALUE(SUBSTITUTE(SUBSTITUTE(TRIM(A843),""-"",""/""),""."",""/"&amp;""")),""dd/mm/yyyy""),
        TRIM(A843)
      )
    )
  )
)
"),"29/10/2024")</f>
        <v>29/10/2024</v>
      </c>
      <c r="L843" s="26">
        <v>45594.0</v>
      </c>
      <c r="M843" s="27" t="str">
        <f>IFERROR(__xludf.DUMMYFUNCTION("PROPER(TRIM(
  REGEXREPLACE(
    REGEXREPLACE(
      SUBSTITUTE(SUBSTITUTE(SUBSTITUTE(SUBSTITUTE(SUBSTITUTE(SUBSTITUTE(SUBSTITUTE(SUBSTITUTE(SUBSTITUTE(SUBSTITUTE(SUBSTITUTE(
        B843,""√©"",""é""),""√°"",""á""),""√±"",""ñ""),""√≥"",""ó""),""√â"",""é"&amp;"""),""√Å"",""á""),""√ç"",""í""),""√Ç"",""Í""),""√Â"",""é""),""√≠"",""í""),""√º"",""ú""),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43" s="28" t="str">
        <f>IFERROR(__xludf.DUMMYFUNCTION("SPLIT(
  TRIM(
    SUBSTITUTE(
      SUBSTITUTE(
        SUBSTITUTE(
          SUBSTITUTE(
            C843,
            ""√©"", ""é""
          ),
          ""√±"", ""ñ""
        ),
        ""√°"", ""á""
      ),
      ""√≥"", ""ó""
    )
  ),
  ""-""
)
"),"Teléfono")</f>
        <v>Teléfono</v>
      </c>
      <c r="O843" s="28" t="str">
        <f>IFERROR(__xludf.DUMMYFUNCTION("""COMPUTED_VALUE"""),"Gama media")</f>
        <v>Gama media</v>
      </c>
      <c r="P843" s="28" t="str">
        <f>IFERROR(__xludf.DUMMYFUNCTION("""COMPUTED_VALUE"""),"4GB")</f>
        <v>4GB</v>
      </c>
      <c r="Q843" s="29">
        <f t="shared" si="1"/>
        <v>140.58</v>
      </c>
      <c r="R843" s="28">
        <f t="shared" si="2"/>
        <v>3</v>
      </c>
      <c r="S843" s="29">
        <f t="shared" si="3"/>
        <v>421.74</v>
      </c>
      <c r="T843" s="28" t="str">
        <f>IFERROR(__xludf.DUMMYFUNCTION("PROPER(TRIM(
  LET(
    texto1, REGEXREPLACE(G843,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"),"Leonel Ponce")</f>
        <v>Leonel Ponce</v>
      </c>
      <c r="U843" s="28" t="str">
        <f t="shared" si="4"/>
        <v>fa9e790b-934a-4153-b8d1-cb8319d59c61</v>
      </c>
      <c r="V843" s="30" t="str">
        <f t="shared" si="5"/>
        <v>Teléfono Gama media 4GB</v>
      </c>
    </row>
    <row r="844" ht="15.75" customHeight="1">
      <c r="A844" s="36">
        <v>45608.0</v>
      </c>
      <c r="B844" s="2" t="s">
        <v>101</v>
      </c>
      <c r="C844" s="2" t="s">
        <v>65</v>
      </c>
      <c r="D844" s="7">
        <v>1383.94</v>
      </c>
      <c r="E844" s="2">
        <v>3.0</v>
      </c>
      <c r="F844" s="7">
        <v>4151.82</v>
      </c>
      <c r="G844" s="2" t="s">
        <v>2836</v>
      </c>
      <c r="H844" s="2" t="s">
        <v>2837</v>
      </c>
      <c r="I844" s="2" t="s">
        <v>2838</v>
      </c>
      <c r="K844" s="19" t="str">
        <f>IFERROR(__xludf.DUMMYFUNCTION("IF(ISBLANK(A844),
  """",
  IF(ISNUMBER(A844),
    TEXT(A844,""dd/mm/yyyy""),
    IF(
      REGEXMATCH(TRIM(A844),""^\d{1,2}/\d{1,2}/\d{4}$""),
      TRIM(A844),
      IFERROR(
        TEXT(DATEVALUE(SUBSTITUTE(SUBSTITUTE(TRIM(A844),""-"",""/""),""."",""/"&amp;""")),""dd/mm/yyyy""),
        TRIM(A844)
      )
    )
  )
)
"),"12/11/2024")</f>
        <v>12/11/2024</v>
      </c>
      <c r="L844" s="20">
        <v>45608.0</v>
      </c>
      <c r="M844" s="21" t="str">
        <f>IFERROR(__xludf.DUMMYFUNCTION("PROPER(TRIM(
  REGEXREPLACE(
    REGEXREPLACE(
      SUBSTITUTE(SUBSTITUTE(SUBSTITUTE(SUBSTITUTE(SUBSTITUTE(SUBSTITUTE(SUBSTITUTE(SUBSTITUTE(SUBSTITUTE(SUBSTITUTE(SUBSTITUTE(
        B844,""√©"",""é""),""√°"",""á""),""√±"",""ñ""),""√≥"",""ó""),""√â"",""é"&amp;"""),""√Å"",""á""),""√ç"",""í""),""√Ç"",""Í""),""√Â"",""é""),""√≠"",""í""),""√º"",""ú""),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44" s="22" t="str">
        <f>IFERROR(__xludf.DUMMYFUNCTION("SPLIT(
  TRIM(
    SUBSTITUTE(
      SUBSTITUTE(
        SUBSTITUTE(
          SUBSTITUTE(
            C844,
            ""√©"", ""é""
          ),
          ""√±"", ""ñ""
        ),
        ""√°"", ""á""
      ),
      ""√≥"", ""ó""
    )
  ),
  ""-""
)
"),"Auriculares")</f>
        <v>Auriculares</v>
      </c>
      <c r="O844" s="22" t="str">
        <f>IFERROR(__xludf.DUMMYFUNCTION("""COMPUTED_VALUE"""),"Bluetooth")</f>
        <v>Bluetooth</v>
      </c>
      <c r="P844" s="22" t="str">
        <f>IFERROR(__xludf.DUMMYFUNCTION("""COMPUTED_VALUE"""),"16GB")</f>
        <v>16GB</v>
      </c>
      <c r="Q844" s="23">
        <f t="shared" si="1"/>
        <v>1383.94</v>
      </c>
      <c r="R844" s="22">
        <f t="shared" si="2"/>
        <v>3</v>
      </c>
      <c r="S844" s="23">
        <f t="shared" si="3"/>
        <v>4151.82</v>
      </c>
      <c r="T844" s="22" t="str">
        <f>IFERROR(__xludf.DUMMYFUNCTION("PROPER(TRIM(
  LET(
    texto1, REGEXREPLACE(G844,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"),"Santiago Frías")</f>
        <v>Santiago Frías</v>
      </c>
      <c r="U844" s="22" t="str">
        <f t="shared" si="4"/>
        <v>2fcfe31d-bbe3-4d02-997b-2a688e44aa4a</v>
      </c>
      <c r="V844" s="24" t="str">
        <f t="shared" si="5"/>
        <v>Auriculares Bluetooth 16GB</v>
      </c>
    </row>
    <row r="845" ht="15.75" customHeight="1">
      <c r="A845" s="6">
        <v>45641.0</v>
      </c>
      <c r="B845" s="2" t="s">
        <v>38</v>
      </c>
      <c r="C845" s="2" t="s">
        <v>55</v>
      </c>
      <c r="D845" s="7">
        <v>806.78</v>
      </c>
      <c r="E845" s="2">
        <v>1.0</v>
      </c>
      <c r="F845" s="7">
        <v>806.78</v>
      </c>
      <c r="G845" s="2" t="s">
        <v>2839</v>
      </c>
      <c r="H845" s="2" t="s">
        <v>2840</v>
      </c>
      <c r="I845" s="2" t="s">
        <v>2841</v>
      </c>
      <c r="K845" s="25" t="str">
        <f>IFERROR(__xludf.DUMMYFUNCTION("IF(ISBLANK(A845),
  """",
  IF(ISNUMBER(A845),
    TEXT(A845,""dd/mm/yyyy""),
    IF(
      REGEXMATCH(TRIM(A845),""^\d{1,2}/\d{1,2}/\d{4}$""),
      TRIM(A845),
      IFERROR(
        TEXT(DATEVALUE(SUBSTITUTE(SUBSTITUTE(TRIM(A845),""-"",""/""),""."",""/"&amp;""")),""dd/mm/yyyy""),
        TRIM(A845)
      )
    )
  )
)
"),"15/12/2024")</f>
        <v>15/12/2024</v>
      </c>
      <c r="L845" s="26">
        <v>45641.0</v>
      </c>
      <c r="M845" s="27" t="str">
        <f>IFERROR(__xludf.DUMMYFUNCTION("PROPER(TRIM(
  REGEXREPLACE(
    REGEXREPLACE(
      SUBSTITUTE(SUBSTITUTE(SUBSTITUTE(SUBSTITUTE(SUBSTITUTE(SUBSTITUTE(SUBSTITUTE(SUBSTITUTE(SUBSTITUTE(SUBSTITUTE(SUBSTITUTE(
        B845,""√©"",""é""),""√°"",""á""),""√±"",""ñ""),""√≥"",""ó""),""√â"",""é"&amp;"""),""√Å"",""á""),""√ç"",""í""),""√Ç"",""Í""),""√Â"",""é""),""√≠"",""í""),""√º"",""ú""),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45" s="28" t="str">
        <f>IFERROR(__xludf.DUMMYFUNCTION("SPLIT(
  TRIM(
    SUBSTITUTE(
      SUBSTITUTE(
        SUBSTITUTE(
          SUBSTITUTE(
            C845,
            ""√©"", ""é""
          ),
          ""√±"", ""ñ""
        ),
        ""√°"", ""á""
      ),
      ""√≥"", ""ó""
    )
  ),
  ""-""
)
"),"Laptop")</f>
        <v>Laptop</v>
      </c>
      <c r="O845" s="28" t="str">
        <f>IFERROR(__xludf.DUMMYFUNCTION("""COMPUTED_VALUE"""),"Ultraliviana")</f>
        <v>Ultraliviana</v>
      </c>
      <c r="P845" s="28" t="str">
        <f>IFERROR(__xludf.DUMMYFUNCTION("""COMPUTED_VALUE"""),"16GB")</f>
        <v>16GB</v>
      </c>
      <c r="Q845" s="29">
        <f t="shared" si="1"/>
        <v>806.78</v>
      </c>
      <c r="R845" s="28">
        <f t="shared" si="2"/>
        <v>1</v>
      </c>
      <c r="S845" s="29">
        <f t="shared" si="3"/>
        <v>806.78</v>
      </c>
      <c r="T845" s="28" t="str">
        <f>IFERROR(__xludf.DUMMYFUNCTION("PROPER(TRIM(
  LET(
    texto1, REGEXREPLACE(G845,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"),"Eugenia Jáquez")</f>
        <v>Eugenia Jáquez</v>
      </c>
      <c r="U845" s="28" t="str">
        <f t="shared" si="4"/>
        <v>24b8ae05-3a27-4a1d-b704-94fbf52b7e78</v>
      </c>
      <c r="V845" s="30" t="str">
        <f t="shared" si="5"/>
        <v>Laptop Ultraliviana 16GB</v>
      </c>
    </row>
    <row r="846" ht="15.75" customHeight="1">
      <c r="A846" s="6">
        <v>45594.0</v>
      </c>
      <c r="B846" s="2" t="s">
        <v>50</v>
      </c>
      <c r="C846" s="2" t="s">
        <v>39</v>
      </c>
      <c r="D846" s="7">
        <v>1292.41</v>
      </c>
      <c r="E846" s="2">
        <v>5.0</v>
      </c>
      <c r="F846" s="7">
        <v>6462.05</v>
      </c>
      <c r="G846" s="2" t="s">
        <v>2842</v>
      </c>
      <c r="H846" s="2" t="s">
        <v>2843</v>
      </c>
      <c r="I846" s="2" t="s">
        <v>2844</v>
      </c>
      <c r="K846" s="19" t="str">
        <f>IFERROR(__xludf.DUMMYFUNCTION("IF(ISBLANK(A846),
  """",
  IF(ISNUMBER(A846),
    TEXT(A846,""dd/mm/yyyy""),
    IF(
      REGEXMATCH(TRIM(A846),""^\d{1,2}/\d{1,2}/\d{4}$""),
      TRIM(A846),
      IFERROR(
        TEXT(DATEVALUE(SUBSTITUTE(SUBSTITUTE(TRIM(A846),""-"",""/""),""."",""/"&amp;""")),""dd/mm/yyyy""),
        TRIM(A846)
      )
    )
  )
)
"),"29/10/2024")</f>
        <v>29/10/2024</v>
      </c>
      <c r="L846" s="20">
        <v>45594.0</v>
      </c>
      <c r="M846" s="21" t="str">
        <f>IFERROR(__xludf.DUMMYFUNCTION("PROPER(TRIM(
  REGEXREPLACE(
    REGEXREPLACE(
      SUBSTITUTE(SUBSTITUTE(SUBSTITUTE(SUBSTITUTE(SUBSTITUTE(SUBSTITUTE(SUBSTITUTE(SUBSTITUTE(SUBSTITUTE(SUBSTITUTE(SUBSTITUTE(
        B846,""√©"",""é""),""√°"",""á""),""√±"",""ñ""),""√≥"",""ó""),""√â"",""é"&amp;"""),""√Å"",""á""),""√ç"",""í""),""√Ç"",""Í""),""√Â"",""é""),""√≠"",""í""),""√º"",""ú""),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46" s="22" t="str">
        <f>IFERROR(__xludf.DUMMYFUNCTION("SPLIT(
  TRIM(
    SUBSTITUTE(
      SUBSTITUTE(
        SUBSTITUTE(
          SUBSTITUTE(
            C846,
            ""√©"", ""é""
          ),
          ""√±"", ""ñ""
        ),
        ""√°"", ""á""
      ),
      ""√≥"", ""ó""
    )
  ),
  ""-""
)
"),"Teléfono")</f>
        <v>Teléfono</v>
      </c>
      <c r="O846" s="22" t="str">
        <f>IFERROR(__xludf.DUMMYFUNCTION("""COMPUTED_VALUE"""),"Gama alta")</f>
        <v>Gama alta</v>
      </c>
      <c r="P846" s="22" t="str">
        <f>IFERROR(__xludf.DUMMYFUNCTION("""COMPUTED_VALUE"""),"8GB")</f>
        <v>8GB</v>
      </c>
      <c r="Q846" s="23">
        <f t="shared" si="1"/>
        <v>1292.41</v>
      </c>
      <c r="R846" s="22">
        <f t="shared" si="2"/>
        <v>5</v>
      </c>
      <c r="S846" s="23">
        <f t="shared" si="3"/>
        <v>6462.05</v>
      </c>
      <c r="T846" s="22" t="str">
        <f>IFERROR(__xludf.DUMMYFUNCTION("PROPER(TRIM(
  LET(
    texto1, REGEXREPLACE(G846,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"),"Ignacio De La Garza")</f>
        <v>Ignacio De La Garza</v>
      </c>
      <c r="U846" s="22" t="str">
        <f t="shared" si="4"/>
        <v>0e47c0df-dd8b-487b-8097-21c972837f36</v>
      </c>
      <c r="V846" s="24" t="str">
        <f t="shared" si="5"/>
        <v>Teléfono Gama alta 8GB</v>
      </c>
    </row>
    <row r="847" ht="15.75" customHeight="1">
      <c r="A847" s="36">
        <v>45423.0</v>
      </c>
      <c r="B847" s="2" t="s">
        <v>27</v>
      </c>
      <c r="C847" s="2" t="s">
        <v>348</v>
      </c>
      <c r="D847" s="7">
        <v>1983.71</v>
      </c>
      <c r="E847" s="2">
        <v>2.0</v>
      </c>
      <c r="F847" s="7">
        <v>3967.42</v>
      </c>
      <c r="G847" s="2" t="s">
        <v>2845</v>
      </c>
      <c r="H847" s="2" t="s">
        <v>2846</v>
      </c>
      <c r="I847" s="2" t="s">
        <v>2847</v>
      </c>
      <c r="K847" s="25" t="str">
        <f>IFERROR(__xludf.DUMMYFUNCTION("IF(ISBLANK(A847),
  """",
  IF(ISNUMBER(A847),
    TEXT(A847,""dd/mm/yyyy""),
    IF(
      REGEXMATCH(TRIM(A847),""^\d{1,2}/\d{1,2}/\d{4}$""),
      TRIM(A847),
      IFERROR(
        TEXT(DATEVALUE(SUBSTITUTE(SUBSTITUTE(TRIM(A847),""-"",""/""),""."",""/"&amp;""")),""dd/mm/yyyy""),
        TRIM(A847)
      )
    )
  )
)
"),"11/05/2024")</f>
        <v>11/05/2024</v>
      </c>
      <c r="L847" s="26">
        <v>45423.0</v>
      </c>
      <c r="M847" s="27" t="str">
        <f>IFERROR(__xludf.DUMMYFUNCTION("PROPER(TRIM(
  REGEXREPLACE(
    REGEXREPLACE(
      SUBSTITUTE(SUBSTITUTE(SUBSTITUTE(SUBSTITUTE(SUBSTITUTE(SUBSTITUTE(SUBSTITUTE(SUBSTITUTE(SUBSTITUTE(SUBSTITUTE(SUBSTITUTE(
        B847,""√©"",""é""),""√°"",""á""),""√±"",""ñ""),""√≥"",""ó""),""√â"",""é"&amp;"""),""√Å"",""á""),""√ç"",""í""),""√Ç"",""Í""),""√Â"",""é""),""√≠"",""í""),""√º"",""ú""),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47" s="28" t="str">
        <f>IFERROR(__xludf.DUMMYFUNCTION("SPLIT(
  TRIM(
    SUBSTITUTE(
      SUBSTITUTE(
        SUBSTITUTE(
          SUBSTITUTE(
            C847,
            ""√©"", ""é""
          ),
          ""√±"", ""ñ""
        ),
        ""√°"", ""á""
      ),
      ""√≥"", ""ó""
    )
  ),
  ""-""
)
"),"Teléfono")</f>
        <v>Teléfono</v>
      </c>
      <c r="O847" s="28" t="str">
        <f>IFERROR(__xludf.DUMMYFUNCTION("""COMPUTED_VALUE"""),"Gama media")</f>
        <v>Gama media</v>
      </c>
      <c r="P847" s="28" t="str">
        <f>IFERROR(__xludf.DUMMYFUNCTION("""COMPUTED_VALUE"""),"8GB")</f>
        <v>8GB</v>
      </c>
      <c r="Q847" s="29">
        <f t="shared" si="1"/>
        <v>1983.71</v>
      </c>
      <c r="R847" s="28">
        <f t="shared" si="2"/>
        <v>2</v>
      </c>
      <c r="S847" s="29">
        <f t="shared" si="3"/>
        <v>3967.42</v>
      </c>
      <c r="T847" s="28" t="str">
        <f>IFERROR(__xludf.DUMMYFUNCTION("PROPER(TRIM(
  LET(
    texto1, REGEXREPLACE(G847,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"),"Eugenia Magaña Tejeda")</f>
        <v>Eugenia Magaña Tejeda</v>
      </c>
      <c r="U847" s="28" t="str">
        <f t="shared" si="4"/>
        <v>f021cbf0-6ce0-45dd-82d0-c26df5f5cc72</v>
      </c>
      <c r="V847" s="30" t="str">
        <f t="shared" si="5"/>
        <v>Teléfono Gama media 8GB</v>
      </c>
    </row>
    <row r="848" ht="15.75" customHeight="1">
      <c r="A848" s="36">
        <v>45606.0</v>
      </c>
      <c r="B848" s="2" t="s">
        <v>161</v>
      </c>
      <c r="C848" s="2" t="s">
        <v>397</v>
      </c>
      <c r="D848" s="7">
        <v>2390.84</v>
      </c>
      <c r="E848" s="2">
        <v>5.0</v>
      </c>
      <c r="F848" s="7">
        <v>11954.2</v>
      </c>
      <c r="G848" s="2" t="s">
        <v>2848</v>
      </c>
      <c r="H848" s="2" t="s">
        <v>2849</v>
      </c>
      <c r="I848" s="2" t="s">
        <v>2850</v>
      </c>
      <c r="K848" s="19" t="str">
        <f>IFERROR(__xludf.DUMMYFUNCTION("IF(ISBLANK(A848),
  """",
  IF(ISNUMBER(A848),
    TEXT(A848,""dd/mm/yyyy""),
    IF(
      REGEXMATCH(TRIM(A848),""^\d{1,2}/\d{1,2}/\d{4}$""),
      TRIM(A848),
      IFERROR(
        TEXT(DATEVALUE(SUBSTITUTE(SUBSTITUTE(TRIM(A848),""-"",""/""),""."",""/"&amp;""")),""dd/mm/yyyy""),
        TRIM(A848)
      )
    )
  )
)
"),"10/11/2024")</f>
        <v>10/11/2024</v>
      </c>
      <c r="L848" s="20">
        <v>45606.0</v>
      </c>
      <c r="M848" s="21" t="str">
        <f>IFERROR(__xludf.DUMMYFUNCTION("PROPER(TRIM(
  REGEXREPLACE(
    REGEXREPLACE(
      SUBSTITUTE(SUBSTITUTE(SUBSTITUTE(SUBSTITUTE(SUBSTITUTE(SUBSTITUTE(SUBSTITUTE(SUBSTITUTE(SUBSTITUTE(SUBSTITUTE(SUBSTITUTE(
        B848,""√©"",""é""),""√°"",""á""),""√±"",""ñ""),""√≥"",""ó""),""√â"",""é"&amp;"""),""√Å"",""á""),""√ç"",""í""),""√Ç"",""Í""),""√Â"",""é""),""√≠"",""í""),""√º"",""ú""),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848" s="22" t="str">
        <f>IFERROR(__xludf.DUMMYFUNCTION("SPLIT(
  TRIM(
    SUBSTITUTE(
      SUBSTITUTE(
        SUBSTITUTE(
          SUBSTITUTE(
            C848,
            ""√©"", ""é""
          ),
          ""√±"", ""ñ""
        ),
        ""√°"", ""á""
      ),
      ""√≥"", ""ó""
    )
  ),
  ""-""
)
"),"Teléfono")</f>
        <v>Teléfono</v>
      </c>
      <c r="O848" s="22" t="str">
        <f>IFERROR(__xludf.DUMMYFUNCTION("""COMPUTED_VALUE"""),"Gama media")</f>
        <v>Gama media</v>
      </c>
      <c r="P848" s="22" t="str">
        <f>IFERROR(__xludf.DUMMYFUNCTION("""COMPUTED_VALUE"""),"32GB")</f>
        <v>32GB</v>
      </c>
      <c r="Q848" s="23">
        <f t="shared" si="1"/>
        <v>2390.84</v>
      </c>
      <c r="R848" s="22">
        <f t="shared" si="2"/>
        <v>5</v>
      </c>
      <c r="S848" s="23">
        <f t="shared" si="3"/>
        <v>11954.2</v>
      </c>
      <c r="T848" s="22" t="str">
        <f>IFERROR(__xludf.DUMMYFUNCTION("PROPER(TRIM(
  LET(
    texto1, REGEXREPLACE(G848,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"),"Alfonso Gerónimo Tovar Merino")</f>
        <v>Alfonso Gerónimo Tovar Merino</v>
      </c>
      <c r="U848" s="22" t="str">
        <f t="shared" si="4"/>
        <v>0a194163-91a5-4990-a439-13d2a04cdd0d</v>
      </c>
      <c r="V848" s="24" t="str">
        <f t="shared" si="5"/>
        <v>Teléfono Gama media 32GB</v>
      </c>
    </row>
    <row r="849" ht="15.75" customHeight="1">
      <c r="A849" s="6">
        <v>45611.0</v>
      </c>
      <c r="B849" s="2" t="s">
        <v>85</v>
      </c>
      <c r="C849" s="2" t="s">
        <v>508</v>
      </c>
      <c r="D849" s="7">
        <v>1943.33</v>
      </c>
      <c r="E849" s="2">
        <v>1.0</v>
      </c>
      <c r="F849" s="7">
        <v>1943.33</v>
      </c>
      <c r="G849" s="2" t="s">
        <v>2851</v>
      </c>
      <c r="H849" s="2" t="s">
        <v>2852</v>
      </c>
      <c r="I849" s="2" t="s">
        <v>2853</v>
      </c>
      <c r="K849" s="25" t="str">
        <f>IFERROR(__xludf.DUMMYFUNCTION("IF(ISBLANK(A849),
  """",
  IF(ISNUMBER(A849),
    TEXT(A849,""dd/mm/yyyy""),
    IF(
      REGEXMATCH(TRIM(A849),""^\d{1,2}/\d{1,2}/\d{4}$""),
      TRIM(A849),
      IFERROR(
        TEXT(DATEVALUE(SUBSTITUTE(SUBSTITUTE(TRIM(A849),""-"",""/""),""."",""/"&amp;""")),""dd/mm/yyyy""),
        TRIM(A849)
      )
    )
  )
)
"),"15/11/2024")</f>
        <v>15/11/2024</v>
      </c>
      <c r="L849" s="26">
        <v>45611.0</v>
      </c>
      <c r="M849" s="27" t="str">
        <f>IFERROR(__xludf.DUMMYFUNCTION("PROPER(TRIM(
  REGEXREPLACE(
    REGEXREPLACE(
      SUBSTITUTE(SUBSTITUTE(SUBSTITUTE(SUBSTITUTE(SUBSTITUTE(SUBSTITUTE(SUBSTITUTE(SUBSTITUTE(SUBSTITUTE(SUBSTITUTE(SUBSTITUTE(
        B849,""√©"",""é""),""√°"",""á""),""√±"",""ñ""),""√≥"",""ó""),""√â"",""é"&amp;"""),""√Å"",""á""),""√ç"",""í""),""√Ç"",""Í""),""√Â"",""é""),""√≠"",""í""),""√º"",""ú""),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49" s="28" t="str">
        <f>IFERROR(__xludf.DUMMYFUNCTION("SPLIT(
  TRIM(
    SUBSTITUTE(
      SUBSTITUTE(
        SUBSTITUTE(
          SUBSTITUTE(
            C849,
            ""√©"", ""é""
          ),
          ""√±"", ""ñ""
        ),
        ""√°"", ""á""
      ),
      ""√≥"", ""ó""
    )
  ),
  ""-""
)
"),"Auriculares")</f>
        <v>Auriculares</v>
      </c>
      <c r="O849" s="28" t="str">
        <f>IFERROR(__xludf.DUMMYFUNCTION("""COMPUTED_VALUE"""),"Cancelación de ruido")</f>
        <v>Cancelación de ruido</v>
      </c>
      <c r="P849" s="28" t="str">
        <f>IFERROR(__xludf.DUMMYFUNCTION("""COMPUTED_VALUE"""),"16GB")</f>
        <v>16GB</v>
      </c>
      <c r="Q849" s="29">
        <f t="shared" si="1"/>
        <v>1943.33</v>
      </c>
      <c r="R849" s="28">
        <f t="shared" si="2"/>
        <v>1</v>
      </c>
      <c r="S849" s="29">
        <f t="shared" si="3"/>
        <v>1943.33</v>
      </c>
      <c r="T849" s="28" t="str">
        <f>IFERROR(__xludf.DUMMYFUNCTION("PROPER(TRIM(
  LET(
    texto1, REGEXREPLACE(G849,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 Esteban Lucio")</f>
        <v>Lilia Esteban Lucio</v>
      </c>
      <c r="U849" s="28" t="str">
        <f t="shared" si="4"/>
        <v>26650ad1-0a4e-4c43-b8b0-99095f0adc66</v>
      </c>
      <c r="V849" s="30" t="str">
        <f t="shared" si="5"/>
        <v>Auriculares Cancelación de ruido 16GB</v>
      </c>
    </row>
    <row r="850" ht="15.75" customHeight="1">
      <c r="A850" s="6">
        <v>45610.0</v>
      </c>
      <c r="B850" s="2" t="s">
        <v>16</v>
      </c>
      <c r="C850" s="2" t="s">
        <v>348</v>
      </c>
      <c r="D850" s="7">
        <v>718.69</v>
      </c>
      <c r="E850" s="2">
        <v>4.0</v>
      </c>
      <c r="F850" s="7">
        <v>2874.76</v>
      </c>
      <c r="G850" s="2" t="s">
        <v>2854</v>
      </c>
      <c r="H850" s="2" t="s">
        <v>2855</v>
      </c>
      <c r="I850" s="2" t="s">
        <v>2856</v>
      </c>
      <c r="K850" s="19" t="str">
        <f>IFERROR(__xludf.DUMMYFUNCTION("IF(ISBLANK(A850),
  """",
  IF(ISNUMBER(A850),
    TEXT(A850,""dd/mm/yyyy""),
    IF(
      REGEXMATCH(TRIM(A850),""^\d{1,2}/\d{1,2}/\d{4}$""),
      TRIM(A850),
      IFERROR(
        TEXT(DATEVALUE(SUBSTITUTE(SUBSTITUTE(TRIM(A850),""-"",""/""),""."",""/"&amp;""")),""dd/mm/yyyy""),
        TRIM(A850)
      )
    )
  )
)
"),"14/11/2024")</f>
        <v>14/11/2024</v>
      </c>
      <c r="L850" s="20">
        <v>45610.0</v>
      </c>
      <c r="M850" s="21" t="str">
        <f>IFERROR(__xludf.DUMMYFUNCTION("PROPER(TRIM(
  REGEXREPLACE(
    REGEXREPLACE(
      SUBSTITUTE(SUBSTITUTE(SUBSTITUTE(SUBSTITUTE(SUBSTITUTE(SUBSTITUTE(SUBSTITUTE(SUBSTITUTE(SUBSTITUTE(SUBSTITUTE(SUBSTITUTE(
        B850,""√©"",""é""),""√°"",""á""),""√±"",""ñ""),""√≥"",""ó""),""√â"",""é"&amp;"""),""√Å"",""á""),""√ç"",""í""),""√Ç"",""Í""),""√Â"",""é""),""√≠"",""í""),""√º"",""ú""),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50" s="22" t="str">
        <f>IFERROR(__xludf.DUMMYFUNCTION("SPLIT(
  TRIM(
    SUBSTITUTE(
      SUBSTITUTE(
        SUBSTITUTE(
          SUBSTITUTE(
            C850,
            ""√©"", ""é""
          ),
          ""√±"", ""ñ""
        ),
        ""√°"", ""á""
      ),
      ""√≥"", ""ó""
    )
  ),
  ""-""
)
"),"Teléfono")</f>
        <v>Teléfono</v>
      </c>
      <c r="O850" s="22" t="str">
        <f>IFERROR(__xludf.DUMMYFUNCTION("""COMPUTED_VALUE"""),"Gama media")</f>
        <v>Gama media</v>
      </c>
      <c r="P850" s="22" t="str">
        <f>IFERROR(__xludf.DUMMYFUNCTION("""COMPUTED_VALUE"""),"8GB")</f>
        <v>8GB</v>
      </c>
      <c r="Q850" s="23">
        <f t="shared" si="1"/>
        <v>718.69</v>
      </c>
      <c r="R850" s="22">
        <f t="shared" si="2"/>
        <v>4</v>
      </c>
      <c r="S850" s="23">
        <f t="shared" si="3"/>
        <v>2874.76</v>
      </c>
      <c r="T850" s="22" t="str">
        <f>IFERROR(__xludf.DUMMYFUNCTION("PROPER(TRIM(
  LET(
    texto1, REGEXREPLACE(G850,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"),"Abril Fonseca")</f>
        <v>Abril Fonseca</v>
      </c>
      <c r="U850" s="22" t="str">
        <f t="shared" si="4"/>
        <v>0c2c5144-f911-42db-bd29-5f8d9540954e</v>
      </c>
      <c r="V850" s="24" t="str">
        <f t="shared" si="5"/>
        <v>Teléfono Gama media 8GB</v>
      </c>
    </row>
    <row r="851" ht="15.75" customHeight="1">
      <c r="A851" s="6">
        <v>45647.0</v>
      </c>
      <c r="B851" s="2" t="s">
        <v>38</v>
      </c>
      <c r="C851" s="2" t="s">
        <v>348</v>
      </c>
      <c r="D851" s="7">
        <v>1979.07</v>
      </c>
      <c r="E851" s="2">
        <v>1.0</v>
      </c>
      <c r="F851" s="7">
        <v>1979.07</v>
      </c>
      <c r="G851" s="2" t="s">
        <v>2857</v>
      </c>
      <c r="H851" s="2" t="s">
        <v>2858</v>
      </c>
      <c r="I851" s="2" t="s">
        <v>2859</v>
      </c>
      <c r="K851" s="25" t="str">
        <f>IFERROR(__xludf.DUMMYFUNCTION("IF(ISBLANK(A851),
  """",
  IF(ISNUMBER(A851),
    TEXT(A851,""dd/mm/yyyy""),
    IF(
      REGEXMATCH(TRIM(A851),""^\d{1,2}/\d{1,2}/\d{4}$""),
      TRIM(A851),
      IFERROR(
        TEXT(DATEVALUE(SUBSTITUTE(SUBSTITUTE(TRIM(A851),""-"",""/""),""."",""/"&amp;""")),""dd/mm/yyyy""),
        TRIM(A851)
      )
    )
  )
)
"),"21/12/2024")</f>
        <v>21/12/2024</v>
      </c>
      <c r="L851" s="26">
        <v>45647.0</v>
      </c>
      <c r="M851" s="27" t="str">
        <f>IFERROR(__xludf.DUMMYFUNCTION("PROPER(TRIM(
  REGEXREPLACE(
    REGEXREPLACE(
      SUBSTITUTE(SUBSTITUTE(SUBSTITUTE(SUBSTITUTE(SUBSTITUTE(SUBSTITUTE(SUBSTITUTE(SUBSTITUTE(SUBSTITUTE(SUBSTITUTE(SUBSTITUTE(
        B851,""√©"",""é""),""√°"",""á""),""√±"",""ñ""),""√≥"",""ó""),""√â"",""é"&amp;"""),""√Å"",""á""),""√ç"",""í""),""√Ç"",""Í""),""√Â"",""é""),""√≠"",""í""),""√º"",""ú""),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51" s="28" t="str">
        <f>IFERROR(__xludf.DUMMYFUNCTION("SPLIT(
  TRIM(
    SUBSTITUTE(
      SUBSTITUTE(
        SUBSTITUTE(
          SUBSTITUTE(
            C851,
            ""√©"", ""é""
          ),
          ""√±"", ""ñ""
        ),
        ""√°"", ""á""
      ),
      ""√≥"", ""ó""
    )
  ),
  ""-""
)
"),"Teléfono")</f>
        <v>Teléfono</v>
      </c>
      <c r="O851" s="28" t="str">
        <f>IFERROR(__xludf.DUMMYFUNCTION("""COMPUTED_VALUE"""),"Gama media")</f>
        <v>Gama media</v>
      </c>
      <c r="P851" s="28" t="str">
        <f>IFERROR(__xludf.DUMMYFUNCTION("""COMPUTED_VALUE"""),"8GB")</f>
        <v>8GB</v>
      </c>
      <c r="Q851" s="29">
        <f t="shared" si="1"/>
        <v>1979.07</v>
      </c>
      <c r="R851" s="28">
        <f t="shared" si="2"/>
        <v>1</v>
      </c>
      <c r="S851" s="29">
        <f t="shared" si="3"/>
        <v>1979.07</v>
      </c>
      <c r="T851" s="28" t="str">
        <f>IFERROR(__xludf.DUMMYFUNCTION("PROPER(TRIM(
  LET(
    texto1, REGEXREPLACE(G851,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"),"Adalberto Nayeli Villarreal Dávila")</f>
        <v>Adalberto Nayeli Villarreal Dávila</v>
      </c>
      <c r="U851" s="28" t="str">
        <f t="shared" si="4"/>
        <v>8e4ddf27-be01-4cd2-bc4a-4045e7298017</v>
      </c>
      <c r="V851" s="30" t="str">
        <f t="shared" si="5"/>
        <v>Teléfono Gama media 8GB</v>
      </c>
    </row>
    <row r="852" ht="15.75" customHeight="1">
      <c r="A852" s="6">
        <v>45584.0</v>
      </c>
      <c r="B852" s="2" t="s">
        <v>38</v>
      </c>
      <c r="C852" s="2" t="s">
        <v>11</v>
      </c>
      <c r="D852" s="7">
        <v>2317.94</v>
      </c>
      <c r="E852" s="2">
        <v>4.0</v>
      </c>
      <c r="F852" s="7">
        <v>9271.76</v>
      </c>
      <c r="G852" s="2" t="s">
        <v>2860</v>
      </c>
      <c r="H852" s="2" t="s">
        <v>2861</v>
      </c>
      <c r="I852" s="2" t="s">
        <v>2862</v>
      </c>
      <c r="K852" s="19" t="str">
        <f>IFERROR(__xludf.DUMMYFUNCTION("IF(ISBLANK(A852),
  """",
  IF(ISNUMBER(A852),
    TEXT(A852,""dd/mm/yyyy""),
    IF(
      REGEXMATCH(TRIM(A852),""^\d{1,2}/\d{1,2}/\d{4}$""),
      TRIM(A852),
      IFERROR(
        TEXT(DATEVALUE(SUBSTITUTE(SUBSTITUTE(TRIM(A852),""-"",""/""),""."",""/"&amp;""")),""dd/mm/yyyy""),
        TRIM(A852)
      )
    )
  )
)
"),"19/10/2024")</f>
        <v>19/10/2024</v>
      </c>
      <c r="L852" s="20">
        <v>45584.0</v>
      </c>
      <c r="M852" s="21" t="str">
        <f>IFERROR(__xludf.DUMMYFUNCTION("PROPER(TRIM(
  REGEXREPLACE(
    REGEXREPLACE(
      SUBSTITUTE(SUBSTITUTE(SUBSTITUTE(SUBSTITUTE(SUBSTITUTE(SUBSTITUTE(SUBSTITUTE(SUBSTITUTE(SUBSTITUTE(SUBSTITUTE(SUBSTITUTE(
        B852,""√©"",""é""),""√°"",""á""),""√±"",""ñ""),""√≥"",""ó""),""√â"",""é"&amp;"""),""√Å"",""á""),""√ç"",""í""),""√Ç"",""Í""),""√Â"",""é""),""√≠"",""í""),""√º"",""ú""),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52" s="22" t="str">
        <f>IFERROR(__xludf.DUMMYFUNCTION("SPLIT(
  TRIM(
    SUBSTITUTE(
      SUBSTITUTE(
        SUBSTITUTE(
          SUBSTITUTE(
            C852,
            ""√©"", ""é""
          ),
          ""√±"", ""ñ""
        ),
        ""√°"", ""á""
      ),
      ""√≥"", ""ó""
    )
  ),
  ""-""
)
"),"Auriculares")</f>
        <v>Auriculares</v>
      </c>
      <c r="O852" s="22" t="str">
        <f>IFERROR(__xludf.DUMMYFUNCTION("""COMPUTED_VALUE"""),"Con cable")</f>
        <v>Con cable</v>
      </c>
      <c r="P852" s="22" t="str">
        <f>IFERROR(__xludf.DUMMYFUNCTION("""COMPUTED_VALUE"""),"32GB")</f>
        <v>32GB</v>
      </c>
      <c r="Q852" s="23">
        <f t="shared" si="1"/>
        <v>2317.94</v>
      </c>
      <c r="R852" s="22">
        <f t="shared" si="2"/>
        <v>4</v>
      </c>
      <c r="S852" s="23">
        <f t="shared" si="3"/>
        <v>9271.76</v>
      </c>
      <c r="T852" s="22" t="str">
        <f>IFERROR(__xludf.DUMMYFUNCTION("PROPER(TRIM(
  LET(
    texto1, REGEXREPLACE(G852,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"),"Alfredo Flórez")</f>
        <v>Alfredo Flórez</v>
      </c>
      <c r="U852" s="22" t="str">
        <f t="shared" si="4"/>
        <v>e17b8e31-1444-4e73-8d2e-98e479a23fab</v>
      </c>
      <c r="V852" s="24" t="str">
        <f t="shared" si="5"/>
        <v>Auriculares Con cable 32GB</v>
      </c>
    </row>
    <row r="853" ht="15.75" customHeight="1">
      <c r="A853" s="6">
        <v>45647.0</v>
      </c>
      <c r="B853" s="2" t="s">
        <v>85</v>
      </c>
      <c r="C853" s="2" t="s">
        <v>22</v>
      </c>
      <c r="D853" s="7">
        <v>1397.8</v>
      </c>
      <c r="E853" s="2">
        <v>2.0</v>
      </c>
      <c r="F853" s="7">
        <v>2795.6</v>
      </c>
      <c r="G853" s="2" t="s">
        <v>2863</v>
      </c>
      <c r="H853" s="2" t="s">
        <v>2864</v>
      </c>
      <c r="I853" s="2" t="s">
        <v>2865</v>
      </c>
      <c r="K853" s="25" t="str">
        <f>IFERROR(__xludf.DUMMYFUNCTION("IF(ISBLANK(A853),
  """",
  IF(ISNUMBER(A853),
    TEXT(A853,""dd/mm/yyyy""),
    IF(
      REGEXMATCH(TRIM(A853),""^\d{1,2}/\d{1,2}/\d{4}$""),
      TRIM(A853),
      IFERROR(
        TEXT(DATEVALUE(SUBSTITUTE(SUBSTITUTE(TRIM(A853),""-"",""/""),""."",""/"&amp;""")),""dd/mm/yyyy""),
        TRIM(A853)
      )
    )
  )
)
"),"21/12/2024")</f>
        <v>21/12/2024</v>
      </c>
      <c r="L853" s="26">
        <v>45647.0</v>
      </c>
      <c r="M853" s="27" t="str">
        <f>IFERROR(__xludf.DUMMYFUNCTION("PROPER(TRIM(
  REGEXREPLACE(
    REGEXREPLACE(
      SUBSTITUTE(SUBSTITUTE(SUBSTITUTE(SUBSTITUTE(SUBSTITUTE(SUBSTITUTE(SUBSTITUTE(SUBSTITUTE(SUBSTITUTE(SUBSTITUTE(SUBSTITUTE(
        B853,""√©"",""é""),""√°"",""á""),""√±"",""ñ""),""√≥"",""ó""),""√â"",""é"&amp;"""),""√Å"",""á""),""√ç"",""í""),""√Ç"",""Í""),""√Â"",""é""),""√≠"",""í""),""√º"",""ú""),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53" s="28" t="str">
        <f>IFERROR(__xludf.DUMMYFUNCTION("SPLIT(
  TRIM(
    SUBSTITUTE(
      SUBSTITUTE(
        SUBSTITUTE(
          SUBSTITUTE(
            C853,
            ""√©"", ""é""
          ),
          ""√±"", ""ñ""
        ),
        ""√°"", ""á""
      ),
      ""√≥"", ""ó""
    )
  ),
  ""-""
)
"),"Laptop")</f>
        <v>Laptop</v>
      </c>
      <c r="O853" s="28" t="str">
        <f>IFERROR(__xludf.DUMMYFUNCTION("""COMPUTED_VALUE"""),"Gaming")</f>
        <v>Gaming</v>
      </c>
      <c r="P853" s="28" t="str">
        <f>IFERROR(__xludf.DUMMYFUNCTION("""COMPUTED_VALUE"""),"32GB")</f>
        <v>32GB</v>
      </c>
      <c r="Q853" s="29">
        <f t="shared" si="1"/>
        <v>1397.8</v>
      </c>
      <c r="R853" s="28">
        <f t="shared" si="2"/>
        <v>2</v>
      </c>
      <c r="S853" s="29">
        <f t="shared" si="3"/>
        <v>2795.6</v>
      </c>
      <c r="T853" s="28" t="str">
        <f>IFERROR(__xludf.DUMMYFUNCTION("PROPER(TRIM(
  LET(
    texto1, REGEXREPLACE(G853,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"),"Josefina Miramontes")</f>
        <v>Josefina Miramontes</v>
      </c>
      <c r="U853" s="28" t="str">
        <f t="shared" si="4"/>
        <v>89a9fe2d-5336-4fdd-98cc-119f72686d97</v>
      </c>
      <c r="V853" s="30" t="str">
        <f t="shared" si="5"/>
        <v>Laptop Gaming 32GB</v>
      </c>
    </row>
    <row r="854" ht="15.75" customHeight="1">
      <c r="A854" s="36">
        <v>45636.0</v>
      </c>
      <c r="B854" s="2" t="s">
        <v>38</v>
      </c>
      <c r="C854" s="2" t="s">
        <v>162</v>
      </c>
      <c r="D854" s="7">
        <v>974.06</v>
      </c>
      <c r="E854" s="2">
        <v>5.0</v>
      </c>
      <c r="F854" s="7">
        <v>4870.3</v>
      </c>
      <c r="G854" s="2" t="s">
        <v>2866</v>
      </c>
      <c r="H854" s="2" t="s">
        <v>2867</v>
      </c>
      <c r="I854" s="2" t="s">
        <v>2868</v>
      </c>
      <c r="K854" s="19" t="str">
        <f>IFERROR(__xludf.DUMMYFUNCTION("IF(ISBLANK(A854),
  """",
  IF(ISNUMBER(A854),
    TEXT(A854,""dd/mm/yyyy""),
    IF(
      REGEXMATCH(TRIM(A854),""^\d{1,2}/\d{1,2}/\d{4}$""),
      TRIM(A854),
      IFERROR(
        TEXT(DATEVALUE(SUBSTITUTE(SUBSTITUTE(TRIM(A854),""-"",""/""),""."",""/"&amp;""")),""dd/mm/yyyy""),
        TRIM(A854)
      )
    )
  )
)
"),"10/12/2024")</f>
        <v>10/12/2024</v>
      </c>
      <c r="L854" s="20">
        <v>45636.0</v>
      </c>
      <c r="M854" s="21" t="str">
        <f>IFERROR(__xludf.DUMMYFUNCTION("PROPER(TRIM(
  REGEXREPLACE(
    REGEXREPLACE(
      SUBSTITUTE(SUBSTITUTE(SUBSTITUTE(SUBSTITUTE(SUBSTITUTE(SUBSTITUTE(SUBSTITUTE(SUBSTITUTE(SUBSTITUTE(SUBSTITUTE(SUBSTITUTE(
        B854,""√©"",""é""),""√°"",""á""),""√±"",""ñ""),""√≥"",""ó""),""√â"",""é"&amp;"""),""√Å"",""á""),""√ç"",""í""),""√Ç"",""Í""),""√Â"",""é""),""√≠"",""í""),""√º"",""ú""),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54" s="22" t="str">
        <f>IFERROR(__xludf.DUMMYFUNCTION("SPLIT(
  TRIM(
    SUBSTITUTE(
      SUBSTITUTE(
        SUBSTITUTE(
          SUBSTITUTE(
            C854,
            ""√©"", ""é""
          ),
          ""√±"", ""ñ""
        ),
        ""√°"", ""á""
      ),
      ""√≥"", ""ó""
    )
  ),
  ""-""
)
"),"Teléfono")</f>
        <v>Teléfono</v>
      </c>
      <c r="O854" s="22" t="str">
        <f>IFERROR(__xludf.DUMMYFUNCTION("""COMPUTED_VALUE"""),"Gama alta")</f>
        <v>Gama alta</v>
      </c>
      <c r="P854" s="22" t="str">
        <f>IFERROR(__xludf.DUMMYFUNCTION("""COMPUTED_VALUE"""),"16GB")</f>
        <v>16GB</v>
      </c>
      <c r="Q854" s="23">
        <f t="shared" si="1"/>
        <v>974.06</v>
      </c>
      <c r="R854" s="22">
        <f t="shared" si="2"/>
        <v>5</v>
      </c>
      <c r="S854" s="23">
        <f t="shared" si="3"/>
        <v>4870.3</v>
      </c>
      <c r="T854" s="22" t="str">
        <f>IFERROR(__xludf.DUMMYFUNCTION("PROPER(TRIM(
  LET(
    texto1, REGEXREPLACE(G854,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"),"Serafín Antonio Fonseca")</f>
        <v>Serafín Antonio Fonseca</v>
      </c>
      <c r="U854" s="22" t="str">
        <f t="shared" si="4"/>
        <v>b6857111-61b8-43f5-8981-c8ec006f2fb9</v>
      </c>
      <c r="V854" s="24" t="str">
        <f t="shared" si="5"/>
        <v>Teléfono Gama alta 16GB</v>
      </c>
    </row>
    <row r="855" ht="15.75" customHeight="1">
      <c r="A855" s="6">
        <v>45656.0</v>
      </c>
      <c r="B855" s="2" t="s">
        <v>101</v>
      </c>
      <c r="C855" s="2" t="s">
        <v>176</v>
      </c>
      <c r="D855" s="7">
        <v>2086.06</v>
      </c>
      <c r="E855" s="2">
        <v>1.0</v>
      </c>
      <c r="F855" s="7">
        <v>2086.06</v>
      </c>
      <c r="G855" s="2" t="s">
        <v>2869</v>
      </c>
      <c r="H855" s="2" t="s">
        <v>2870</v>
      </c>
      <c r="I855" s="2" t="s">
        <v>2871</v>
      </c>
      <c r="K855" s="25" t="str">
        <f>IFERROR(__xludf.DUMMYFUNCTION("IF(ISBLANK(A855),
  """",
  IF(ISNUMBER(A855),
    TEXT(A855,""dd/mm/yyyy""),
    IF(
      REGEXMATCH(TRIM(A855),""^\d{1,2}/\d{1,2}/\d{4}$""),
      TRIM(A855),
      IFERROR(
        TEXT(DATEVALUE(SUBSTITUTE(SUBSTITUTE(TRIM(A855),""-"",""/""),""."",""/"&amp;""")),""dd/mm/yyyy""),
        TRIM(A855)
      )
    )
  )
)
"),"30/12/2024")</f>
        <v>30/12/2024</v>
      </c>
      <c r="L855" s="26">
        <v>45656.0</v>
      </c>
      <c r="M855" s="27" t="str">
        <f>IFERROR(__xludf.DUMMYFUNCTION("PROPER(TRIM(
  REGEXREPLACE(
    REGEXREPLACE(
      SUBSTITUTE(SUBSTITUTE(SUBSTITUTE(SUBSTITUTE(SUBSTITUTE(SUBSTITUTE(SUBSTITUTE(SUBSTITUTE(SUBSTITUTE(SUBSTITUTE(SUBSTITUTE(
        B855,""√©"",""é""),""√°"",""á""),""√±"",""ñ""),""√≥"",""ó""),""√â"",""é"&amp;"""),""√Å"",""á""),""√ç"",""í""),""√Ç"",""Í""),""√Â"",""é""),""√≠"",""í""),""√º"",""ú""),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55" s="28" t="str">
        <f>IFERROR(__xludf.DUMMYFUNCTION("SPLIT(
  TRIM(
    SUBSTITUTE(
      SUBSTITUTE(
        SUBSTITUTE(
          SUBSTITUTE(
            C855,
            ""√©"", ""é""
          ),
          ""√±"", ""ñ""
        ),
        ""√°"", ""á""
      ),
      ""√≥"", ""ó""
    )
  ),
  ""-""
)
"),"Auriculares")</f>
        <v>Auriculares</v>
      </c>
      <c r="O855" s="28" t="str">
        <f>IFERROR(__xludf.DUMMYFUNCTION("""COMPUTED_VALUE"""),"Con cable")</f>
        <v>Con cable</v>
      </c>
      <c r="P855" s="28" t="str">
        <f>IFERROR(__xludf.DUMMYFUNCTION("""COMPUTED_VALUE"""),"8GB")</f>
        <v>8GB</v>
      </c>
      <c r="Q855" s="29">
        <f t="shared" si="1"/>
        <v>2086.06</v>
      </c>
      <c r="R855" s="28">
        <f t="shared" si="2"/>
        <v>1</v>
      </c>
      <c r="S855" s="29">
        <f t="shared" si="3"/>
        <v>2086.06</v>
      </c>
      <c r="T855" s="28" t="str">
        <f>IFERROR(__xludf.DUMMYFUNCTION("PROPER(TRIM(
  LET(
    texto1, REGEXREPLACE(G855,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"),"Pedro Eric Parra Palacios")</f>
        <v>Pedro Eric Parra Palacios</v>
      </c>
      <c r="U855" s="28" t="str">
        <f t="shared" si="4"/>
        <v>2ee16a28-cb66-41ad-9e11-480593b992f3</v>
      </c>
      <c r="V855" s="30" t="str">
        <f t="shared" si="5"/>
        <v>Auriculares Con cable 8GB</v>
      </c>
    </row>
    <row r="856" ht="15.75" customHeight="1">
      <c r="A856" s="36">
        <v>45636.0</v>
      </c>
      <c r="B856" s="2" t="s">
        <v>85</v>
      </c>
      <c r="C856" s="2" t="s">
        <v>196</v>
      </c>
      <c r="D856" s="7">
        <v>1808.15</v>
      </c>
      <c r="E856" s="2">
        <v>2.0</v>
      </c>
      <c r="F856" s="7">
        <v>3616.3</v>
      </c>
      <c r="G856" s="2" t="s">
        <v>2872</v>
      </c>
      <c r="H856" s="2" t="s">
        <v>2873</v>
      </c>
      <c r="I856" s="2" t="s">
        <v>2874</v>
      </c>
      <c r="K856" s="19" t="str">
        <f>IFERROR(__xludf.DUMMYFUNCTION("IF(ISBLANK(A856),
  """",
  IF(ISNUMBER(A856),
    TEXT(A856,""dd/mm/yyyy""),
    IF(
      REGEXMATCH(TRIM(A856),""^\d{1,2}/\d{1,2}/\d{4}$""),
      TRIM(A856),
      IFERROR(
        TEXT(DATEVALUE(SUBSTITUTE(SUBSTITUTE(TRIM(A856),""-"",""/""),""."",""/"&amp;""")),""dd/mm/yyyy""),
        TRIM(A856)
      )
    )
  )
)
"),"10/12/2024")</f>
        <v>10/12/2024</v>
      </c>
      <c r="L856" s="20">
        <v>45636.0</v>
      </c>
      <c r="M856" s="21" t="str">
        <f>IFERROR(__xludf.DUMMYFUNCTION("PROPER(TRIM(
  REGEXREPLACE(
    REGEXREPLACE(
      SUBSTITUTE(SUBSTITUTE(SUBSTITUTE(SUBSTITUTE(SUBSTITUTE(SUBSTITUTE(SUBSTITUTE(SUBSTITUTE(SUBSTITUTE(SUBSTITUTE(SUBSTITUTE(
        B856,""√©"",""é""),""√°"",""á""),""√±"",""ñ""),""√≥"",""ó""),""√â"",""é"&amp;"""),""√Å"",""á""),""√ç"",""í""),""√Ç"",""Í""),""√Â"",""é""),""√≠"",""í""),""√º"",""ú""),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56" s="22" t="str">
        <f>IFERROR(__xludf.DUMMYFUNCTION("SPLIT(
  TRIM(
    SUBSTITUTE(
      SUBSTITUTE(
        SUBSTITUTE(
          SUBSTITUTE(
            C856,
            ""√©"", ""é""
          ),
          ""√±"", ""ñ""
        ),
        ""√°"", ""á""
      ),
      ""√≥"", ""ó""
    )
  ),
  ""-""
)
"),"Auriculares")</f>
        <v>Auriculares</v>
      </c>
      <c r="O856" s="22" t="str">
        <f>IFERROR(__xludf.DUMMYFUNCTION("""COMPUTED_VALUE"""),"Cancelación de ruido")</f>
        <v>Cancelación de ruido</v>
      </c>
      <c r="P856" s="22" t="str">
        <f>IFERROR(__xludf.DUMMYFUNCTION("""COMPUTED_VALUE"""),"8GB")</f>
        <v>8GB</v>
      </c>
      <c r="Q856" s="23">
        <f t="shared" si="1"/>
        <v>1808.15</v>
      </c>
      <c r="R856" s="22">
        <f t="shared" si="2"/>
        <v>2</v>
      </c>
      <c r="S856" s="23">
        <f t="shared" si="3"/>
        <v>3616.3</v>
      </c>
      <c r="T856" s="22" t="str">
        <f>IFERROR(__xludf.DUMMYFUNCTION("PROPER(TRIM(
  LET(
    texto1, REGEXREPLACE(G856,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"),"Mitzy Noelia Ramos Menchaca")</f>
        <v>Mitzy Noelia Ramos Menchaca</v>
      </c>
      <c r="U856" s="22" t="str">
        <f t="shared" si="4"/>
        <v>1801df3c-96b3-4e4a-be9c-19777e295ccd</v>
      </c>
      <c r="V856" s="24" t="str">
        <f t="shared" si="5"/>
        <v>Auriculares Cancelación de ruido 8GB</v>
      </c>
    </row>
    <row r="857" ht="15.75" customHeight="1">
      <c r="A857" s="6">
        <v>45616.0</v>
      </c>
      <c r="B857" s="2" t="s">
        <v>85</v>
      </c>
      <c r="C857" s="2" t="s">
        <v>28</v>
      </c>
      <c r="D857" s="7">
        <v>1130.03</v>
      </c>
      <c r="E857" s="2">
        <v>5.0</v>
      </c>
      <c r="F857" s="7">
        <v>5650.15</v>
      </c>
      <c r="G857" s="2" t="s">
        <v>2875</v>
      </c>
      <c r="H857" s="2" t="s">
        <v>2876</v>
      </c>
      <c r="I857" s="2" t="s">
        <v>2877</v>
      </c>
      <c r="K857" s="25" t="str">
        <f>IFERROR(__xludf.DUMMYFUNCTION("IF(ISBLANK(A857),
  """",
  IF(ISNUMBER(A857),
    TEXT(A857,""dd/mm/yyyy""),
    IF(
      REGEXMATCH(TRIM(A857),""^\d{1,2}/\d{1,2}/\d{4}$""),
      TRIM(A857),
      IFERROR(
        TEXT(DATEVALUE(SUBSTITUTE(SUBSTITUTE(TRIM(A857),""-"",""/""),""."",""/"&amp;""")),""dd/mm/yyyy""),
        TRIM(A857)
      )
    )
  )
)
"),"20/11/2024")</f>
        <v>20/11/2024</v>
      </c>
      <c r="L857" s="26">
        <v>45616.0</v>
      </c>
      <c r="M857" s="27" t="str">
        <f>IFERROR(__xludf.DUMMYFUNCTION("PROPER(TRIM(
  REGEXREPLACE(
    REGEXREPLACE(
      SUBSTITUTE(SUBSTITUTE(SUBSTITUTE(SUBSTITUTE(SUBSTITUTE(SUBSTITUTE(SUBSTITUTE(SUBSTITUTE(SUBSTITUTE(SUBSTITUTE(SUBSTITUTE(
        B857,""√©"",""é""),""√°"",""á""),""√±"",""ñ""),""√≥"",""ó""),""√â"",""é"&amp;"""),""√Å"",""á""),""√ç"",""í""),""√Ç"",""Í""),""√Â"",""é""),""√≠"",""í""),""√º"",""ú""),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57" s="28" t="str">
        <f>IFERROR(__xludf.DUMMYFUNCTION("SPLIT(
  TRIM(
    SUBSTITUTE(
      SUBSTITUTE(
        SUBSTITUTE(
          SUBSTITUTE(
            C857,
            ""√©"", ""é""
          ),
          ""√±"", ""ñ""
        ),
        ""√°"", ""á""
      ),
      ""√≥"", ""ó""
    )
  ),
  ""-""
)
"),"Tablet")</f>
        <v>Tablet</v>
      </c>
      <c r="O857" s="28" t="str">
        <f>IFERROR(__xludf.DUMMYFUNCTION("""COMPUTED_VALUE"""),"Pro")</f>
        <v>Pro</v>
      </c>
      <c r="P857" s="28" t="str">
        <f>IFERROR(__xludf.DUMMYFUNCTION("""COMPUTED_VALUE"""),"8GB")</f>
        <v>8GB</v>
      </c>
      <c r="Q857" s="29">
        <f t="shared" si="1"/>
        <v>1130.03</v>
      </c>
      <c r="R857" s="28">
        <f t="shared" si="2"/>
        <v>5</v>
      </c>
      <c r="S857" s="29">
        <f t="shared" si="3"/>
        <v>5650.15</v>
      </c>
      <c r="T857" s="28" t="str">
        <f>IFERROR(__xludf.DUMMYFUNCTION("PROPER(TRIM(
  LET(
    texto1, REGEXREPLACE(G857,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"),"Marisol Santana")</f>
        <v>Marisol Santana</v>
      </c>
      <c r="U857" s="28" t="str">
        <f t="shared" si="4"/>
        <v>2928f18a-0aa5-4ac6-90e5-f816a534a90a</v>
      </c>
      <c r="V857" s="30" t="str">
        <f t="shared" si="5"/>
        <v>Tablet Pro 8GB</v>
      </c>
    </row>
    <row r="858" ht="15.75" customHeight="1">
      <c r="A858" s="6">
        <v>45581.0</v>
      </c>
      <c r="B858" s="2" t="s">
        <v>50</v>
      </c>
      <c r="C858" s="2" t="s">
        <v>698</v>
      </c>
      <c r="D858" s="7">
        <v>903.41</v>
      </c>
      <c r="E858" s="2">
        <v>3.0</v>
      </c>
      <c r="F858" s="7">
        <v>2710.23</v>
      </c>
      <c r="G858" s="2" t="s">
        <v>2878</v>
      </c>
      <c r="H858" s="2" t="s">
        <v>2879</v>
      </c>
      <c r="I858" s="2" t="s">
        <v>2880</v>
      </c>
      <c r="K858" s="19" t="str">
        <f>IFERROR(__xludf.DUMMYFUNCTION("IF(ISBLANK(A858),
  """",
  IF(ISNUMBER(A858),
    TEXT(A858,""dd/mm/yyyy""),
    IF(
      REGEXMATCH(TRIM(A858),""^\d{1,2}/\d{1,2}/\d{4}$""),
      TRIM(A858),
      IFERROR(
        TEXT(DATEVALUE(SUBSTITUTE(SUBSTITUTE(TRIM(A858),""-"",""/""),""."",""/"&amp;""")),""dd/mm/yyyy""),
        TRIM(A858)
      )
    )
  )
)
"),"16/10/2024")</f>
        <v>16/10/2024</v>
      </c>
      <c r="L858" s="20">
        <v>45581.0</v>
      </c>
      <c r="M858" s="21" t="str">
        <f>IFERROR(__xludf.DUMMYFUNCTION("PROPER(TRIM(
  REGEXREPLACE(
    REGEXREPLACE(
      SUBSTITUTE(SUBSTITUTE(SUBSTITUTE(SUBSTITUTE(SUBSTITUTE(SUBSTITUTE(SUBSTITUTE(SUBSTITUTE(SUBSTITUTE(SUBSTITUTE(SUBSTITUTE(
        B858,""√©"",""é""),""√°"",""á""),""√±"",""ñ""),""√≥"",""ó""),""√â"",""é"&amp;"""),""√Å"",""á""),""√ç"",""í""),""√Ç"",""Í""),""√Â"",""é""),""√≠"",""í""),""√º"",""ú""),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58" s="22" t="str">
        <f>IFERROR(__xludf.DUMMYFUNCTION("SPLIT(
  TRIM(
    SUBSTITUTE(
      SUBSTITUTE(
        SUBSTITUTE(
          SUBSTITUTE(
            C858,
            ""√©"", ""é""
          ),
          ""√±"", ""ñ""
        ),
        ""√°"", ""á""
      ),
      ""√≥"", ""ó""
    )
  ),
  ""-""
)
"),"Laptop")</f>
        <v>Laptop</v>
      </c>
      <c r="O858" s="22" t="str">
        <f>IFERROR(__xludf.DUMMYFUNCTION("""COMPUTED_VALUE"""),"Ultraliviana")</f>
        <v>Ultraliviana</v>
      </c>
      <c r="P858" s="22" t="str">
        <f>IFERROR(__xludf.DUMMYFUNCTION("""COMPUTED_VALUE"""),"8GB")</f>
        <v>8GB</v>
      </c>
      <c r="Q858" s="23">
        <f t="shared" si="1"/>
        <v>903.41</v>
      </c>
      <c r="R858" s="22">
        <f t="shared" si="2"/>
        <v>3</v>
      </c>
      <c r="S858" s="23">
        <f t="shared" si="3"/>
        <v>2710.23</v>
      </c>
      <c r="T858" s="22" t="str">
        <f>IFERROR(__xludf.DUMMYFUNCTION("PROPER(TRIM(
  LET(
    texto1, REGEXREPLACE(G858,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Armando Portillo")</f>
        <v>Diego Armando Portillo</v>
      </c>
      <c r="U858" s="22" t="str">
        <f t="shared" si="4"/>
        <v>278f1d63-6044-406a-b286-8ed51ce0b45a</v>
      </c>
      <c r="V858" s="24" t="str">
        <f t="shared" si="5"/>
        <v>Laptop Ultraliviana 8GB</v>
      </c>
    </row>
    <row r="859" ht="15.75" customHeight="1">
      <c r="A859" s="6">
        <v>45588.0</v>
      </c>
      <c r="B859" s="2" t="s">
        <v>27</v>
      </c>
      <c r="C859" s="2" t="s">
        <v>22</v>
      </c>
      <c r="D859" s="7">
        <v>379.64</v>
      </c>
      <c r="E859" s="2">
        <v>3.0</v>
      </c>
      <c r="F859" s="7">
        <v>1138.92</v>
      </c>
      <c r="G859" s="2" t="s">
        <v>2881</v>
      </c>
      <c r="H859" s="2" t="s">
        <v>2882</v>
      </c>
      <c r="I859" s="2" t="s">
        <v>2883</v>
      </c>
      <c r="K859" s="25" t="str">
        <f>IFERROR(__xludf.DUMMYFUNCTION("IF(ISBLANK(A859),
  """",
  IF(ISNUMBER(A859),
    TEXT(A859,""dd/mm/yyyy""),
    IF(
      REGEXMATCH(TRIM(A859),""^\d{1,2}/\d{1,2}/\d{4}$""),
      TRIM(A859),
      IFERROR(
        TEXT(DATEVALUE(SUBSTITUTE(SUBSTITUTE(TRIM(A859),""-"",""/""),""."",""/"&amp;""")),""dd/mm/yyyy""),
        TRIM(A859)
      )
    )
  )
)
"),"23/10/2024")</f>
        <v>23/10/2024</v>
      </c>
      <c r="L859" s="26">
        <v>45588.0</v>
      </c>
      <c r="M859" s="27" t="str">
        <f>IFERROR(__xludf.DUMMYFUNCTION("PROPER(TRIM(
  REGEXREPLACE(
    REGEXREPLACE(
      SUBSTITUTE(SUBSTITUTE(SUBSTITUTE(SUBSTITUTE(SUBSTITUTE(SUBSTITUTE(SUBSTITUTE(SUBSTITUTE(SUBSTITUTE(SUBSTITUTE(SUBSTITUTE(
        B859,""√©"",""é""),""√°"",""á""),""√±"",""ñ""),""√≥"",""ó""),""√â"",""é"&amp;"""),""√Å"",""á""),""√ç"",""í""),""√Ç"",""Í""),""√Â"",""é""),""√≠"",""í""),""√º"",""ú""),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59" s="28" t="str">
        <f>IFERROR(__xludf.DUMMYFUNCTION("SPLIT(
  TRIM(
    SUBSTITUTE(
      SUBSTITUTE(
        SUBSTITUTE(
          SUBSTITUTE(
            C859,
            ""√©"", ""é""
          ),
          ""√±"", ""ñ""
        ),
        ""√°"", ""á""
      ),
      ""√≥"", ""ó""
    )
  ),
  ""-""
)
"),"Laptop")</f>
        <v>Laptop</v>
      </c>
      <c r="O859" s="28" t="str">
        <f>IFERROR(__xludf.DUMMYFUNCTION("""COMPUTED_VALUE"""),"Gaming")</f>
        <v>Gaming</v>
      </c>
      <c r="P859" s="28" t="str">
        <f>IFERROR(__xludf.DUMMYFUNCTION("""COMPUTED_VALUE"""),"32GB")</f>
        <v>32GB</v>
      </c>
      <c r="Q859" s="29">
        <f t="shared" si="1"/>
        <v>379.64</v>
      </c>
      <c r="R859" s="28">
        <f t="shared" si="2"/>
        <v>3</v>
      </c>
      <c r="S859" s="29">
        <f t="shared" si="3"/>
        <v>1138.92</v>
      </c>
      <c r="T859" s="28" t="str">
        <f>IFERROR(__xludf.DUMMYFUNCTION("PROPER(TRIM(
  LET(
    texto1, REGEXREPLACE(G859,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"),"Marcos Adriana Orosco Bétancourt")</f>
        <v>Marcos Adriana Orosco Bétancourt</v>
      </c>
      <c r="U859" s="28" t="str">
        <f t="shared" si="4"/>
        <v>673092af-8716-453b-88f4-efdc6f33c1e5</v>
      </c>
      <c r="V859" s="30" t="str">
        <f t="shared" si="5"/>
        <v>Laptop Gaming 32GB</v>
      </c>
    </row>
    <row r="860" ht="15.75" customHeight="1">
      <c r="A860" s="6">
        <v>45652.0</v>
      </c>
      <c r="B860" s="2" t="s">
        <v>38</v>
      </c>
      <c r="C860" s="2" t="s">
        <v>176</v>
      </c>
      <c r="D860" s="7">
        <v>554.25</v>
      </c>
      <c r="E860" s="2">
        <v>1.0</v>
      </c>
      <c r="F860" s="7">
        <v>554.25</v>
      </c>
      <c r="G860" s="2" t="s">
        <v>2884</v>
      </c>
      <c r="H860" s="2" t="s">
        <v>2885</v>
      </c>
      <c r="I860" s="2" t="s">
        <v>2886</v>
      </c>
      <c r="K860" s="19" t="str">
        <f>IFERROR(__xludf.DUMMYFUNCTION("IF(ISBLANK(A860),
  """",
  IF(ISNUMBER(A860),
    TEXT(A860,""dd/mm/yyyy""),
    IF(
      REGEXMATCH(TRIM(A860),""^\d{1,2}/\d{1,2}/\d{4}$""),
      TRIM(A860),
      IFERROR(
        TEXT(DATEVALUE(SUBSTITUTE(SUBSTITUTE(TRIM(A860),""-"",""/""),""."",""/"&amp;""")),""dd/mm/yyyy""),
        TRIM(A860)
      )
    )
  )
)
"),"26/12/2024")</f>
        <v>26/12/2024</v>
      </c>
      <c r="L860" s="20">
        <v>45652.0</v>
      </c>
      <c r="M860" s="21" t="str">
        <f>IFERROR(__xludf.DUMMYFUNCTION("PROPER(TRIM(
  REGEXREPLACE(
    REGEXREPLACE(
      SUBSTITUTE(SUBSTITUTE(SUBSTITUTE(SUBSTITUTE(SUBSTITUTE(SUBSTITUTE(SUBSTITUTE(SUBSTITUTE(SUBSTITUTE(SUBSTITUTE(SUBSTITUTE(
        B860,""√©"",""é""),""√°"",""á""),""√±"",""ñ""),""√≥"",""ó""),""√â"",""é"&amp;"""),""√Å"",""á""),""√ç"",""í""),""√Ç"",""Í""),""√Â"",""é""),""√≠"",""í""),""√º"",""ú""),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60" s="22" t="str">
        <f>IFERROR(__xludf.DUMMYFUNCTION("SPLIT(
  TRIM(
    SUBSTITUTE(
      SUBSTITUTE(
        SUBSTITUTE(
          SUBSTITUTE(
            C860,
            ""√©"", ""é""
          ),
          ""√±"", ""ñ""
        ),
        ""√°"", ""á""
      ),
      ""√≥"", ""ó""
    )
  ),
  ""-""
)
"),"Auriculares")</f>
        <v>Auriculares</v>
      </c>
      <c r="O860" s="22" t="str">
        <f>IFERROR(__xludf.DUMMYFUNCTION("""COMPUTED_VALUE"""),"Con cable")</f>
        <v>Con cable</v>
      </c>
      <c r="P860" s="22" t="str">
        <f>IFERROR(__xludf.DUMMYFUNCTION("""COMPUTED_VALUE"""),"8GB")</f>
        <v>8GB</v>
      </c>
      <c r="Q860" s="23">
        <f t="shared" si="1"/>
        <v>554.25</v>
      </c>
      <c r="R860" s="22">
        <f t="shared" si="2"/>
        <v>1</v>
      </c>
      <c r="S860" s="23">
        <f t="shared" si="3"/>
        <v>554.25</v>
      </c>
      <c r="T860" s="22" t="str">
        <f>IFERROR(__xludf.DUMMYFUNCTION("PROPER(TRIM(
  LET(
    texto1, REGEXREPLACE(G860,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Nancy Madrid Cornejo")</f>
        <v>Diego Nancy Madrid Cornejo</v>
      </c>
      <c r="U860" s="22" t="str">
        <f t="shared" si="4"/>
        <v>69ab5c31-c863-41d0-94a7-8aa6b0126003</v>
      </c>
      <c r="V860" s="24" t="str">
        <f t="shared" si="5"/>
        <v>Auriculares Con cable 8GB</v>
      </c>
    </row>
    <row r="861" ht="15.75" customHeight="1">
      <c r="A861" s="36">
        <v>45423.0</v>
      </c>
      <c r="B861" s="2" t="s">
        <v>101</v>
      </c>
      <c r="C861" s="2" t="s">
        <v>116</v>
      </c>
      <c r="D861" s="7">
        <v>1832.19</v>
      </c>
      <c r="E861" s="2">
        <v>1.0</v>
      </c>
      <c r="F861" s="7">
        <v>1832.19</v>
      </c>
      <c r="G861" s="2" t="s">
        <v>2887</v>
      </c>
      <c r="H861" s="2" t="s">
        <v>2888</v>
      </c>
      <c r="I861" s="2" t="s">
        <v>2889</v>
      </c>
      <c r="K861" s="25" t="str">
        <f>IFERROR(__xludf.DUMMYFUNCTION("IF(ISBLANK(A861),
  """",
  IF(ISNUMBER(A861),
    TEXT(A861,""dd/mm/yyyy""),
    IF(
      REGEXMATCH(TRIM(A861),""^\d{1,2}/\d{1,2}/\d{4}$""),
      TRIM(A861),
      IFERROR(
        TEXT(DATEVALUE(SUBSTITUTE(SUBSTITUTE(TRIM(A861),""-"",""/""),""."",""/"&amp;""")),""dd/mm/yyyy""),
        TRIM(A861)
      )
    )
  )
)
"),"11/05/2024")</f>
        <v>11/05/2024</v>
      </c>
      <c r="L861" s="26">
        <v>45423.0</v>
      </c>
      <c r="M861" s="27" t="str">
        <f>IFERROR(__xludf.DUMMYFUNCTION("PROPER(TRIM(
  REGEXREPLACE(
    REGEXREPLACE(
      SUBSTITUTE(SUBSTITUTE(SUBSTITUTE(SUBSTITUTE(SUBSTITUTE(SUBSTITUTE(SUBSTITUTE(SUBSTITUTE(SUBSTITUTE(SUBSTITUTE(SUBSTITUTE(
        B861,""√©"",""é""),""√°"",""á""),""√±"",""ñ""),""√≥"",""ó""),""√â"",""é"&amp;"""),""√Å"",""á""),""√ç"",""í""),""√Ç"",""Í""),""√Â"",""é""),""√≠"",""í""),""√º"",""ú""),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61" s="28" t="str">
        <f>IFERROR(__xludf.DUMMYFUNCTION("SPLIT(
  TRIM(
    SUBSTITUTE(
      SUBSTITUTE(
        SUBSTITUTE(
          SUBSTITUTE(
            C861,
            ""√©"", ""é""
          ),
          ""√±"", ""ñ""
        ),
        ""√°"", ""á""
      ),
      ""√≥"", ""ó""
    )
  ),
  ""-""
)
"),"Teléfono")</f>
        <v>Teléfono</v>
      </c>
      <c r="O861" s="28" t="str">
        <f>IFERROR(__xludf.DUMMYFUNCTION("""COMPUTED_VALUE"""),"Gama media")</f>
        <v>Gama media</v>
      </c>
      <c r="P861" s="28" t="str">
        <f>IFERROR(__xludf.DUMMYFUNCTION("""COMPUTED_VALUE"""),"4GB")</f>
        <v>4GB</v>
      </c>
      <c r="Q861" s="29">
        <f t="shared" si="1"/>
        <v>1832.19</v>
      </c>
      <c r="R861" s="28">
        <f t="shared" si="2"/>
        <v>1</v>
      </c>
      <c r="S861" s="29">
        <f t="shared" si="3"/>
        <v>1832.19</v>
      </c>
      <c r="T861" s="28" t="str">
        <f>IFERROR(__xludf.DUMMYFUNCTION("PROPER(TRIM(
  LET(
    texto1, REGEXREPLACE(G861,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"),"Ofelia Duarte")</f>
        <v>Ofelia Duarte</v>
      </c>
      <c r="U861" s="28" t="str">
        <f t="shared" si="4"/>
        <v>572359f3-27ef-41f5-90d5-4388fd663182</v>
      </c>
      <c r="V861" s="30" t="str">
        <f t="shared" si="5"/>
        <v>Teléfono Gama media 4GB</v>
      </c>
    </row>
    <row r="862" ht="15.75" customHeight="1">
      <c r="A862" s="6">
        <v>45616.0</v>
      </c>
      <c r="B862" s="2" t="s">
        <v>50</v>
      </c>
      <c r="C862" s="2" t="s">
        <v>191</v>
      </c>
      <c r="D862" s="7">
        <v>1485.74</v>
      </c>
      <c r="E862" s="2">
        <v>3.0</v>
      </c>
      <c r="F862" s="7">
        <v>4457.22</v>
      </c>
      <c r="G862" s="2" t="s">
        <v>2890</v>
      </c>
      <c r="H862" s="2" t="s">
        <v>2891</v>
      </c>
      <c r="I862" s="2" t="s">
        <v>2892</v>
      </c>
      <c r="K862" s="19" t="str">
        <f>IFERROR(__xludf.DUMMYFUNCTION("IF(ISBLANK(A862),
  """",
  IF(ISNUMBER(A862),
    TEXT(A862,""dd/mm/yyyy""),
    IF(
      REGEXMATCH(TRIM(A862),""^\d{1,2}/\d{1,2}/\d{4}$""),
      TRIM(A862),
      IFERROR(
        TEXT(DATEVALUE(SUBSTITUTE(SUBSTITUTE(TRIM(A862),""-"",""/""),""."",""/"&amp;""")),""dd/mm/yyyy""),
        TRIM(A862)
      )
    )
  )
)
"),"20/11/2024")</f>
        <v>20/11/2024</v>
      </c>
      <c r="L862" s="20">
        <v>45616.0</v>
      </c>
      <c r="M862" s="21" t="str">
        <f>IFERROR(__xludf.DUMMYFUNCTION("PROPER(TRIM(
  REGEXREPLACE(
    REGEXREPLACE(
      SUBSTITUTE(SUBSTITUTE(SUBSTITUTE(SUBSTITUTE(SUBSTITUTE(SUBSTITUTE(SUBSTITUTE(SUBSTITUTE(SUBSTITUTE(SUBSTITUTE(SUBSTITUTE(
        B862,""√©"",""é""),""√°"",""á""),""√±"",""ñ""),""√≥"",""ó""),""√â"",""é"&amp;"""),""√Å"",""á""),""√ç"",""í""),""√Ç"",""Í""),""√Â"",""é""),""√≠"",""í""),""√º"",""ú""),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62" s="22" t="str">
        <f>IFERROR(__xludf.DUMMYFUNCTION("SPLIT(
  TRIM(
    SUBSTITUTE(
      SUBSTITUTE(
        SUBSTITUTE(
          SUBSTITUTE(
            C862,
            ""√©"", ""é""
          ),
          ""√±"", ""ñ""
        ),
        ""√°"", ""á""
      ),
      ""√≥"", ""ó""
    )
  ),
  ""-""
)
"),"Auriculares")</f>
        <v>Auriculares</v>
      </c>
      <c r="O862" s="22" t="str">
        <f>IFERROR(__xludf.DUMMYFUNCTION("""COMPUTED_VALUE"""),"Cancelación de ruido")</f>
        <v>Cancelación de ruido</v>
      </c>
      <c r="P862" s="22" t="str">
        <f>IFERROR(__xludf.DUMMYFUNCTION("""COMPUTED_VALUE"""),"32GB")</f>
        <v>32GB</v>
      </c>
      <c r="Q862" s="23">
        <f t="shared" si="1"/>
        <v>1485.74</v>
      </c>
      <c r="R862" s="22">
        <f t="shared" si="2"/>
        <v>3</v>
      </c>
      <c r="S862" s="23">
        <f t="shared" si="3"/>
        <v>4457.22</v>
      </c>
      <c r="T862" s="22" t="str">
        <f>IFERROR(__xludf.DUMMYFUNCTION("PROPER(TRIM(
  LET(
    texto1, REGEXREPLACE(G862,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"),"Benjamín Luisa Marrero Frías")</f>
        <v>Benjamín Luisa Marrero Frías</v>
      </c>
      <c r="U862" s="22" t="str">
        <f t="shared" si="4"/>
        <v>111af87c-5fa3-4502-94ae-5ee5b28a52c9</v>
      </c>
      <c r="V862" s="24" t="str">
        <f t="shared" si="5"/>
        <v>Auriculares Cancelación de ruido 32GB</v>
      </c>
    </row>
    <row r="863" ht="15.75" customHeight="1">
      <c r="A863" s="36">
        <v>45576.0</v>
      </c>
      <c r="B863" s="2" t="s">
        <v>101</v>
      </c>
      <c r="C863" s="2" t="s">
        <v>70</v>
      </c>
      <c r="D863" s="7">
        <v>1699.32</v>
      </c>
      <c r="E863" s="2">
        <v>4.0</v>
      </c>
      <c r="F863" s="7">
        <v>6797.28</v>
      </c>
      <c r="G863" s="2" t="s">
        <v>2893</v>
      </c>
      <c r="H863" s="2" t="s">
        <v>2894</v>
      </c>
      <c r="I863" s="2" t="s">
        <v>2895</v>
      </c>
      <c r="K863" s="25" t="str">
        <f>IFERROR(__xludf.DUMMYFUNCTION("IF(ISBLANK(A863),
  """",
  IF(ISNUMBER(A863),
    TEXT(A863,""dd/mm/yyyy""),
    IF(
      REGEXMATCH(TRIM(A863),""^\d{1,2}/\d{1,2}/\d{4}$""),
      TRIM(A863),
      IFERROR(
        TEXT(DATEVALUE(SUBSTITUTE(SUBSTITUTE(TRIM(A863),""-"",""/""),""."",""/"&amp;""")),""dd/mm/yyyy""),
        TRIM(A863)
      )
    )
  )
)
"),"11/10/2024")</f>
        <v>11/10/2024</v>
      </c>
      <c r="L863" s="26">
        <v>45576.0</v>
      </c>
      <c r="M863" s="27" t="str">
        <f>IFERROR(__xludf.DUMMYFUNCTION("PROPER(TRIM(
  REGEXREPLACE(
    REGEXREPLACE(
      SUBSTITUTE(SUBSTITUTE(SUBSTITUTE(SUBSTITUTE(SUBSTITUTE(SUBSTITUTE(SUBSTITUTE(SUBSTITUTE(SUBSTITUTE(SUBSTITUTE(SUBSTITUTE(
        B863,""√©"",""é""),""√°"",""á""),""√±"",""ñ""),""√≥"",""ó""),""√â"",""é"&amp;"""),""√Å"",""á""),""√ç"",""í""),""√Ç"",""Í""),""√Â"",""é""),""√≠"",""í""),""√º"",""ú""),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63" s="28" t="str">
        <f>IFERROR(__xludf.DUMMYFUNCTION("SPLIT(
  TRIM(
    SUBSTITUTE(
      SUBSTITUTE(
        SUBSTITUTE(
          SUBSTITUTE(
            C863,
            ""√©"", ""é""
          ),
          ""√±"", ""ñ""
        ),
        ""√°"", ""á""
      ),
      ""√≥"", ""ó""
    )
  ),
  ""-""
)
"),"Auriculares")</f>
        <v>Auriculares</v>
      </c>
      <c r="O863" s="28" t="str">
        <f>IFERROR(__xludf.DUMMYFUNCTION("""COMPUTED_VALUE"""),"Con cable")</f>
        <v>Con cable</v>
      </c>
      <c r="P863" s="28" t="str">
        <f>IFERROR(__xludf.DUMMYFUNCTION("""COMPUTED_VALUE"""),"16GB")</f>
        <v>16GB</v>
      </c>
      <c r="Q863" s="29">
        <f t="shared" si="1"/>
        <v>1699.32</v>
      </c>
      <c r="R863" s="28">
        <f t="shared" si="2"/>
        <v>4</v>
      </c>
      <c r="S863" s="29">
        <f t="shared" si="3"/>
        <v>6797.28</v>
      </c>
      <c r="T863" s="28" t="str">
        <f>IFERROR(__xludf.DUMMYFUNCTION("PROPER(TRIM(
  LET(
    texto1, REGEXREPLACE(G863,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"),"Daniela Uribe")</f>
        <v>Daniela Uribe</v>
      </c>
      <c r="U863" s="28" t="str">
        <f t="shared" si="4"/>
        <v>a1278508-c2d2-4e1a-9ab3-cd5dcc25c9cf</v>
      </c>
      <c r="V863" s="30" t="str">
        <f t="shared" si="5"/>
        <v>Auriculares Con cable 16GB</v>
      </c>
    </row>
    <row r="864" ht="15.75" customHeight="1">
      <c r="A864" s="36">
        <v>45546.0</v>
      </c>
      <c r="B864" s="2" t="s">
        <v>50</v>
      </c>
      <c r="C864" s="2" t="s">
        <v>206</v>
      </c>
      <c r="D864" s="7">
        <v>1780.69</v>
      </c>
      <c r="E864" s="2">
        <v>4.0</v>
      </c>
      <c r="F864" s="7">
        <v>7122.76</v>
      </c>
      <c r="G864" s="2" t="s">
        <v>2896</v>
      </c>
      <c r="H864" s="2" t="s">
        <v>2897</v>
      </c>
      <c r="I864" s="2" t="s">
        <v>2898</v>
      </c>
      <c r="K864" s="19" t="str">
        <f>IFERROR(__xludf.DUMMYFUNCTION("IF(ISBLANK(A864),
  """",
  IF(ISNUMBER(A864),
    TEXT(A864,""dd/mm/yyyy""),
    IF(
      REGEXMATCH(TRIM(A864),""^\d{1,2}/\d{1,2}/\d{4}$""),
      TRIM(A864),
      IFERROR(
        TEXT(DATEVALUE(SUBSTITUTE(SUBSTITUTE(TRIM(A864),""-"",""/""),""."",""/"&amp;""")),""dd/mm/yyyy""),
        TRIM(A864)
      )
    )
  )
)
"),"11/09/2024")</f>
        <v>11/09/2024</v>
      </c>
      <c r="L864" s="20">
        <v>45546.0</v>
      </c>
      <c r="M864" s="21" t="str">
        <f>IFERROR(__xludf.DUMMYFUNCTION("PROPER(TRIM(
  REGEXREPLACE(
    REGEXREPLACE(
      SUBSTITUTE(SUBSTITUTE(SUBSTITUTE(SUBSTITUTE(SUBSTITUTE(SUBSTITUTE(SUBSTITUTE(SUBSTITUTE(SUBSTITUTE(SUBSTITUTE(SUBSTITUTE(
        B864,""√©"",""é""),""√°"",""á""),""√±"",""ñ""),""√≥"",""ó""),""√â"",""é"&amp;"""),""√Å"",""á""),""√ç"",""í""),""√Ç"",""Í""),""√Â"",""é""),""√≠"",""í""),""√º"",""ú""),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64" s="22" t="str">
        <f>IFERROR(__xludf.DUMMYFUNCTION("SPLIT(
  TRIM(
    SUBSTITUTE(
      SUBSTITUTE(
        SUBSTITUTE(
          SUBSTITUTE(
            C864,
            ""√©"", ""é""
          ),
          ""√±"", ""ñ""
        ),
        ""√°"", ""á""
      ),
      ""√≥"", ""ó""
    )
  ),
  ""-""
)
"),"Auriculares")</f>
        <v>Auriculares</v>
      </c>
      <c r="O864" s="22" t="str">
        <f>IFERROR(__xludf.DUMMYFUNCTION("""COMPUTED_VALUE"""),"Bluetooth")</f>
        <v>Bluetooth</v>
      </c>
      <c r="P864" s="22" t="str">
        <f>IFERROR(__xludf.DUMMYFUNCTION("""COMPUTED_VALUE"""),"4GB")</f>
        <v>4GB</v>
      </c>
      <c r="Q864" s="23">
        <f t="shared" si="1"/>
        <v>1780.69</v>
      </c>
      <c r="R864" s="22">
        <f t="shared" si="2"/>
        <v>4</v>
      </c>
      <c r="S864" s="23">
        <f t="shared" si="3"/>
        <v>7122.76</v>
      </c>
      <c r="T864" s="22" t="str">
        <f>IFERROR(__xludf.DUMMYFUNCTION("PROPER(TRIM(
  LET(
    texto1, REGEXREPLACE(G864,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 Antonio Cornejo")</f>
        <v>Marco Antonio Cornejo</v>
      </c>
      <c r="U864" s="22" t="str">
        <f t="shared" si="4"/>
        <v>4c951415-a35b-4aaa-9767-bb49b70a1cd4</v>
      </c>
      <c r="V864" s="24" t="str">
        <f t="shared" si="5"/>
        <v>Auriculares Bluetooth 4GB</v>
      </c>
    </row>
    <row r="865" ht="15.75" customHeight="1">
      <c r="A865" s="36">
        <v>45423.0</v>
      </c>
      <c r="B865" s="2" t="s">
        <v>27</v>
      </c>
      <c r="C865" s="2" t="s">
        <v>235</v>
      </c>
      <c r="D865" s="7">
        <v>484.68</v>
      </c>
      <c r="E865" s="2">
        <v>5.0</v>
      </c>
      <c r="F865" s="7">
        <v>2423.4</v>
      </c>
      <c r="G865" s="2" t="s">
        <v>2899</v>
      </c>
      <c r="H865" s="2" t="s">
        <v>2900</v>
      </c>
      <c r="I865" s="2" t="s">
        <v>2901</v>
      </c>
      <c r="K865" s="25" t="str">
        <f>IFERROR(__xludf.DUMMYFUNCTION("IF(ISBLANK(A865),
  """",
  IF(ISNUMBER(A865),
    TEXT(A865,""dd/mm/yyyy""),
    IF(
      REGEXMATCH(TRIM(A865),""^\d{1,2}/\d{1,2}/\d{4}$""),
      TRIM(A865),
      IFERROR(
        TEXT(DATEVALUE(SUBSTITUTE(SUBSTITUTE(TRIM(A865),""-"",""/""),""."",""/"&amp;""")),""dd/mm/yyyy""),
        TRIM(A865)
      )
    )
  )
)
"),"11/05/2024")</f>
        <v>11/05/2024</v>
      </c>
      <c r="L865" s="26">
        <v>45423.0</v>
      </c>
      <c r="M865" s="27" t="str">
        <f>IFERROR(__xludf.DUMMYFUNCTION("PROPER(TRIM(
  REGEXREPLACE(
    REGEXREPLACE(
      SUBSTITUTE(SUBSTITUTE(SUBSTITUTE(SUBSTITUTE(SUBSTITUTE(SUBSTITUTE(SUBSTITUTE(SUBSTITUTE(SUBSTITUTE(SUBSTITUTE(SUBSTITUTE(
        B865,""√©"",""é""),""√°"",""á""),""√±"",""ñ""),""√≥"",""ó""),""√â"",""é"&amp;"""),""√Å"",""á""),""√ç"",""í""),""√Ç"",""Í""),""√Â"",""é""),""√≠"",""í""),""√º"",""ú""),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65" s="28" t="str">
        <f>IFERROR(__xludf.DUMMYFUNCTION("SPLIT(
  TRIM(
    SUBSTITUTE(
      SUBSTITUTE(
        SUBSTITUTE(
          SUBSTITUTE(
            C865,
            ""√©"", ""é""
          ),
          ""√±"", ""ñ""
        ),
        ""√°"", ""á""
      ),
      ""√≥"", ""ó""
    )
  ),
  ""-""
)
"),"Tablet")</f>
        <v>Tablet</v>
      </c>
      <c r="O865" s="28" t="str">
        <f>IFERROR(__xludf.DUMMYFUNCTION("""COMPUTED_VALUE"""),"Estándar")</f>
        <v>Estándar</v>
      </c>
      <c r="P865" s="28" t="str">
        <f>IFERROR(__xludf.DUMMYFUNCTION("""COMPUTED_VALUE"""),"4GB")</f>
        <v>4GB</v>
      </c>
      <c r="Q865" s="29">
        <f t="shared" si="1"/>
        <v>484.68</v>
      </c>
      <c r="R865" s="28">
        <f t="shared" si="2"/>
        <v>5</v>
      </c>
      <c r="S865" s="29">
        <f t="shared" si="3"/>
        <v>2423.4</v>
      </c>
      <c r="T865" s="28" t="str">
        <f>IFERROR(__xludf.DUMMYFUNCTION("PROPER(TRIM(
  LET(
    texto1, REGEXREPLACE(G865,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"),"Wilfrido Arenas")</f>
        <v>Wilfrido Arenas</v>
      </c>
      <c r="U865" s="28" t="str">
        <f t="shared" si="4"/>
        <v>d00a9636-3e8a-4e5a-be93-4b7605de2c32</v>
      </c>
      <c r="V865" s="30" t="str">
        <f t="shared" si="5"/>
        <v>Tablet Estándar 4GB</v>
      </c>
    </row>
    <row r="866" ht="15.75" customHeight="1">
      <c r="A866" s="36">
        <v>45361.0</v>
      </c>
      <c r="B866" s="2" t="s">
        <v>16</v>
      </c>
      <c r="C866" s="2" t="s">
        <v>206</v>
      </c>
      <c r="D866" s="7">
        <v>583.8</v>
      </c>
      <c r="E866" s="2">
        <v>5.0</v>
      </c>
      <c r="F866" s="7">
        <v>2919.0</v>
      </c>
      <c r="G866" s="2" t="s">
        <v>2902</v>
      </c>
      <c r="H866" s="2" t="s">
        <v>2903</v>
      </c>
      <c r="I866" s="2" t="s">
        <v>2904</v>
      </c>
      <c r="K866" s="19" t="str">
        <f>IFERROR(__xludf.DUMMYFUNCTION("IF(ISBLANK(A866),
  """",
  IF(ISNUMBER(A866),
    TEXT(A866,""dd/mm/yyyy""),
    IF(
      REGEXMATCH(TRIM(A866),""^\d{1,2}/\d{1,2}/\d{4}$""),
      TRIM(A866),
      IFERROR(
        TEXT(DATEVALUE(SUBSTITUTE(SUBSTITUTE(TRIM(A866),""-"",""/""),""."",""/"&amp;""")),""dd/mm/yyyy""),
        TRIM(A866)
      )
    )
  )
)
"),"10/03/2024")</f>
        <v>10/03/2024</v>
      </c>
      <c r="L866" s="20">
        <v>45361.0</v>
      </c>
      <c r="M866" s="21" t="str">
        <f>IFERROR(__xludf.DUMMYFUNCTION("PROPER(TRIM(
  REGEXREPLACE(
    REGEXREPLACE(
      SUBSTITUTE(SUBSTITUTE(SUBSTITUTE(SUBSTITUTE(SUBSTITUTE(SUBSTITUTE(SUBSTITUTE(SUBSTITUTE(SUBSTITUTE(SUBSTITUTE(SUBSTITUTE(
        B866,""√©"",""é""),""√°"",""á""),""√±"",""ñ""),""√≥"",""ó""),""√â"",""é"&amp;"""),""√Å"",""á""),""√ç"",""í""),""√Ç"",""Í""),""√Â"",""é""),""√≠"",""í""),""√º"",""ú""),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66" s="22" t="str">
        <f>IFERROR(__xludf.DUMMYFUNCTION("SPLIT(
  TRIM(
    SUBSTITUTE(
      SUBSTITUTE(
        SUBSTITUTE(
          SUBSTITUTE(
            C866,
            ""√©"", ""é""
          ),
          ""√±"", ""ñ""
        ),
        ""√°"", ""á""
      ),
      ""√≥"", ""ó""
    )
  ),
  ""-""
)
"),"Auriculares")</f>
        <v>Auriculares</v>
      </c>
      <c r="O866" s="22" t="str">
        <f>IFERROR(__xludf.DUMMYFUNCTION("""COMPUTED_VALUE"""),"Bluetooth")</f>
        <v>Bluetooth</v>
      </c>
      <c r="P866" s="22" t="str">
        <f>IFERROR(__xludf.DUMMYFUNCTION("""COMPUTED_VALUE"""),"4GB")</f>
        <v>4GB</v>
      </c>
      <c r="Q866" s="23">
        <f t="shared" si="1"/>
        <v>583.8</v>
      </c>
      <c r="R866" s="22">
        <f t="shared" si="2"/>
        <v>5</v>
      </c>
      <c r="S866" s="23">
        <f t="shared" si="3"/>
        <v>2919</v>
      </c>
      <c r="T866" s="22" t="str">
        <f>IFERROR(__xludf.DUMMYFUNCTION("PROPER(TRIM(
  LET(
    texto1, REGEXREPLACE(G866,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"),"Elias José Eduardo Marín Palomino")</f>
        <v>Elias José Eduardo Marín Palomino</v>
      </c>
      <c r="U866" s="22" t="str">
        <f t="shared" si="4"/>
        <v>74e8a449-803e-4d73-82f1-7db487e8dff0</v>
      </c>
      <c r="V866" s="24" t="str">
        <f t="shared" si="5"/>
        <v>Auriculares Bluetooth 4GB</v>
      </c>
    </row>
    <row r="867" ht="15.75" customHeight="1">
      <c r="A867" s="6">
        <v>45579.0</v>
      </c>
      <c r="B867" s="2" t="s">
        <v>101</v>
      </c>
      <c r="C867" s="2" t="s">
        <v>70</v>
      </c>
      <c r="D867" s="7">
        <v>579.54</v>
      </c>
      <c r="E867" s="2">
        <v>3.0</v>
      </c>
      <c r="F867" s="7">
        <v>1738.62</v>
      </c>
      <c r="G867" s="2" t="s">
        <v>2905</v>
      </c>
      <c r="H867" s="2" t="s">
        <v>2906</v>
      </c>
      <c r="I867" s="2" t="s">
        <v>2907</v>
      </c>
      <c r="K867" s="25" t="str">
        <f>IFERROR(__xludf.DUMMYFUNCTION("IF(ISBLANK(A867),
  """",
  IF(ISNUMBER(A867),
    TEXT(A867,""dd/mm/yyyy""),
    IF(
      REGEXMATCH(TRIM(A867),""^\d{1,2}/\d{1,2}/\d{4}$""),
      TRIM(A867),
      IFERROR(
        TEXT(DATEVALUE(SUBSTITUTE(SUBSTITUTE(TRIM(A867),""-"",""/""),""."",""/"&amp;""")),""dd/mm/yyyy""),
        TRIM(A867)
      )
    )
  )
)
"),"14/10/2024")</f>
        <v>14/10/2024</v>
      </c>
      <c r="L867" s="26">
        <v>45579.0</v>
      </c>
      <c r="M867" s="27" t="str">
        <f>IFERROR(__xludf.DUMMYFUNCTION("PROPER(TRIM(
  REGEXREPLACE(
    REGEXREPLACE(
      SUBSTITUTE(SUBSTITUTE(SUBSTITUTE(SUBSTITUTE(SUBSTITUTE(SUBSTITUTE(SUBSTITUTE(SUBSTITUTE(SUBSTITUTE(SUBSTITUTE(SUBSTITUTE(
        B867,""√©"",""é""),""√°"",""á""),""√±"",""ñ""),""√≥"",""ó""),""√â"",""é"&amp;"""),""√Å"",""á""),""√ç"",""í""),""√Ç"",""Í""),""√Â"",""é""),""√≠"",""í""),""√º"",""ú""),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67" s="28" t="str">
        <f>IFERROR(__xludf.DUMMYFUNCTION("SPLIT(
  TRIM(
    SUBSTITUTE(
      SUBSTITUTE(
        SUBSTITUTE(
          SUBSTITUTE(
            C867,
            ""√©"", ""é""
          ),
          ""√±"", ""ñ""
        ),
        ""√°"", ""á""
      ),
      ""√≥"", ""ó""
    )
  ),
  ""-""
)
"),"Auriculares")</f>
        <v>Auriculares</v>
      </c>
      <c r="O867" s="28" t="str">
        <f>IFERROR(__xludf.DUMMYFUNCTION("""COMPUTED_VALUE"""),"Con cable")</f>
        <v>Con cable</v>
      </c>
      <c r="P867" s="28" t="str">
        <f>IFERROR(__xludf.DUMMYFUNCTION("""COMPUTED_VALUE"""),"16GB")</f>
        <v>16GB</v>
      </c>
      <c r="Q867" s="29">
        <f t="shared" si="1"/>
        <v>579.54</v>
      </c>
      <c r="R867" s="28">
        <f t="shared" si="2"/>
        <v>3</v>
      </c>
      <c r="S867" s="29">
        <f t="shared" si="3"/>
        <v>1738.62</v>
      </c>
      <c r="T867" s="28" t="str">
        <f>IFERROR(__xludf.DUMMYFUNCTION("PROPER(TRIM(
  LET(
    texto1, REGEXREPLACE(G867,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"),"Judith Ayala")</f>
        <v>Judith Ayala</v>
      </c>
      <c r="U867" s="28" t="str">
        <f t="shared" si="4"/>
        <v>64e8cb7b-f59e-470c-b704-3f79a8f2cc9e</v>
      </c>
      <c r="V867" s="30" t="str">
        <f t="shared" si="5"/>
        <v>Auriculares Con cable 16GB</v>
      </c>
    </row>
    <row r="868" ht="15.75" customHeight="1">
      <c r="A868" s="6">
        <v>45625.0</v>
      </c>
      <c r="B868" s="2" t="s">
        <v>50</v>
      </c>
      <c r="C868" s="2" t="s">
        <v>250</v>
      </c>
      <c r="D868" s="7">
        <v>1615.43</v>
      </c>
      <c r="E868" s="2">
        <v>5.0</v>
      </c>
      <c r="F868" s="7">
        <v>8077.15</v>
      </c>
      <c r="G868" s="2" t="s">
        <v>2908</v>
      </c>
      <c r="H868" s="2" t="s">
        <v>2909</v>
      </c>
      <c r="I868" s="2" t="s">
        <v>2910</v>
      </c>
      <c r="K868" s="19" t="str">
        <f>IFERROR(__xludf.DUMMYFUNCTION("IF(ISBLANK(A868),
  """",
  IF(ISNUMBER(A868),
    TEXT(A868,""dd/mm/yyyy""),
    IF(
      REGEXMATCH(TRIM(A868),""^\d{1,2}/\d{1,2}/\d{4}$""),
      TRIM(A868),
      IFERROR(
        TEXT(DATEVALUE(SUBSTITUTE(SUBSTITUTE(TRIM(A868),""-"",""/""),""."",""/"&amp;""")),""dd/mm/yyyy""),
        TRIM(A868)
      )
    )
  )
)
"),"29/11/2024")</f>
        <v>29/11/2024</v>
      </c>
      <c r="L868" s="20">
        <v>45625.0</v>
      </c>
      <c r="M868" s="21" t="str">
        <f>IFERROR(__xludf.DUMMYFUNCTION("PROPER(TRIM(
  REGEXREPLACE(
    REGEXREPLACE(
      SUBSTITUTE(SUBSTITUTE(SUBSTITUTE(SUBSTITUTE(SUBSTITUTE(SUBSTITUTE(SUBSTITUTE(SUBSTITUTE(SUBSTITUTE(SUBSTITUTE(SUBSTITUTE(
        B868,""√©"",""é""),""√°"",""á""),""√±"",""ñ""),""√≥"",""ó""),""√â"",""é"&amp;"""),""√Å"",""á""),""√ç"",""í""),""√Ç"",""Í""),""√Â"",""é""),""√≠"",""í""),""√º"",""ú""),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68" s="22" t="str">
        <f>IFERROR(__xludf.DUMMYFUNCTION("SPLIT(
  TRIM(
    SUBSTITUTE(
      SUBSTITUTE(
        SUBSTITUTE(
          SUBSTITUTE(
            C868,
            ""√©"", ""é""
          ),
          ""√±"", ""ñ""
        ),
        ""√°"", ""á""
      ),
      ""√≥"", ""ó""
    )
  ),
  ""-""
)
"),"Laptop")</f>
        <v>Laptop</v>
      </c>
      <c r="O868" s="22" t="str">
        <f>IFERROR(__xludf.DUMMYFUNCTION("""COMPUTED_VALUE"""),"Oficina")</f>
        <v>Oficina</v>
      </c>
      <c r="P868" s="22" t="str">
        <f>IFERROR(__xludf.DUMMYFUNCTION("""COMPUTED_VALUE"""),"32GB")</f>
        <v>32GB</v>
      </c>
      <c r="Q868" s="23">
        <f t="shared" si="1"/>
        <v>1615.43</v>
      </c>
      <c r="R868" s="22">
        <f t="shared" si="2"/>
        <v>5</v>
      </c>
      <c r="S868" s="23">
        <f t="shared" si="3"/>
        <v>8077.15</v>
      </c>
      <c r="T868" s="22" t="str">
        <f>IFERROR(__xludf.DUMMYFUNCTION("PROPER(TRIM(
  LET(
    texto1, REGEXREPLACE(G868,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"),"Cristobal Ortega")</f>
        <v>Cristobal Ortega</v>
      </c>
      <c r="U868" s="22" t="str">
        <f t="shared" si="4"/>
        <v>b73ffa14-dae4-45da-b61f-6c3f7f80a89e</v>
      </c>
      <c r="V868" s="24" t="str">
        <f t="shared" si="5"/>
        <v>Laptop Oficina 32GB</v>
      </c>
    </row>
    <row r="869" ht="15.75" customHeight="1">
      <c r="A869" s="6">
        <v>45648.0</v>
      </c>
      <c r="B869" s="2" t="s">
        <v>101</v>
      </c>
      <c r="C869" s="2" t="s">
        <v>65</v>
      </c>
      <c r="D869" s="7">
        <v>489.63</v>
      </c>
      <c r="E869" s="2">
        <v>1.0</v>
      </c>
      <c r="F869" s="7">
        <v>489.63</v>
      </c>
      <c r="G869" s="2" t="s">
        <v>2911</v>
      </c>
      <c r="H869" s="2" t="s">
        <v>2912</v>
      </c>
      <c r="I869" s="2" t="s">
        <v>2913</v>
      </c>
      <c r="K869" s="25" t="str">
        <f>IFERROR(__xludf.DUMMYFUNCTION("IF(ISBLANK(A869),
  """",
  IF(ISNUMBER(A869),
    TEXT(A869,""dd/mm/yyyy""),
    IF(
      REGEXMATCH(TRIM(A869),""^\d{1,2}/\d{1,2}/\d{4}$""),
      TRIM(A869),
      IFERROR(
        TEXT(DATEVALUE(SUBSTITUTE(SUBSTITUTE(TRIM(A869),""-"",""/""),""."",""/"&amp;""")),""dd/mm/yyyy""),
        TRIM(A869)
      )
    )
  )
)
"),"22/12/2024")</f>
        <v>22/12/2024</v>
      </c>
      <c r="L869" s="26">
        <v>45648.0</v>
      </c>
      <c r="M869" s="27" t="str">
        <f>IFERROR(__xludf.DUMMYFUNCTION("PROPER(TRIM(
  REGEXREPLACE(
    REGEXREPLACE(
      SUBSTITUTE(SUBSTITUTE(SUBSTITUTE(SUBSTITUTE(SUBSTITUTE(SUBSTITUTE(SUBSTITUTE(SUBSTITUTE(SUBSTITUTE(SUBSTITUTE(SUBSTITUTE(
        B869,""√©"",""é""),""√°"",""á""),""√±"",""ñ""),""√≥"",""ó""),""√â"",""é"&amp;"""),""√Å"",""á""),""√ç"",""í""),""√Ç"",""Í""),""√Â"",""é""),""√≠"",""í""),""√º"",""ú""),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69" s="28" t="str">
        <f>IFERROR(__xludf.DUMMYFUNCTION("SPLIT(
  TRIM(
    SUBSTITUTE(
      SUBSTITUTE(
        SUBSTITUTE(
          SUBSTITUTE(
            C869,
            ""√©"", ""é""
          ),
          ""√±"", ""ñ""
        ),
        ""√°"", ""á""
      ),
      ""√≥"", ""ó""
    )
  ),
  ""-""
)
"),"Auriculares")</f>
        <v>Auriculares</v>
      </c>
      <c r="O869" s="28" t="str">
        <f>IFERROR(__xludf.DUMMYFUNCTION("""COMPUTED_VALUE"""),"Bluetooth")</f>
        <v>Bluetooth</v>
      </c>
      <c r="P869" s="28" t="str">
        <f>IFERROR(__xludf.DUMMYFUNCTION("""COMPUTED_VALUE"""),"16GB")</f>
        <v>16GB</v>
      </c>
      <c r="Q869" s="29">
        <f t="shared" si="1"/>
        <v>489.63</v>
      </c>
      <c r="R869" s="28">
        <f t="shared" si="2"/>
        <v>1</v>
      </c>
      <c r="S869" s="29">
        <f t="shared" si="3"/>
        <v>489.63</v>
      </c>
      <c r="T869" s="28" t="str">
        <f>IFERROR(__xludf.DUMMYFUNCTION("PROPER(TRIM(
  LET(
    texto1, REGEXREPLACE(G869,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"),"Leonel Cruz Enríquez")</f>
        <v>Leonel Cruz Enríquez</v>
      </c>
      <c r="U869" s="28" t="str">
        <f t="shared" si="4"/>
        <v>a49f90f7-8839-4571-8758-445882bf113d</v>
      </c>
      <c r="V869" s="30" t="str">
        <f t="shared" si="5"/>
        <v>Auriculares Bluetooth 16GB</v>
      </c>
    </row>
    <row r="870" ht="15.75" customHeight="1">
      <c r="A870" s="36">
        <v>45606.0</v>
      </c>
      <c r="B870" s="2" t="s">
        <v>27</v>
      </c>
      <c r="C870" s="2" t="s">
        <v>116</v>
      </c>
      <c r="D870" s="7">
        <v>1415.48</v>
      </c>
      <c r="E870" s="2">
        <v>1.0</v>
      </c>
      <c r="F870" s="7">
        <v>1415.48</v>
      </c>
      <c r="G870" s="2" t="s">
        <v>2914</v>
      </c>
      <c r="H870" s="2" t="s">
        <v>2915</v>
      </c>
      <c r="I870" s="2" t="s">
        <v>2916</v>
      </c>
      <c r="K870" s="19" t="str">
        <f>IFERROR(__xludf.DUMMYFUNCTION("IF(ISBLANK(A870),
  """",
  IF(ISNUMBER(A870),
    TEXT(A870,""dd/mm/yyyy""),
    IF(
      REGEXMATCH(TRIM(A870),""^\d{1,2}/\d{1,2}/\d{4}$""),
      TRIM(A870),
      IFERROR(
        TEXT(DATEVALUE(SUBSTITUTE(SUBSTITUTE(TRIM(A870),""-"",""/""),""."",""/"&amp;""")),""dd/mm/yyyy""),
        TRIM(A870)
      )
    )
  )
)
"),"10/11/2024")</f>
        <v>10/11/2024</v>
      </c>
      <c r="L870" s="20">
        <v>45606.0</v>
      </c>
      <c r="M870" s="21" t="str">
        <f>IFERROR(__xludf.DUMMYFUNCTION("PROPER(TRIM(
  REGEXREPLACE(
    REGEXREPLACE(
      SUBSTITUTE(SUBSTITUTE(SUBSTITUTE(SUBSTITUTE(SUBSTITUTE(SUBSTITUTE(SUBSTITUTE(SUBSTITUTE(SUBSTITUTE(SUBSTITUTE(SUBSTITUTE(
        B870,""√©"",""é""),""√°"",""á""),""√±"",""ñ""),""√≥"",""ó""),""√â"",""é"&amp;"""),""√Å"",""á""),""√ç"",""í""),""√Ç"",""Í""),""√Â"",""é""),""√≠"",""í""),""√º"",""ú""),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70" s="22" t="str">
        <f>IFERROR(__xludf.DUMMYFUNCTION("SPLIT(
  TRIM(
    SUBSTITUTE(
      SUBSTITUTE(
        SUBSTITUTE(
          SUBSTITUTE(
            C870,
            ""√©"", ""é""
          ),
          ""√±"", ""ñ""
        ),
        ""√°"", ""á""
      ),
      ""√≥"", ""ó""
    )
  ),
  ""-""
)
"),"Teléfono")</f>
        <v>Teléfono</v>
      </c>
      <c r="O870" s="22" t="str">
        <f>IFERROR(__xludf.DUMMYFUNCTION("""COMPUTED_VALUE"""),"Gama media")</f>
        <v>Gama media</v>
      </c>
      <c r="P870" s="22" t="str">
        <f>IFERROR(__xludf.DUMMYFUNCTION("""COMPUTED_VALUE"""),"4GB")</f>
        <v>4GB</v>
      </c>
      <c r="Q870" s="23">
        <f t="shared" si="1"/>
        <v>1415.48</v>
      </c>
      <c r="R870" s="22">
        <f t="shared" si="2"/>
        <v>1</v>
      </c>
      <c r="S870" s="23">
        <f t="shared" si="3"/>
        <v>1415.48</v>
      </c>
      <c r="T870" s="22" t="str">
        <f>IFERROR(__xludf.DUMMYFUNCTION("PROPER(TRIM(
  LET(
    texto1, REGEXREPLACE(G870,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"),"Jerónimo José Manuél Magaña")</f>
        <v>Jerónimo José Manuél Magaña</v>
      </c>
      <c r="U870" s="22" t="str">
        <f t="shared" si="4"/>
        <v>63646080-8a8e-4da1-9008-d9bbefce4fdd</v>
      </c>
      <c r="V870" s="24" t="str">
        <f t="shared" si="5"/>
        <v>Teléfono Gama media 4GB</v>
      </c>
    </row>
    <row r="871" ht="15.75" customHeight="1">
      <c r="A871" s="36">
        <v>45422.0</v>
      </c>
      <c r="B871" s="2" t="s">
        <v>50</v>
      </c>
      <c r="C871" s="2" t="s">
        <v>33</v>
      </c>
      <c r="D871" s="7">
        <v>613.16</v>
      </c>
      <c r="E871" s="2">
        <v>1.0</v>
      </c>
      <c r="F871" s="7">
        <v>613.16</v>
      </c>
      <c r="G871" s="2" t="s">
        <v>2917</v>
      </c>
      <c r="H871" s="2" t="s">
        <v>2918</v>
      </c>
      <c r="I871" s="2" t="s">
        <v>2919</v>
      </c>
      <c r="K871" s="25" t="str">
        <f>IFERROR(__xludf.DUMMYFUNCTION("IF(ISBLANK(A871),
  """",
  IF(ISNUMBER(A871),
    TEXT(A871,""dd/mm/yyyy""),
    IF(
      REGEXMATCH(TRIM(A871),""^\d{1,2}/\d{1,2}/\d{4}$""),
      TRIM(A871),
      IFERROR(
        TEXT(DATEVALUE(SUBSTITUTE(SUBSTITUTE(TRIM(A871),""-"",""/""),""."",""/"&amp;""")),""dd/mm/yyyy""),
        TRIM(A871)
      )
    )
  )
)
"),"10/05/2024")</f>
        <v>10/05/2024</v>
      </c>
      <c r="L871" s="26">
        <v>45422.0</v>
      </c>
      <c r="M871" s="27" t="str">
        <f>IFERROR(__xludf.DUMMYFUNCTION("PROPER(TRIM(
  REGEXREPLACE(
    REGEXREPLACE(
      SUBSTITUTE(SUBSTITUTE(SUBSTITUTE(SUBSTITUTE(SUBSTITUTE(SUBSTITUTE(SUBSTITUTE(SUBSTITUTE(SUBSTITUTE(SUBSTITUTE(SUBSTITUTE(
        B871,""√©"",""é""),""√°"",""á""),""√±"",""ñ""),""√≥"",""ó""),""√â"",""é"&amp;"""),""√Å"",""á""),""√ç"",""í""),""√Ç"",""Í""),""√Â"",""é""),""√≠"",""í""),""√º"",""ú""),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71" s="28" t="str">
        <f>IFERROR(__xludf.DUMMYFUNCTION("SPLIT(
  TRIM(
    SUBSTITUTE(
      SUBSTITUTE(
        SUBSTITUTE(
          SUBSTITUTE(
            C871,
            ""√©"", ""é""
          ),
          ""√±"", ""ñ""
        ),
        ""√°"", ""á""
      ),
      ""√≥"", ""ó""
    )
  ),
  ""-""
)
"),"Teléfono")</f>
        <v>Teléfono</v>
      </c>
      <c r="O871" s="28" t="str">
        <f>IFERROR(__xludf.DUMMYFUNCTION("""COMPUTED_VALUE"""),"Gama alta")</f>
        <v>Gama alta</v>
      </c>
      <c r="P871" s="28" t="str">
        <f>IFERROR(__xludf.DUMMYFUNCTION("""COMPUTED_VALUE"""),"4GB")</f>
        <v>4GB</v>
      </c>
      <c r="Q871" s="29">
        <f t="shared" si="1"/>
        <v>613.16</v>
      </c>
      <c r="R871" s="28">
        <f t="shared" si="2"/>
        <v>1</v>
      </c>
      <c r="S871" s="29">
        <f t="shared" si="3"/>
        <v>613.16</v>
      </c>
      <c r="T871" s="28" t="str">
        <f>IFERROR(__xludf.DUMMYFUNCTION("PROPER(TRIM(
  LET(
    texto1, REGEXREPLACE(G871,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"),"Abelardo Melgar")</f>
        <v>Abelardo Melgar</v>
      </c>
      <c r="U871" s="28" t="str">
        <f t="shared" si="4"/>
        <v>f3721b83-8d8d-4d6f-8765-534b41a15805</v>
      </c>
      <c r="V871" s="30" t="str">
        <f t="shared" si="5"/>
        <v>Teléfono Gama alta 4GB</v>
      </c>
    </row>
    <row r="872" ht="15.75" customHeight="1">
      <c r="A872" s="36">
        <v>45302.0</v>
      </c>
      <c r="B872" s="2" t="s">
        <v>38</v>
      </c>
      <c r="C872" s="2" t="s">
        <v>135</v>
      </c>
      <c r="D872" s="7">
        <v>1295.8</v>
      </c>
      <c r="E872" s="2">
        <v>1.0</v>
      </c>
      <c r="F872" s="7">
        <v>1295.8</v>
      </c>
      <c r="G872" s="2" t="s">
        <v>2920</v>
      </c>
      <c r="H872" s="2" t="s">
        <v>2921</v>
      </c>
      <c r="I872" s="2" t="s">
        <v>2922</v>
      </c>
      <c r="K872" s="19" t="str">
        <f>IFERROR(__xludf.DUMMYFUNCTION("IF(ISBLANK(A872),
  """",
  IF(ISNUMBER(A872),
    TEXT(A872,""dd/mm/yyyy""),
    IF(
      REGEXMATCH(TRIM(A872),""^\d{1,2}/\d{1,2}/\d{4}$""),
      TRIM(A872),
      IFERROR(
        TEXT(DATEVALUE(SUBSTITUTE(SUBSTITUTE(TRIM(A872),""-"",""/""),""."",""/"&amp;""")),""dd/mm/yyyy""),
        TRIM(A872)
      )
    )
  )
)
"),"11/01/2024")</f>
        <v>11/01/2024</v>
      </c>
      <c r="L872" s="20">
        <v>45302.0</v>
      </c>
      <c r="M872" s="21" t="str">
        <f>IFERROR(__xludf.DUMMYFUNCTION("PROPER(TRIM(
  REGEXREPLACE(
    REGEXREPLACE(
      SUBSTITUTE(SUBSTITUTE(SUBSTITUTE(SUBSTITUTE(SUBSTITUTE(SUBSTITUTE(SUBSTITUTE(SUBSTITUTE(SUBSTITUTE(SUBSTITUTE(SUBSTITUTE(
        B872,""√©"",""é""),""√°"",""á""),""√±"",""ñ""),""√≥"",""ó""),""√â"",""é"&amp;"""),""√Å"",""á""),""√ç"",""í""),""√Ç"",""Í""),""√Â"",""é""),""√≠"",""í""),""√º"",""ú""),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72" s="22" t="str">
        <f>IFERROR(__xludf.DUMMYFUNCTION("SPLIT(
  TRIM(
    SUBSTITUTE(
      SUBSTITUTE(
        SUBSTITUTE(
          SUBSTITUTE(
            C872,
            ""√©"", ""é""
          ),
          ""√±"", ""ñ""
        ),
        ""√°"", ""á""
      ),
      ""√≥"", ""ó""
    )
  ),
  ""-""
)
"),"Laptop")</f>
        <v>Laptop</v>
      </c>
      <c r="O872" s="22" t="str">
        <f>IFERROR(__xludf.DUMMYFUNCTION("""COMPUTED_VALUE"""),"Ultraliviana")</f>
        <v>Ultraliviana</v>
      </c>
      <c r="P872" s="22" t="str">
        <f>IFERROR(__xludf.DUMMYFUNCTION("""COMPUTED_VALUE"""),"32GB")</f>
        <v>32GB</v>
      </c>
      <c r="Q872" s="23">
        <f t="shared" si="1"/>
        <v>1295.8</v>
      </c>
      <c r="R872" s="22">
        <f t="shared" si="2"/>
        <v>1</v>
      </c>
      <c r="S872" s="23">
        <f t="shared" si="3"/>
        <v>1295.8</v>
      </c>
      <c r="T872" s="22" t="str">
        <f>IFERROR(__xludf.DUMMYFUNCTION("PROPER(TRIM(
  LET(
    texto1, REGEXREPLACE(G872,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"),"Jaqueline Sessa Gutiérrez")</f>
        <v>Jaqueline Sessa Gutiérrez</v>
      </c>
      <c r="U872" s="22" t="str">
        <f t="shared" si="4"/>
        <v>b4ec93f1-1142-488b-8b2b-61eeafdd8adf</v>
      </c>
      <c r="V872" s="24" t="str">
        <f t="shared" si="5"/>
        <v>Laptop Ultraliviana 32GB</v>
      </c>
    </row>
    <row r="873" ht="15.75" customHeight="1">
      <c r="A873" s="6">
        <v>45611.0</v>
      </c>
      <c r="B873" s="2" t="s">
        <v>27</v>
      </c>
      <c r="C873" s="2" t="s">
        <v>172</v>
      </c>
      <c r="D873" s="7">
        <v>2040.92</v>
      </c>
      <c r="E873" s="2">
        <v>1.0</v>
      </c>
      <c r="F873" s="7">
        <v>2040.92</v>
      </c>
      <c r="G873" s="2" t="s">
        <v>2923</v>
      </c>
      <c r="H873" s="2" t="s">
        <v>2924</v>
      </c>
      <c r="I873" s="2" t="s">
        <v>2925</v>
      </c>
      <c r="K873" s="25" t="str">
        <f>IFERROR(__xludf.DUMMYFUNCTION("IF(ISBLANK(A873),
  """",
  IF(ISNUMBER(A873),
    TEXT(A873,""dd/mm/yyyy""),
    IF(
      REGEXMATCH(TRIM(A873),""^\d{1,2}/\d{1,2}/\d{4}$""),
      TRIM(A873),
      IFERROR(
        TEXT(DATEVALUE(SUBSTITUTE(SUBSTITUTE(TRIM(A873),""-"",""/""),""."",""/"&amp;""")),""dd/mm/yyyy""),
        TRIM(A873)
      )
    )
  )
)
"),"15/11/2024")</f>
        <v>15/11/2024</v>
      </c>
      <c r="L873" s="26">
        <v>45611.0</v>
      </c>
      <c r="M873" s="27" t="str">
        <f>IFERROR(__xludf.DUMMYFUNCTION("PROPER(TRIM(
  REGEXREPLACE(
    REGEXREPLACE(
      SUBSTITUTE(SUBSTITUTE(SUBSTITUTE(SUBSTITUTE(SUBSTITUTE(SUBSTITUTE(SUBSTITUTE(SUBSTITUTE(SUBSTITUTE(SUBSTITUTE(SUBSTITUTE(
        B873,""√©"",""é""),""√°"",""á""),""√±"",""ñ""),""√≥"",""ó""),""√â"",""é"&amp;"""),""√Å"",""á""),""√ç"",""í""),""√Ç"",""Í""),""√Â"",""é""),""√≠"",""í""),""√º"",""ú""),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73" s="28" t="str">
        <f>IFERROR(__xludf.DUMMYFUNCTION("SPLIT(
  TRIM(
    SUBSTITUTE(
      SUBSTITUTE(
        SUBSTITUTE(
          SUBSTITUTE(
            C873,
            ""√©"", ""é""
          ),
          ""√±"", ""ñ""
        ),
        ""√°"", ""á""
      ),
      ""√≥"", ""ó""
    )
  ),
  ""-""
)
"),"Laptop")</f>
        <v>Laptop</v>
      </c>
      <c r="O873" s="28" t="str">
        <f>IFERROR(__xludf.DUMMYFUNCTION("""COMPUTED_VALUE"""),"Oficina")</f>
        <v>Oficina</v>
      </c>
      <c r="P873" s="28" t="str">
        <f>IFERROR(__xludf.DUMMYFUNCTION("""COMPUTED_VALUE"""),"8GB")</f>
        <v>8GB</v>
      </c>
      <c r="Q873" s="29">
        <f t="shared" si="1"/>
        <v>2040.92</v>
      </c>
      <c r="R873" s="28">
        <f t="shared" si="2"/>
        <v>1</v>
      </c>
      <c r="S873" s="29">
        <f t="shared" si="3"/>
        <v>2040.92</v>
      </c>
      <c r="T873" s="28" t="str">
        <f>IFERROR(__xludf.DUMMYFUNCTION("PROPER(TRIM(
  LET(
    texto1, REGEXREPLACE(G873,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"),"Indira Eugenia Fuentes")</f>
        <v>Indira Eugenia Fuentes</v>
      </c>
      <c r="U873" s="28" t="str">
        <f t="shared" si="4"/>
        <v>3cef5bc2-1b15-4ce6-a4a3-3a3e5951e220</v>
      </c>
      <c r="V873" s="30" t="str">
        <f t="shared" si="5"/>
        <v>Laptop Oficina 8GB</v>
      </c>
    </row>
    <row r="874" ht="15.75" customHeight="1">
      <c r="A874" s="6">
        <v>45612.0</v>
      </c>
      <c r="B874" s="2" t="s">
        <v>27</v>
      </c>
      <c r="C874" s="2" t="s">
        <v>206</v>
      </c>
      <c r="D874" s="7">
        <v>1441.97</v>
      </c>
      <c r="E874" s="2">
        <v>3.0</v>
      </c>
      <c r="F874" s="7">
        <v>4325.91</v>
      </c>
      <c r="G874" s="2" t="s">
        <v>2926</v>
      </c>
      <c r="H874" s="2" t="s">
        <v>2927</v>
      </c>
      <c r="I874" s="2" t="s">
        <v>2928</v>
      </c>
      <c r="K874" s="19" t="str">
        <f>IFERROR(__xludf.DUMMYFUNCTION("IF(ISBLANK(A874),
  """",
  IF(ISNUMBER(A874),
    TEXT(A874,""dd/mm/yyyy""),
    IF(
      REGEXMATCH(TRIM(A874),""^\d{1,2}/\d{1,2}/\d{4}$""),
      TRIM(A874),
      IFERROR(
        TEXT(DATEVALUE(SUBSTITUTE(SUBSTITUTE(TRIM(A874),""-"",""/""),""."",""/"&amp;""")),""dd/mm/yyyy""),
        TRIM(A874)
      )
    )
  )
)
"),"16/11/2024")</f>
        <v>16/11/2024</v>
      </c>
      <c r="L874" s="20">
        <v>45612.0</v>
      </c>
      <c r="M874" s="21" t="str">
        <f>IFERROR(__xludf.DUMMYFUNCTION("PROPER(TRIM(
  REGEXREPLACE(
    REGEXREPLACE(
      SUBSTITUTE(SUBSTITUTE(SUBSTITUTE(SUBSTITUTE(SUBSTITUTE(SUBSTITUTE(SUBSTITUTE(SUBSTITUTE(SUBSTITUTE(SUBSTITUTE(SUBSTITUTE(
        B874,""√©"",""é""),""√°"",""á""),""√±"",""ñ""),""√≥"",""ó""),""√â"",""é"&amp;"""),""√Å"",""á""),""√ç"",""í""),""√Ç"",""Í""),""√Â"",""é""),""√≠"",""í""),""√º"",""ú""),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74" s="22" t="str">
        <f>IFERROR(__xludf.DUMMYFUNCTION("SPLIT(
  TRIM(
    SUBSTITUTE(
      SUBSTITUTE(
        SUBSTITUTE(
          SUBSTITUTE(
            C874,
            ""√©"", ""é""
          ),
          ""√±"", ""ñ""
        ),
        ""√°"", ""á""
      ),
      ""√≥"", ""ó""
    )
  ),
  ""-""
)
"),"Auriculares")</f>
        <v>Auriculares</v>
      </c>
      <c r="O874" s="22" t="str">
        <f>IFERROR(__xludf.DUMMYFUNCTION("""COMPUTED_VALUE"""),"Bluetooth")</f>
        <v>Bluetooth</v>
      </c>
      <c r="P874" s="22" t="str">
        <f>IFERROR(__xludf.DUMMYFUNCTION("""COMPUTED_VALUE"""),"4GB")</f>
        <v>4GB</v>
      </c>
      <c r="Q874" s="23">
        <f t="shared" si="1"/>
        <v>1441.97</v>
      </c>
      <c r="R874" s="22">
        <f t="shared" si="2"/>
        <v>3</v>
      </c>
      <c r="S874" s="23">
        <f t="shared" si="3"/>
        <v>4325.91</v>
      </c>
      <c r="T874" s="22" t="str">
        <f>IFERROR(__xludf.DUMMYFUNCTION("PROPER(TRIM(
  LET(
    texto1, REGEXREPLACE(G874,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"),"Graciela Garibay")</f>
        <v>Graciela Garibay</v>
      </c>
      <c r="U874" s="22" t="str">
        <f t="shared" si="4"/>
        <v>d7d84721-5bb1-4a4d-b1af-1660508cc586</v>
      </c>
      <c r="V874" s="24" t="str">
        <f t="shared" si="5"/>
        <v>Auriculares Bluetooth 4GB</v>
      </c>
    </row>
    <row r="875" ht="15.75" customHeight="1">
      <c r="A875" s="36">
        <v>45393.0</v>
      </c>
      <c r="B875" s="2" t="s">
        <v>85</v>
      </c>
      <c r="C875" s="2" t="s">
        <v>250</v>
      </c>
      <c r="D875" s="7">
        <v>1081.59</v>
      </c>
      <c r="E875" s="2">
        <v>3.0</v>
      </c>
      <c r="F875" s="7">
        <v>3244.77</v>
      </c>
      <c r="G875" s="2" t="s">
        <v>2929</v>
      </c>
      <c r="H875" s="2" t="s">
        <v>2930</v>
      </c>
      <c r="I875" s="2" t="s">
        <v>2931</v>
      </c>
      <c r="K875" s="25" t="str">
        <f>IFERROR(__xludf.DUMMYFUNCTION("IF(ISBLANK(A875),
  """",
  IF(ISNUMBER(A875),
    TEXT(A875,""dd/mm/yyyy""),
    IF(
      REGEXMATCH(TRIM(A875),""^\d{1,2}/\d{1,2}/\d{4}$""),
      TRIM(A875),
      IFERROR(
        TEXT(DATEVALUE(SUBSTITUTE(SUBSTITUTE(TRIM(A875),""-"",""/""),""."",""/"&amp;""")),""dd/mm/yyyy""),
        TRIM(A875)
      )
    )
  )
)
"),"11/04/2024")</f>
        <v>11/04/2024</v>
      </c>
      <c r="L875" s="26">
        <v>45393.0</v>
      </c>
      <c r="M875" s="27" t="str">
        <f>IFERROR(__xludf.DUMMYFUNCTION("PROPER(TRIM(
  REGEXREPLACE(
    REGEXREPLACE(
      SUBSTITUTE(SUBSTITUTE(SUBSTITUTE(SUBSTITUTE(SUBSTITUTE(SUBSTITUTE(SUBSTITUTE(SUBSTITUTE(SUBSTITUTE(SUBSTITUTE(SUBSTITUTE(
        B875,""√©"",""é""),""√°"",""á""),""√±"",""ñ""),""√≥"",""ó""),""√â"",""é"&amp;"""),""√Å"",""á""),""√ç"",""í""),""√Ç"",""Í""),""√Â"",""é""),""√≠"",""í""),""√º"",""ú""),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75" s="28" t="str">
        <f>IFERROR(__xludf.DUMMYFUNCTION("SPLIT(
  TRIM(
    SUBSTITUTE(
      SUBSTITUTE(
        SUBSTITUTE(
          SUBSTITUTE(
            C875,
            ""√©"", ""é""
          ),
          ""√±"", ""ñ""
        ),
        ""√°"", ""á""
      ),
      ""√≥"", ""ó""
    )
  ),
  ""-""
)
"),"Laptop")</f>
        <v>Laptop</v>
      </c>
      <c r="O875" s="28" t="str">
        <f>IFERROR(__xludf.DUMMYFUNCTION("""COMPUTED_VALUE"""),"Oficina")</f>
        <v>Oficina</v>
      </c>
      <c r="P875" s="28" t="str">
        <f>IFERROR(__xludf.DUMMYFUNCTION("""COMPUTED_VALUE"""),"32GB")</f>
        <v>32GB</v>
      </c>
      <c r="Q875" s="29">
        <f t="shared" si="1"/>
        <v>1081.59</v>
      </c>
      <c r="R875" s="28">
        <f t="shared" si="2"/>
        <v>3</v>
      </c>
      <c r="S875" s="29">
        <f t="shared" si="3"/>
        <v>3244.77</v>
      </c>
      <c r="T875" s="28" t="str">
        <f>IFERROR(__xludf.DUMMYFUNCTION("PROPER(TRIM(
  LET(
    texto1, REGEXREPLACE(G875,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"),"Dolores Rodolfo Rojas Arellano")</f>
        <v>Dolores Rodolfo Rojas Arellano</v>
      </c>
      <c r="U875" s="28" t="str">
        <f t="shared" si="4"/>
        <v>231bf5a4-802c-4e67-87f9-145a7ddc42e3</v>
      </c>
      <c r="V875" s="30" t="str">
        <f t="shared" si="5"/>
        <v>Laptop Oficina 32GB</v>
      </c>
    </row>
    <row r="876" ht="15.75" customHeight="1">
      <c r="A876" s="6">
        <v>45589.0</v>
      </c>
      <c r="B876" s="2" t="s">
        <v>50</v>
      </c>
      <c r="C876" s="2" t="s">
        <v>245</v>
      </c>
      <c r="D876" s="7">
        <v>1901.74</v>
      </c>
      <c r="E876" s="2">
        <v>4.0</v>
      </c>
      <c r="F876" s="7">
        <v>7606.96</v>
      </c>
      <c r="G876" s="2" t="s">
        <v>2932</v>
      </c>
      <c r="H876" s="2" t="s">
        <v>2933</v>
      </c>
      <c r="I876" s="2" t="s">
        <v>2934</v>
      </c>
      <c r="K876" s="19" t="str">
        <f>IFERROR(__xludf.DUMMYFUNCTION("IF(ISBLANK(A876),
  """",
  IF(ISNUMBER(A876),
    TEXT(A876,""dd/mm/yyyy""),
    IF(
      REGEXMATCH(TRIM(A876),""^\d{1,2}/\d{1,2}/\d{4}$""),
      TRIM(A876),
      IFERROR(
        TEXT(DATEVALUE(SUBSTITUTE(SUBSTITUTE(TRIM(A876),""-"",""/""),""."",""/"&amp;""")),""dd/mm/yyyy""),
        TRIM(A876)
      )
    )
  )
)
"),"24/10/2024")</f>
        <v>24/10/2024</v>
      </c>
      <c r="L876" s="20">
        <v>45589.0</v>
      </c>
      <c r="M876" s="21" t="str">
        <f>IFERROR(__xludf.DUMMYFUNCTION("PROPER(TRIM(
  REGEXREPLACE(
    REGEXREPLACE(
      SUBSTITUTE(SUBSTITUTE(SUBSTITUTE(SUBSTITUTE(SUBSTITUTE(SUBSTITUTE(SUBSTITUTE(SUBSTITUTE(SUBSTITUTE(SUBSTITUTE(SUBSTITUTE(
        B876,""√©"",""é""),""√°"",""á""),""√±"",""ñ""),""√≥"",""ó""),""√â"",""é"&amp;"""),""√Å"",""á""),""√ç"",""í""),""√Ç"",""Í""),""√Â"",""é""),""√≠"",""í""),""√º"",""ú""),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76" s="22" t="str">
        <f>IFERROR(__xludf.DUMMYFUNCTION("SPLIT(
  TRIM(
    SUBSTITUTE(
      SUBSTITUTE(
        SUBSTITUTE(
          SUBSTITUTE(
            C876,
            ""√©"", ""é""
          ),
          ""√±"", ""ñ""
        ),
        ""√°"", ""á""
      ),
      ""√≥"", ""ó""
    )
  ),
  ""-""
)
"),"Teléfono")</f>
        <v>Teléfono</v>
      </c>
      <c r="O876" s="22" t="str">
        <f>IFERROR(__xludf.DUMMYFUNCTION("""COMPUTED_VALUE"""),"Gama baja")</f>
        <v>Gama baja</v>
      </c>
      <c r="P876" s="22" t="str">
        <f>IFERROR(__xludf.DUMMYFUNCTION("""COMPUTED_VALUE"""),"32GB")</f>
        <v>32GB</v>
      </c>
      <c r="Q876" s="23">
        <f t="shared" si="1"/>
        <v>1901.74</v>
      </c>
      <c r="R876" s="22">
        <f t="shared" si="2"/>
        <v>4</v>
      </c>
      <c r="S876" s="23">
        <f t="shared" si="3"/>
        <v>7606.96</v>
      </c>
      <c r="T876" s="22" t="str">
        <f>IFERROR(__xludf.DUMMYFUNCTION("PROPER(TRIM(
  LET(
    texto1, REGEXREPLACE(G876,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"),"Karina Gálvez Durán")</f>
        <v>Karina Gálvez Durán</v>
      </c>
      <c r="U876" s="22" t="str">
        <f t="shared" si="4"/>
        <v>39df2d77-4667-462c-a9a5-a4502b01e2af</v>
      </c>
      <c r="V876" s="24" t="str">
        <f t="shared" si="5"/>
        <v>Teléfono Gama baja 32GB</v>
      </c>
    </row>
    <row r="877" ht="15.75" customHeight="1">
      <c r="A877" s="36">
        <v>45423.0</v>
      </c>
      <c r="B877" s="2" t="s">
        <v>50</v>
      </c>
      <c r="C877" s="2" t="s">
        <v>22</v>
      </c>
      <c r="D877" s="7">
        <v>231.5</v>
      </c>
      <c r="E877" s="2">
        <v>1.0</v>
      </c>
      <c r="F877" s="7">
        <v>231.5</v>
      </c>
      <c r="G877" s="2" t="s">
        <v>2935</v>
      </c>
      <c r="H877" s="2" t="s">
        <v>2936</v>
      </c>
      <c r="I877" s="2" t="s">
        <v>2937</v>
      </c>
      <c r="K877" s="25" t="str">
        <f>IFERROR(__xludf.DUMMYFUNCTION("IF(ISBLANK(A877),
  """",
  IF(ISNUMBER(A877),
    TEXT(A877,""dd/mm/yyyy""),
    IF(
      REGEXMATCH(TRIM(A877),""^\d{1,2}/\d{1,2}/\d{4}$""),
      TRIM(A877),
      IFERROR(
        TEXT(DATEVALUE(SUBSTITUTE(SUBSTITUTE(TRIM(A877),""-"",""/""),""."",""/"&amp;""")),""dd/mm/yyyy""),
        TRIM(A877)
      )
    )
  )
)
"),"11/05/2024")</f>
        <v>11/05/2024</v>
      </c>
      <c r="L877" s="26">
        <v>45423.0</v>
      </c>
      <c r="M877" s="27" t="str">
        <f>IFERROR(__xludf.DUMMYFUNCTION("PROPER(TRIM(
  REGEXREPLACE(
    REGEXREPLACE(
      SUBSTITUTE(SUBSTITUTE(SUBSTITUTE(SUBSTITUTE(SUBSTITUTE(SUBSTITUTE(SUBSTITUTE(SUBSTITUTE(SUBSTITUTE(SUBSTITUTE(SUBSTITUTE(
        B877,""√©"",""é""),""√°"",""á""),""√±"",""ñ""),""√≥"",""ó""),""√â"",""é"&amp;"""),""√Å"",""á""),""√ç"",""í""),""√Ç"",""Í""),""√Â"",""é""),""√≠"",""í""),""√º"",""ú""),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77" s="28" t="str">
        <f>IFERROR(__xludf.DUMMYFUNCTION("SPLIT(
  TRIM(
    SUBSTITUTE(
      SUBSTITUTE(
        SUBSTITUTE(
          SUBSTITUTE(
            C877,
            ""√©"", ""é""
          ),
          ""√±"", ""ñ""
        ),
        ""√°"", ""á""
      ),
      ""√≥"", ""ó""
    )
  ),
  ""-""
)
"),"Laptop")</f>
        <v>Laptop</v>
      </c>
      <c r="O877" s="28" t="str">
        <f>IFERROR(__xludf.DUMMYFUNCTION("""COMPUTED_VALUE"""),"Gaming")</f>
        <v>Gaming</v>
      </c>
      <c r="P877" s="28" t="str">
        <f>IFERROR(__xludf.DUMMYFUNCTION("""COMPUTED_VALUE"""),"32GB")</f>
        <v>32GB</v>
      </c>
      <c r="Q877" s="29">
        <f t="shared" si="1"/>
        <v>231.5</v>
      </c>
      <c r="R877" s="28">
        <f t="shared" si="2"/>
        <v>1</v>
      </c>
      <c r="S877" s="29">
        <f t="shared" si="3"/>
        <v>231.5</v>
      </c>
      <c r="T877" s="28" t="str">
        <f>IFERROR(__xludf.DUMMYFUNCTION("PROPER(TRIM(
  LET(
    texto1, REGEXREPLACE(G877,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"),"Flavio Iván Casillas")</f>
        <v>Flavio Iván Casillas</v>
      </c>
      <c r="U877" s="28" t="str">
        <f t="shared" si="4"/>
        <v>d2791f68-c024-4553-af35-174d74e629f4</v>
      </c>
      <c r="V877" s="30" t="str">
        <f t="shared" si="5"/>
        <v>Laptop Gaming 32GB</v>
      </c>
    </row>
    <row r="878" ht="15.75" customHeight="1">
      <c r="A878" s="6">
        <v>45591.0</v>
      </c>
      <c r="B878" s="2" t="s">
        <v>38</v>
      </c>
      <c r="C878" s="2" t="s">
        <v>22</v>
      </c>
      <c r="D878" s="7">
        <v>724.28</v>
      </c>
      <c r="E878" s="2">
        <v>4.0</v>
      </c>
      <c r="F878" s="7">
        <v>2897.12</v>
      </c>
      <c r="G878" s="2" t="s">
        <v>2938</v>
      </c>
      <c r="H878" s="2" t="s">
        <v>2939</v>
      </c>
      <c r="I878" s="2" t="s">
        <v>2940</v>
      </c>
      <c r="K878" s="19" t="str">
        <f>IFERROR(__xludf.DUMMYFUNCTION("IF(ISBLANK(A878),
  """",
  IF(ISNUMBER(A878),
    TEXT(A878,""dd/mm/yyyy""),
    IF(
      REGEXMATCH(TRIM(A878),""^\d{1,2}/\d{1,2}/\d{4}$""),
      TRIM(A878),
      IFERROR(
        TEXT(DATEVALUE(SUBSTITUTE(SUBSTITUTE(TRIM(A878),""-"",""/""),""."",""/"&amp;""")),""dd/mm/yyyy""),
        TRIM(A878)
      )
    )
  )
)
"),"26/10/2024")</f>
        <v>26/10/2024</v>
      </c>
      <c r="L878" s="20">
        <v>45591.0</v>
      </c>
      <c r="M878" s="21" t="str">
        <f>IFERROR(__xludf.DUMMYFUNCTION("PROPER(TRIM(
  REGEXREPLACE(
    REGEXREPLACE(
      SUBSTITUTE(SUBSTITUTE(SUBSTITUTE(SUBSTITUTE(SUBSTITUTE(SUBSTITUTE(SUBSTITUTE(SUBSTITUTE(SUBSTITUTE(SUBSTITUTE(SUBSTITUTE(
        B878,""√©"",""é""),""√°"",""á""),""√±"",""ñ""),""√≥"",""ó""),""√â"",""é"&amp;"""),""√Å"",""á""),""√ç"",""í""),""√Ç"",""Í""),""√Â"",""é""),""√≠"",""í""),""√º"",""ú""),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78" s="22" t="str">
        <f>IFERROR(__xludf.DUMMYFUNCTION("SPLIT(
  TRIM(
    SUBSTITUTE(
      SUBSTITUTE(
        SUBSTITUTE(
          SUBSTITUTE(
            C878,
            ""√©"", ""é""
          ),
          ""√±"", ""ñ""
        ),
        ""√°"", ""á""
      ),
      ""√≥"", ""ó""
    )
  ),
  ""-""
)
"),"Laptop")</f>
        <v>Laptop</v>
      </c>
      <c r="O878" s="22" t="str">
        <f>IFERROR(__xludf.DUMMYFUNCTION("""COMPUTED_VALUE"""),"Gaming")</f>
        <v>Gaming</v>
      </c>
      <c r="P878" s="22" t="str">
        <f>IFERROR(__xludf.DUMMYFUNCTION("""COMPUTED_VALUE"""),"32GB")</f>
        <v>32GB</v>
      </c>
      <c r="Q878" s="23">
        <f t="shared" si="1"/>
        <v>724.28</v>
      </c>
      <c r="R878" s="22">
        <f t="shared" si="2"/>
        <v>4</v>
      </c>
      <c r="S878" s="23">
        <f t="shared" si="3"/>
        <v>2897.12</v>
      </c>
      <c r="T878" s="22" t="str">
        <f>IFERROR(__xludf.DUMMYFUNCTION("PROPER(TRIM(
  LET(
    texto1, REGEXREPLACE(G878,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"),"Emilio Leiva")</f>
        <v>Emilio Leiva</v>
      </c>
      <c r="U878" s="22" t="str">
        <f t="shared" si="4"/>
        <v>9a710806-780e-4656-b1d2-a4266eab7458</v>
      </c>
      <c r="V878" s="24" t="str">
        <f t="shared" si="5"/>
        <v>Laptop Gaming 32GB</v>
      </c>
    </row>
    <row r="879" ht="15.75" customHeight="1">
      <c r="A879" s="36">
        <v>45334.0</v>
      </c>
      <c r="B879" s="2" t="s">
        <v>27</v>
      </c>
      <c r="C879" s="2" t="s">
        <v>360</v>
      </c>
      <c r="D879" s="7">
        <v>1796.72</v>
      </c>
      <c r="E879" s="2">
        <v>4.0</v>
      </c>
      <c r="F879" s="7">
        <v>7186.88</v>
      </c>
      <c r="G879" s="2" t="s">
        <v>2941</v>
      </c>
      <c r="H879" s="2" t="s">
        <v>2942</v>
      </c>
      <c r="I879" s="2" t="s">
        <v>2943</v>
      </c>
      <c r="K879" s="25" t="str">
        <f>IFERROR(__xludf.DUMMYFUNCTION("IF(ISBLANK(A879),
  """",
  IF(ISNUMBER(A879),
    TEXT(A879,""dd/mm/yyyy""),
    IF(
      REGEXMATCH(TRIM(A879),""^\d{1,2}/\d{1,2}/\d{4}$""),
      TRIM(A879),
      IFERROR(
        TEXT(DATEVALUE(SUBSTITUTE(SUBSTITUTE(TRIM(A879),""-"",""/""),""."",""/"&amp;""")),""dd/mm/yyyy""),
        TRIM(A879)
      )
    )
  )
)
"),"12/02/2024")</f>
        <v>12/02/2024</v>
      </c>
      <c r="L879" s="26">
        <v>45334.0</v>
      </c>
      <c r="M879" s="27" t="str">
        <f>IFERROR(__xludf.DUMMYFUNCTION("PROPER(TRIM(
  REGEXREPLACE(
    REGEXREPLACE(
      SUBSTITUTE(SUBSTITUTE(SUBSTITUTE(SUBSTITUTE(SUBSTITUTE(SUBSTITUTE(SUBSTITUTE(SUBSTITUTE(SUBSTITUTE(SUBSTITUTE(SUBSTITUTE(
        B879,""√©"",""é""),""√°"",""á""),""√±"",""ñ""),""√≥"",""ó""),""√â"",""é"&amp;"""),""√Å"",""á""),""√ç"",""í""),""√Ç"",""Í""),""√Â"",""é""),""√≠"",""í""),""√º"",""ú""),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79" s="28" t="str">
        <f>IFERROR(__xludf.DUMMYFUNCTION("SPLIT(
  TRIM(
    SUBSTITUTE(
      SUBSTITUTE(
        SUBSTITUTE(
          SUBSTITUTE(
            C879,
            ""√©"", ""é""
          ),
          ""√±"", ""ñ""
        ),
        ""√°"", ""á""
      ),
      ""√≥"", ""ó""
    )
  ),
  ""-""
)
"),"Tablet")</f>
        <v>Tablet</v>
      </c>
      <c r="O879" s="28" t="str">
        <f>IFERROR(__xludf.DUMMYFUNCTION("""COMPUTED_VALUE"""),"Estándar")</f>
        <v>Estándar</v>
      </c>
      <c r="P879" s="28" t="str">
        <f>IFERROR(__xludf.DUMMYFUNCTION("""COMPUTED_VALUE"""),"8GB")</f>
        <v>8GB</v>
      </c>
      <c r="Q879" s="29">
        <f t="shared" si="1"/>
        <v>1796.72</v>
      </c>
      <c r="R879" s="28">
        <f t="shared" si="2"/>
        <v>4</v>
      </c>
      <c r="S879" s="29">
        <f t="shared" si="3"/>
        <v>7186.88</v>
      </c>
      <c r="T879" s="28" t="str">
        <f>IFERROR(__xludf.DUMMYFUNCTION("PROPER(TRIM(
  LET(
    texto1, REGEXREPLACE(G879,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"),"Alicia Rosales")</f>
        <v>Alicia Rosales</v>
      </c>
      <c r="U879" s="28" t="str">
        <f t="shared" si="4"/>
        <v>cf2331f6-6c22-469f-92b8-831ddcc71327</v>
      </c>
      <c r="V879" s="30" t="str">
        <f t="shared" si="5"/>
        <v>Tablet Estándar 8GB</v>
      </c>
    </row>
    <row r="880" ht="15.75" customHeight="1">
      <c r="A880" s="6">
        <v>45646.0</v>
      </c>
      <c r="B880" s="2" t="s">
        <v>101</v>
      </c>
      <c r="C880" s="2" t="s">
        <v>45</v>
      </c>
      <c r="D880" s="7">
        <v>2086.91</v>
      </c>
      <c r="E880" s="2">
        <v>5.0</v>
      </c>
      <c r="F880" s="7">
        <v>10434.55</v>
      </c>
      <c r="G880" s="2" t="s">
        <v>2944</v>
      </c>
      <c r="H880" s="2" t="s">
        <v>2945</v>
      </c>
      <c r="I880" s="2" t="s">
        <v>2946</v>
      </c>
      <c r="K880" s="19" t="str">
        <f>IFERROR(__xludf.DUMMYFUNCTION("IF(ISBLANK(A880),
  """",
  IF(ISNUMBER(A880),
    TEXT(A880,""dd/mm/yyyy""),
    IF(
      REGEXMATCH(TRIM(A880),""^\d{1,2}/\d{1,2}/\d{4}$""),
      TRIM(A880),
      IFERROR(
        TEXT(DATEVALUE(SUBSTITUTE(SUBSTITUTE(TRIM(A880),""-"",""/""),""."",""/"&amp;""")),""dd/mm/yyyy""),
        TRIM(A880)
      )
    )
  )
)
"),"20/12/2024")</f>
        <v>20/12/2024</v>
      </c>
      <c r="L880" s="20">
        <v>45646.0</v>
      </c>
      <c r="M880" s="21" t="str">
        <f>IFERROR(__xludf.DUMMYFUNCTION("PROPER(TRIM(
  REGEXREPLACE(
    REGEXREPLACE(
      SUBSTITUTE(SUBSTITUTE(SUBSTITUTE(SUBSTITUTE(SUBSTITUTE(SUBSTITUTE(SUBSTITUTE(SUBSTITUTE(SUBSTITUTE(SUBSTITUTE(SUBSTITUTE(
        B880,""√©"",""é""),""√°"",""á""),""√±"",""ñ""),""√≥"",""ó""),""√â"",""é"&amp;"""),""√Å"",""á""),""√ç"",""í""),""√Ç"",""Í""),""√Â"",""é""),""√≠"",""í""),""√º"",""ú""),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80" s="22" t="str">
        <f>IFERROR(__xludf.DUMMYFUNCTION("SPLIT(
  TRIM(
    SUBSTITUTE(
      SUBSTITUTE(
        SUBSTITUTE(
          SUBSTITUTE(
            C880,
            ""√©"", ""é""
          ),
          ""√±"", ""ñ""
        ),
        ""√°"", ""á""
      ),
      ""√≥"", ""ó""
    )
  ),
  ""-""
)
"),"Tablet")</f>
        <v>Tablet</v>
      </c>
      <c r="O880" s="22" t="str">
        <f>IFERROR(__xludf.DUMMYFUNCTION("""COMPUTED_VALUE"""),"Mini")</f>
        <v>Mini</v>
      </c>
      <c r="P880" s="22" t="str">
        <f>IFERROR(__xludf.DUMMYFUNCTION("""COMPUTED_VALUE"""),"4GB")</f>
        <v>4GB</v>
      </c>
      <c r="Q880" s="23">
        <f t="shared" si="1"/>
        <v>2086.91</v>
      </c>
      <c r="R880" s="22">
        <f t="shared" si="2"/>
        <v>5</v>
      </c>
      <c r="S880" s="23">
        <f t="shared" si="3"/>
        <v>10434.55</v>
      </c>
      <c r="T880" s="22" t="str">
        <f>IFERROR(__xludf.DUMMYFUNCTION("PROPER(TRIM(
  LET(
    texto1, REGEXREPLACE(G880,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"),"Elvira Marisol Reyes Alfaro")</f>
        <v>Elvira Marisol Reyes Alfaro</v>
      </c>
      <c r="U880" s="22" t="str">
        <f t="shared" si="4"/>
        <v>a07f9aa3-2d4a-44b5-983f-9e8c4f941136</v>
      </c>
      <c r="V880" s="24" t="str">
        <f t="shared" si="5"/>
        <v>Tablet Mini 4GB</v>
      </c>
    </row>
    <row r="881" ht="15.75" customHeight="1">
      <c r="A881" s="6">
        <v>45625.0</v>
      </c>
      <c r="B881" s="2" t="s">
        <v>38</v>
      </c>
      <c r="C881" s="2" t="s">
        <v>17</v>
      </c>
      <c r="D881" s="7">
        <v>411.02</v>
      </c>
      <c r="E881" s="2">
        <v>1.0</v>
      </c>
      <c r="F881" s="7">
        <v>411.02</v>
      </c>
      <c r="G881" s="2" t="s">
        <v>2947</v>
      </c>
      <c r="H881" s="2" t="s">
        <v>2948</v>
      </c>
      <c r="I881" s="2" t="s">
        <v>2949</v>
      </c>
      <c r="K881" s="25" t="str">
        <f>IFERROR(__xludf.DUMMYFUNCTION("IF(ISBLANK(A881),
  """",
  IF(ISNUMBER(A881),
    TEXT(A881,""dd/mm/yyyy""),
    IF(
      REGEXMATCH(TRIM(A881),""^\d{1,2}/\d{1,2}/\d{4}$""),
      TRIM(A881),
      IFERROR(
        TEXT(DATEVALUE(SUBSTITUTE(SUBSTITUTE(TRIM(A881),""-"",""/""),""."",""/"&amp;""")),""dd/mm/yyyy""),
        TRIM(A881)
      )
    )
  )
)
"),"29/11/2024")</f>
        <v>29/11/2024</v>
      </c>
      <c r="L881" s="26">
        <v>45625.0</v>
      </c>
      <c r="M881" s="27" t="str">
        <f>IFERROR(__xludf.DUMMYFUNCTION("PROPER(TRIM(
  REGEXREPLACE(
    REGEXREPLACE(
      SUBSTITUTE(SUBSTITUTE(SUBSTITUTE(SUBSTITUTE(SUBSTITUTE(SUBSTITUTE(SUBSTITUTE(SUBSTITUTE(SUBSTITUTE(SUBSTITUTE(SUBSTITUTE(
        B881,""√©"",""é""),""√°"",""á""),""√±"",""ñ""),""√≥"",""ó""),""√â"",""é"&amp;"""),""√Å"",""á""),""√ç"",""í""),""√Ç"",""Í""),""√Â"",""é""),""√≠"",""í""),""√º"",""ú""),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81" s="28" t="str">
        <f>IFERROR(__xludf.DUMMYFUNCTION("SPLIT(
  TRIM(
    SUBSTITUTE(
      SUBSTITUTE(
        SUBSTITUTE(
          SUBSTITUTE(
            C881,
            ""√©"", ""é""
          ),
          ""√±"", ""ñ""
        ),
        ""√°"", ""á""
      ),
      ""√≥"", ""ó""
    )
  ),
  ""-""
)
"),"Auriculares")</f>
        <v>Auriculares</v>
      </c>
      <c r="O881" s="28" t="str">
        <f>IFERROR(__xludf.DUMMYFUNCTION("""COMPUTED_VALUE"""),"Bluetooth")</f>
        <v>Bluetooth</v>
      </c>
      <c r="P881" s="28" t="str">
        <f>IFERROR(__xludf.DUMMYFUNCTION("""COMPUTED_VALUE"""),"8GB")</f>
        <v>8GB</v>
      </c>
      <c r="Q881" s="29">
        <f t="shared" si="1"/>
        <v>411.02</v>
      </c>
      <c r="R881" s="28">
        <f t="shared" si="2"/>
        <v>1</v>
      </c>
      <c r="S881" s="29">
        <f t="shared" si="3"/>
        <v>411.02</v>
      </c>
      <c r="T881" s="28" t="str">
        <f>IFERROR(__xludf.DUMMYFUNCTION("PROPER(TRIM(
  LET(
    texto1, REGEXREPLACE(G881,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"),"Fidel Mateo Parra Ulloa")</f>
        <v>Fidel Mateo Parra Ulloa</v>
      </c>
      <c r="U881" s="28" t="str">
        <f t="shared" si="4"/>
        <v>348f55a1-ec49-4749-b0f2-d28f1d6587c1</v>
      </c>
      <c r="V881" s="30" t="str">
        <f t="shared" si="5"/>
        <v>Auriculares Bluetooth 8GB</v>
      </c>
    </row>
    <row r="882" ht="15.75" customHeight="1">
      <c r="A882" s="36">
        <v>45455.0</v>
      </c>
      <c r="B882" s="2" t="s">
        <v>50</v>
      </c>
      <c r="C882" s="2" t="s">
        <v>245</v>
      </c>
      <c r="D882" s="7">
        <v>1064.4</v>
      </c>
      <c r="E882" s="2">
        <v>3.0</v>
      </c>
      <c r="F882" s="7">
        <v>3193.2</v>
      </c>
      <c r="G882" s="2" t="s">
        <v>2950</v>
      </c>
      <c r="H882" s="2" t="s">
        <v>2951</v>
      </c>
      <c r="I882" s="2" t="s">
        <v>2952</v>
      </c>
      <c r="K882" s="19" t="str">
        <f>IFERROR(__xludf.DUMMYFUNCTION("IF(ISBLANK(A882),
  """",
  IF(ISNUMBER(A882),
    TEXT(A882,""dd/mm/yyyy""),
    IF(
      REGEXMATCH(TRIM(A882),""^\d{1,2}/\d{1,2}/\d{4}$""),
      TRIM(A882),
      IFERROR(
        TEXT(DATEVALUE(SUBSTITUTE(SUBSTITUTE(TRIM(A882),""-"",""/""),""."",""/"&amp;""")),""dd/mm/yyyy""),
        TRIM(A882)
      )
    )
  )
)
"),"12/06/2024")</f>
        <v>12/06/2024</v>
      </c>
      <c r="L882" s="20">
        <v>45455.0</v>
      </c>
      <c r="M882" s="21" t="str">
        <f>IFERROR(__xludf.DUMMYFUNCTION("PROPER(TRIM(
  REGEXREPLACE(
    REGEXREPLACE(
      SUBSTITUTE(SUBSTITUTE(SUBSTITUTE(SUBSTITUTE(SUBSTITUTE(SUBSTITUTE(SUBSTITUTE(SUBSTITUTE(SUBSTITUTE(SUBSTITUTE(SUBSTITUTE(
        B882,""√©"",""é""),""√°"",""á""),""√±"",""ñ""),""√≥"",""ó""),""√â"",""é"&amp;"""),""√Å"",""á""),""√ç"",""í""),""√Ç"",""Í""),""√Â"",""é""),""√≠"",""í""),""√º"",""ú""),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82" s="22" t="str">
        <f>IFERROR(__xludf.DUMMYFUNCTION("SPLIT(
  TRIM(
    SUBSTITUTE(
      SUBSTITUTE(
        SUBSTITUTE(
          SUBSTITUTE(
            C882,
            ""√©"", ""é""
          ),
          ""√±"", ""ñ""
        ),
        ""√°"", ""á""
      ),
      ""√≥"", ""ó""
    )
  ),
  ""-""
)
"),"Teléfono")</f>
        <v>Teléfono</v>
      </c>
      <c r="O882" s="22" t="str">
        <f>IFERROR(__xludf.DUMMYFUNCTION("""COMPUTED_VALUE"""),"Gama baja")</f>
        <v>Gama baja</v>
      </c>
      <c r="P882" s="22" t="str">
        <f>IFERROR(__xludf.DUMMYFUNCTION("""COMPUTED_VALUE"""),"32GB")</f>
        <v>32GB</v>
      </c>
      <c r="Q882" s="23">
        <f t="shared" si="1"/>
        <v>1064.4</v>
      </c>
      <c r="R882" s="22">
        <f t="shared" si="2"/>
        <v>3</v>
      </c>
      <c r="S882" s="23">
        <f t="shared" si="3"/>
        <v>3193.2</v>
      </c>
      <c r="T882" s="22" t="str">
        <f>IFERROR(__xludf.DUMMYFUNCTION("PROPER(TRIM(
  LET(
    texto1, REGEXREPLACE(G882,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"),"Leonardo Orosco")</f>
        <v>Leonardo Orosco</v>
      </c>
      <c r="U882" s="22" t="str">
        <f t="shared" si="4"/>
        <v>5960a10e-3314-40d0-846b-6eb21cf652c1</v>
      </c>
      <c r="V882" s="24" t="str">
        <f t="shared" si="5"/>
        <v>Teléfono Gama baja 32GB</v>
      </c>
    </row>
    <row r="883" ht="15.75" customHeight="1">
      <c r="A883" s="36">
        <v>45454.0</v>
      </c>
      <c r="B883" s="2" t="s">
        <v>101</v>
      </c>
      <c r="C883" s="2" t="s">
        <v>55</v>
      </c>
      <c r="D883" s="7">
        <v>1381.5</v>
      </c>
      <c r="E883" s="2">
        <v>5.0</v>
      </c>
      <c r="F883" s="7">
        <v>6907.5</v>
      </c>
      <c r="G883" s="2" t="s">
        <v>2953</v>
      </c>
      <c r="H883" s="2" t="s">
        <v>2954</v>
      </c>
      <c r="I883" s="2" t="s">
        <v>2955</v>
      </c>
      <c r="K883" s="25" t="str">
        <f>IFERROR(__xludf.DUMMYFUNCTION("IF(ISBLANK(A883),
  """",
  IF(ISNUMBER(A883),
    TEXT(A883,""dd/mm/yyyy""),
    IF(
      REGEXMATCH(TRIM(A883),""^\d{1,2}/\d{1,2}/\d{4}$""),
      TRIM(A883),
      IFERROR(
        TEXT(DATEVALUE(SUBSTITUTE(SUBSTITUTE(TRIM(A883),""-"",""/""),""."",""/"&amp;""")),""dd/mm/yyyy""),
        TRIM(A883)
      )
    )
  )
)
"),"11/06/2024")</f>
        <v>11/06/2024</v>
      </c>
      <c r="L883" s="26">
        <v>45454.0</v>
      </c>
      <c r="M883" s="27" t="str">
        <f>IFERROR(__xludf.DUMMYFUNCTION("PROPER(TRIM(
  REGEXREPLACE(
    REGEXREPLACE(
      SUBSTITUTE(SUBSTITUTE(SUBSTITUTE(SUBSTITUTE(SUBSTITUTE(SUBSTITUTE(SUBSTITUTE(SUBSTITUTE(SUBSTITUTE(SUBSTITUTE(SUBSTITUTE(
        B883,""√©"",""é""),""√°"",""á""),""√±"",""ñ""),""√≥"",""ó""),""√â"",""é"&amp;"""),""√Å"",""á""),""√ç"",""í""),""√Ç"",""Í""),""√Â"",""é""),""√≠"",""í""),""√º"",""ú""),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83" s="28" t="str">
        <f>IFERROR(__xludf.DUMMYFUNCTION("SPLIT(
  TRIM(
    SUBSTITUTE(
      SUBSTITUTE(
        SUBSTITUTE(
          SUBSTITUTE(
            C883,
            ""√©"", ""é""
          ),
          ""√±"", ""ñ""
        ),
        ""√°"", ""á""
      ),
      ""√≥"", ""ó""
    )
  ),
  ""-""
)
"),"Laptop")</f>
        <v>Laptop</v>
      </c>
      <c r="O883" s="28" t="str">
        <f>IFERROR(__xludf.DUMMYFUNCTION("""COMPUTED_VALUE"""),"Ultraliviana")</f>
        <v>Ultraliviana</v>
      </c>
      <c r="P883" s="28" t="str">
        <f>IFERROR(__xludf.DUMMYFUNCTION("""COMPUTED_VALUE"""),"16GB")</f>
        <v>16GB</v>
      </c>
      <c r="Q883" s="29">
        <f t="shared" si="1"/>
        <v>1381.5</v>
      </c>
      <c r="R883" s="28">
        <f t="shared" si="2"/>
        <v>5</v>
      </c>
      <c r="S883" s="29">
        <f t="shared" si="3"/>
        <v>6907.5</v>
      </c>
      <c r="T883" s="28" t="str">
        <f>IFERROR(__xludf.DUMMYFUNCTION("PROPER(TRIM(
  LET(
    texto1, REGEXREPLACE(G883,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"),"Julio César Olivares Matos")</f>
        <v>Julio César Olivares Matos</v>
      </c>
      <c r="U883" s="28" t="str">
        <f t="shared" si="4"/>
        <v>3d38346c-86e1-40f6-996c-c0eaaf43480d</v>
      </c>
      <c r="V883" s="30" t="str">
        <f t="shared" si="5"/>
        <v>Laptop Ultraliviana 16GB</v>
      </c>
    </row>
    <row r="884" ht="15.75" customHeight="1">
      <c r="A884" s="6">
        <v>45595.0</v>
      </c>
      <c r="B884" s="2" t="s">
        <v>27</v>
      </c>
      <c r="C884" s="2" t="s">
        <v>206</v>
      </c>
      <c r="D884" s="7">
        <v>201.31</v>
      </c>
      <c r="E884" s="2">
        <v>5.0</v>
      </c>
      <c r="F884" s="7">
        <v>1006.55</v>
      </c>
      <c r="G884" s="2" t="s">
        <v>2956</v>
      </c>
      <c r="H884" s="2" t="s">
        <v>2957</v>
      </c>
      <c r="I884" s="2" t="s">
        <v>2958</v>
      </c>
      <c r="K884" s="19" t="str">
        <f>IFERROR(__xludf.DUMMYFUNCTION("IF(ISBLANK(A884),
  """",
  IF(ISNUMBER(A884),
    TEXT(A884,""dd/mm/yyyy""),
    IF(
      REGEXMATCH(TRIM(A884),""^\d{1,2}/\d{1,2}/\d{4}$""),
      TRIM(A884),
      IFERROR(
        TEXT(DATEVALUE(SUBSTITUTE(SUBSTITUTE(TRIM(A884),""-"",""/""),""."",""/"&amp;""")),""dd/mm/yyyy""),
        TRIM(A884)
      )
    )
  )
)
"),"30/10/2024")</f>
        <v>30/10/2024</v>
      </c>
      <c r="L884" s="20">
        <v>45595.0</v>
      </c>
      <c r="M884" s="21" t="str">
        <f>IFERROR(__xludf.DUMMYFUNCTION("PROPER(TRIM(
  REGEXREPLACE(
    REGEXREPLACE(
      SUBSTITUTE(SUBSTITUTE(SUBSTITUTE(SUBSTITUTE(SUBSTITUTE(SUBSTITUTE(SUBSTITUTE(SUBSTITUTE(SUBSTITUTE(SUBSTITUTE(SUBSTITUTE(
        B884,""√©"",""é""),""√°"",""á""),""√±"",""ñ""),""√≥"",""ó""),""√â"",""é"&amp;"""),""√Å"",""á""),""√ç"",""í""),""√Ç"",""Í""),""√Â"",""é""),""√≠"",""í""),""√º"",""ú""),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84" s="22" t="str">
        <f>IFERROR(__xludf.DUMMYFUNCTION("SPLIT(
  TRIM(
    SUBSTITUTE(
      SUBSTITUTE(
        SUBSTITUTE(
          SUBSTITUTE(
            C884,
            ""√©"", ""é""
          ),
          ""√±"", ""ñ""
        ),
        ""√°"", ""á""
      ),
      ""√≥"", ""ó""
    )
  ),
  ""-""
)
"),"Auriculares")</f>
        <v>Auriculares</v>
      </c>
      <c r="O884" s="22" t="str">
        <f>IFERROR(__xludf.DUMMYFUNCTION("""COMPUTED_VALUE"""),"Bluetooth")</f>
        <v>Bluetooth</v>
      </c>
      <c r="P884" s="22" t="str">
        <f>IFERROR(__xludf.DUMMYFUNCTION("""COMPUTED_VALUE"""),"4GB")</f>
        <v>4GB</v>
      </c>
      <c r="Q884" s="23">
        <f t="shared" si="1"/>
        <v>201.31</v>
      </c>
      <c r="R884" s="22">
        <f t="shared" si="2"/>
        <v>5</v>
      </c>
      <c r="S884" s="23">
        <f t="shared" si="3"/>
        <v>1006.55</v>
      </c>
      <c r="T884" s="22" t="str">
        <f>IFERROR(__xludf.DUMMYFUNCTION("PROPER(TRIM(
  LET(
    texto1, REGEXREPLACE(G884,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"),"Hernán Vallejo")</f>
        <v>Hernán Vallejo</v>
      </c>
      <c r="U884" s="22" t="str">
        <f t="shared" si="4"/>
        <v>f0291dc4-c15b-4bcc-97f0-04c50c8926f6</v>
      </c>
      <c r="V884" s="24" t="str">
        <f t="shared" si="5"/>
        <v>Auriculares Bluetooth 4GB</v>
      </c>
    </row>
    <row r="885" ht="15.75" customHeight="1">
      <c r="A885" s="36">
        <v>45394.0</v>
      </c>
      <c r="B885" s="2" t="s">
        <v>101</v>
      </c>
      <c r="C885" s="2" t="s">
        <v>33</v>
      </c>
      <c r="D885" s="7">
        <v>1083.12</v>
      </c>
      <c r="E885" s="2">
        <v>1.0</v>
      </c>
      <c r="F885" s="7">
        <v>1083.12</v>
      </c>
      <c r="G885" s="2" t="s">
        <v>2959</v>
      </c>
      <c r="H885" s="2" t="s">
        <v>2960</v>
      </c>
      <c r="I885" s="2" t="s">
        <v>2961</v>
      </c>
      <c r="K885" s="25" t="str">
        <f>IFERROR(__xludf.DUMMYFUNCTION("IF(ISBLANK(A885),
  """",
  IF(ISNUMBER(A885),
    TEXT(A885,""dd/mm/yyyy""),
    IF(
      REGEXMATCH(TRIM(A885),""^\d{1,2}/\d{1,2}/\d{4}$""),
      TRIM(A885),
      IFERROR(
        TEXT(DATEVALUE(SUBSTITUTE(SUBSTITUTE(TRIM(A885),""-"",""/""),""."",""/"&amp;""")),""dd/mm/yyyy""),
        TRIM(A885)
      )
    )
  )
)
"),"12/04/2024")</f>
        <v>12/04/2024</v>
      </c>
      <c r="L885" s="26">
        <v>45394.0</v>
      </c>
      <c r="M885" s="27" t="str">
        <f>IFERROR(__xludf.DUMMYFUNCTION("PROPER(TRIM(
  REGEXREPLACE(
    REGEXREPLACE(
      SUBSTITUTE(SUBSTITUTE(SUBSTITUTE(SUBSTITUTE(SUBSTITUTE(SUBSTITUTE(SUBSTITUTE(SUBSTITUTE(SUBSTITUTE(SUBSTITUTE(SUBSTITUTE(
        B885,""√©"",""é""),""√°"",""á""),""√±"",""ñ""),""√≥"",""ó""),""√â"",""é"&amp;"""),""√Å"",""á""),""√ç"",""í""),""√Ç"",""Í""),""√Â"",""é""),""√≠"",""í""),""√º"",""ú""),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85" s="28" t="str">
        <f>IFERROR(__xludf.DUMMYFUNCTION("SPLIT(
  TRIM(
    SUBSTITUTE(
      SUBSTITUTE(
        SUBSTITUTE(
          SUBSTITUTE(
            C885,
            ""√©"", ""é""
          ),
          ""√±"", ""ñ""
        ),
        ""√°"", ""á""
      ),
      ""√≥"", ""ó""
    )
  ),
  ""-""
)
"),"Teléfono")</f>
        <v>Teléfono</v>
      </c>
      <c r="O885" s="28" t="str">
        <f>IFERROR(__xludf.DUMMYFUNCTION("""COMPUTED_VALUE"""),"Gama alta")</f>
        <v>Gama alta</v>
      </c>
      <c r="P885" s="28" t="str">
        <f>IFERROR(__xludf.DUMMYFUNCTION("""COMPUTED_VALUE"""),"4GB")</f>
        <v>4GB</v>
      </c>
      <c r="Q885" s="29">
        <f t="shared" si="1"/>
        <v>1083.12</v>
      </c>
      <c r="R885" s="28">
        <f t="shared" si="2"/>
        <v>1</v>
      </c>
      <c r="S885" s="29">
        <f t="shared" si="3"/>
        <v>1083.12</v>
      </c>
      <c r="T885" s="28" t="str">
        <f>IFERROR(__xludf.DUMMYFUNCTION("PROPER(TRIM(
  LET(
    texto1, REGEXREPLACE(G885,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"),"Miriam Arcelia Casares")</f>
        <v>Miriam Arcelia Casares</v>
      </c>
      <c r="U885" s="28" t="str">
        <f t="shared" si="4"/>
        <v>0147e75f-4472-491b-8912-4bd7d08758ad</v>
      </c>
      <c r="V885" s="30" t="str">
        <f t="shared" si="5"/>
        <v>Teléfono Gama alta 4GB</v>
      </c>
    </row>
    <row r="886" ht="15.75" customHeight="1">
      <c r="A886" s="36">
        <v>45636.0</v>
      </c>
      <c r="B886" s="2" t="s">
        <v>85</v>
      </c>
      <c r="C886" s="2" t="s">
        <v>55</v>
      </c>
      <c r="D886" s="7">
        <v>1969.69</v>
      </c>
      <c r="E886" s="2">
        <v>4.0</v>
      </c>
      <c r="F886" s="7">
        <v>7878.76</v>
      </c>
      <c r="G886" s="2" t="s">
        <v>2962</v>
      </c>
      <c r="H886" s="2" t="s">
        <v>2963</v>
      </c>
      <c r="I886" s="2" t="s">
        <v>2964</v>
      </c>
      <c r="K886" s="19" t="str">
        <f>IFERROR(__xludf.DUMMYFUNCTION("IF(ISBLANK(A886),
  """",
  IF(ISNUMBER(A886),
    TEXT(A886,""dd/mm/yyyy""),
    IF(
      REGEXMATCH(TRIM(A886),""^\d{1,2}/\d{1,2}/\d{4}$""),
      TRIM(A886),
      IFERROR(
        TEXT(DATEVALUE(SUBSTITUTE(SUBSTITUTE(TRIM(A886),""-"",""/""),""."",""/"&amp;""")),""dd/mm/yyyy""),
        TRIM(A886)
      )
    )
  )
)
"),"10/12/2024")</f>
        <v>10/12/2024</v>
      </c>
      <c r="L886" s="20">
        <v>45636.0</v>
      </c>
      <c r="M886" s="21" t="str">
        <f>IFERROR(__xludf.DUMMYFUNCTION("PROPER(TRIM(
  REGEXREPLACE(
    REGEXREPLACE(
      SUBSTITUTE(SUBSTITUTE(SUBSTITUTE(SUBSTITUTE(SUBSTITUTE(SUBSTITUTE(SUBSTITUTE(SUBSTITUTE(SUBSTITUTE(SUBSTITUTE(SUBSTITUTE(
        B886,""√©"",""é""),""√°"",""á""),""√±"",""ñ""),""√≥"",""ó""),""√â"",""é"&amp;"""),""√Å"",""á""),""√ç"",""í""),""√Ç"",""Í""),""√Â"",""é""),""√≠"",""í""),""√º"",""ú""),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86" s="22" t="str">
        <f>IFERROR(__xludf.DUMMYFUNCTION("SPLIT(
  TRIM(
    SUBSTITUTE(
      SUBSTITUTE(
        SUBSTITUTE(
          SUBSTITUTE(
            C886,
            ""√©"", ""é""
          ),
          ""√±"", ""ñ""
        ),
        ""√°"", ""á""
      ),
      ""√≥"", ""ó""
    )
  ),
  ""-""
)
"),"Laptop")</f>
        <v>Laptop</v>
      </c>
      <c r="O886" s="22" t="str">
        <f>IFERROR(__xludf.DUMMYFUNCTION("""COMPUTED_VALUE"""),"Ultraliviana")</f>
        <v>Ultraliviana</v>
      </c>
      <c r="P886" s="22" t="str">
        <f>IFERROR(__xludf.DUMMYFUNCTION("""COMPUTED_VALUE"""),"16GB")</f>
        <v>16GB</v>
      </c>
      <c r="Q886" s="23">
        <f t="shared" si="1"/>
        <v>1969.69</v>
      </c>
      <c r="R886" s="22">
        <f t="shared" si="2"/>
        <v>4</v>
      </c>
      <c r="S886" s="23">
        <f t="shared" si="3"/>
        <v>7878.76</v>
      </c>
      <c r="T886" s="22" t="str">
        <f>IFERROR(__xludf.DUMMYFUNCTION("PROPER(TRIM(
  LET(
    texto1, REGEXREPLACE(G886,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"),"Clara Del Valle")</f>
        <v>Clara Del Valle</v>
      </c>
      <c r="U886" s="22" t="str">
        <f t="shared" si="4"/>
        <v>af657191-85e9-4afd-94e6-b34adf3aa8e2</v>
      </c>
      <c r="V886" s="24" t="str">
        <f t="shared" si="5"/>
        <v>Laptop Ultraliviana 16GB</v>
      </c>
    </row>
    <row r="887" ht="15.75" customHeight="1">
      <c r="A887" s="36">
        <v>45607.0</v>
      </c>
      <c r="B887" s="2" t="s">
        <v>16</v>
      </c>
      <c r="C887" s="2" t="s">
        <v>70</v>
      </c>
      <c r="D887" s="7">
        <v>2498.64</v>
      </c>
      <c r="E887" s="2">
        <v>2.0</v>
      </c>
      <c r="F887" s="7">
        <v>4997.28</v>
      </c>
      <c r="G887" s="2" t="s">
        <v>2965</v>
      </c>
      <c r="H887" s="2" t="s">
        <v>2966</v>
      </c>
      <c r="I887" s="2" t="s">
        <v>2967</v>
      </c>
      <c r="K887" s="25" t="str">
        <f>IFERROR(__xludf.DUMMYFUNCTION("IF(ISBLANK(A887),
  """",
  IF(ISNUMBER(A887),
    TEXT(A887,""dd/mm/yyyy""),
    IF(
      REGEXMATCH(TRIM(A887),""^\d{1,2}/\d{1,2}/\d{4}$""),
      TRIM(A887),
      IFERROR(
        TEXT(DATEVALUE(SUBSTITUTE(SUBSTITUTE(TRIM(A887),""-"",""/""),""."",""/"&amp;""")),""dd/mm/yyyy""),
        TRIM(A887)
      )
    )
  )
)
"),"11/11/2024")</f>
        <v>11/11/2024</v>
      </c>
      <c r="L887" s="26">
        <v>45607.0</v>
      </c>
      <c r="M887" s="27" t="str">
        <f>IFERROR(__xludf.DUMMYFUNCTION("PROPER(TRIM(
  REGEXREPLACE(
    REGEXREPLACE(
      SUBSTITUTE(SUBSTITUTE(SUBSTITUTE(SUBSTITUTE(SUBSTITUTE(SUBSTITUTE(SUBSTITUTE(SUBSTITUTE(SUBSTITUTE(SUBSTITUTE(SUBSTITUTE(
        B887,""√©"",""é""),""√°"",""á""),""√±"",""ñ""),""√≥"",""ó""),""√â"",""é"&amp;"""),""√Å"",""á""),""√ç"",""í""),""√Ç"",""Í""),""√Â"",""é""),""√≠"",""í""),""√º"",""ú""),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87" s="28" t="str">
        <f>IFERROR(__xludf.DUMMYFUNCTION("SPLIT(
  TRIM(
    SUBSTITUTE(
      SUBSTITUTE(
        SUBSTITUTE(
          SUBSTITUTE(
            C887,
            ""√©"", ""é""
          ),
          ""√±"", ""ñ""
        ),
        ""√°"", ""á""
      ),
      ""√≥"", ""ó""
    )
  ),
  ""-""
)
"),"Auriculares")</f>
        <v>Auriculares</v>
      </c>
      <c r="O887" s="28" t="str">
        <f>IFERROR(__xludf.DUMMYFUNCTION("""COMPUTED_VALUE"""),"Con cable")</f>
        <v>Con cable</v>
      </c>
      <c r="P887" s="28" t="str">
        <f>IFERROR(__xludf.DUMMYFUNCTION("""COMPUTED_VALUE"""),"16GB")</f>
        <v>16GB</v>
      </c>
      <c r="Q887" s="29">
        <f t="shared" si="1"/>
        <v>2498.64</v>
      </c>
      <c r="R887" s="28">
        <f t="shared" si="2"/>
        <v>2</v>
      </c>
      <c r="S887" s="29">
        <f t="shared" si="3"/>
        <v>4997.28</v>
      </c>
      <c r="T887" s="28" t="str">
        <f>IFERROR(__xludf.DUMMYFUNCTION("PROPER(TRIM(
  LET(
    texto1, REGEXREPLACE(G887,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"),"Claudio Ana Aguirre Urías")</f>
        <v>Claudio Ana Aguirre Urías</v>
      </c>
      <c r="U887" s="28" t="str">
        <f t="shared" si="4"/>
        <v>594ee58d-dd9f-43f8-bbcc-5f4716f3b8bf</v>
      </c>
      <c r="V887" s="30" t="str">
        <f t="shared" si="5"/>
        <v>Auriculares Con cable 16GB</v>
      </c>
    </row>
    <row r="888" ht="15.75" customHeight="1">
      <c r="A888" s="6">
        <v>45653.0</v>
      </c>
      <c r="B888" s="2" t="s">
        <v>101</v>
      </c>
      <c r="C888" s="2" t="s">
        <v>147</v>
      </c>
      <c r="D888" s="7">
        <v>314.84</v>
      </c>
      <c r="E888" s="2">
        <v>1.0</v>
      </c>
      <c r="F888" s="7">
        <v>314.84</v>
      </c>
      <c r="G888" s="2" t="s">
        <v>2968</v>
      </c>
      <c r="H888" s="2" t="s">
        <v>2969</v>
      </c>
      <c r="I888" s="2" t="s">
        <v>2970</v>
      </c>
      <c r="K888" s="19" t="str">
        <f>IFERROR(__xludf.DUMMYFUNCTION("IF(ISBLANK(A888),
  """",
  IF(ISNUMBER(A888),
    TEXT(A888,""dd/mm/yyyy""),
    IF(
      REGEXMATCH(TRIM(A888),""^\d{1,2}/\d{1,2}/\d{4}$""),
      TRIM(A888),
      IFERROR(
        TEXT(DATEVALUE(SUBSTITUTE(SUBSTITUTE(TRIM(A888),""-"",""/""),""."",""/"&amp;""")),""dd/mm/yyyy""),
        TRIM(A888)
      )
    )
  )
)
"),"27/12/2024")</f>
        <v>27/12/2024</v>
      </c>
      <c r="L888" s="20">
        <v>45653.0</v>
      </c>
      <c r="M888" s="21" t="str">
        <f>IFERROR(__xludf.DUMMYFUNCTION("PROPER(TRIM(
  REGEXREPLACE(
    REGEXREPLACE(
      SUBSTITUTE(SUBSTITUTE(SUBSTITUTE(SUBSTITUTE(SUBSTITUTE(SUBSTITUTE(SUBSTITUTE(SUBSTITUTE(SUBSTITUTE(SUBSTITUTE(SUBSTITUTE(
        B888,""√©"",""é""),""√°"",""á""),""√±"",""ñ""),""√≥"",""ó""),""√â"",""é"&amp;"""),""√Å"",""á""),""√ç"",""í""),""√Ç"",""Í""),""√Â"",""é""),""√≠"",""í""),""√º"",""ú""),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88" s="22" t="str">
        <f>IFERROR(__xludf.DUMMYFUNCTION("SPLIT(
  TRIM(
    SUBSTITUTE(
      SUBSTITUTE(
        SUBSTITUTE(
          SUBSTITUTE(
            C888,
            ""√©"", ""é""
          ),
          ""√±"", ""ñ""
        ),
        ""√°"", ""á""
      ),
      ""√≥"", ""ó""
    )
  ),
  ""-""
)
"),"Laptop")</f>
        <v>Laptop</v>
      </c>
      <c r="O888" s="22" t="str">
        <f>IFERROR(__xludf.DUMMYFUNCTION("""COMPUTED_VALUE"""),"Oficina")</f>
        <v>Oficina</v>
      </c>
      <c r="P888" s="22" t="str">
        <f>IFERROR(__xludf.DUMMYFUNCTION("""COMPUTED_VALUE"""),"16GB")</f>
        <v>16GB</v>
      </c>
      <c r="Q888" s="23">
        <f t="shared" si="1"/>
        <v>314.84</v>
      </c>
      <c r="R888" s="22">
        <f t="shared" si="2"/>
        <v>1</v>
      </c>
      <c r="S888" s="23">
        <f t="shared" si="3"/>
        <v>314.84</v>
      </c>
      <c r="T888" s="22" t="str">
        <f>IFERROR(__xludf.DUMMYFUNCTION("PROPER(TRIM(
  LET(
    texto1, REGEXREPLACE(G888,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"),"Georgina Murillo")</f>
        <v>Georgina Murillo</v>
      </c>
      <c r="U888" s="22" t="str">
        <f t="shared" si="4"/>
        <v>7a491145-3991-4010-a1e5-3b0f7d86b7e3</v>
      </c>
      <c r="V888" s="24" t="str">
        <f t="shared" si="5"/>
        <v>Laptop Oficina 16GB</v>
      </c>
    </row>
    <row r="889" ht="15.75" customHeight="1">
      <c r="A889" s="36">
        <v>45393.0</v>
      </c>
      <c r="B889" s="2" t="s">
        <v>38</v>
      </c>
      <c r="C889" s="2" t="s">
        <v>807</v>
      </c>
      <c r="D889" s="7">
        <v>752.58</v>
      </c>
      <c r="E889" s="2">
        <v>2.0</v>
      </c>
      <c r="F889" s="7">
        <v>1505.16</v>
      </c>
      <c r="G889" s="2" t="s">
        <v>2971</v>
      </c>
      <c r="H889" s="2" t="s">
        <v>2972</v>
      </c>
      <c r="I889" s="2" t="s">
        <v>2973</v>
      </c>
      <c r="K889" s="25" t="str">
        <f>IFERROR(__xludf.DUMMYFUNCTION("IF(ISBLANK(A889),
  """",
  IF(ISNUMBER(A889),
    TEXT(A889,""dd/mm/yyyy""),
    IF(
      REGEXMATCH(TRIM(A889),""^\d{1,2}/\d{1,2}/\d{4}$""),
      TRIM(A889),
      IFERROR(
        TEXT(DATEVALUE(SUBSTITUTE(SUBSTITUTE(TRIM(A889),""-"",""/""),""."",""/"&amp;""")),""dd/mm/yyyy""),
        TRIM(A889)
      )
    )
  )
)
"),"11/04/2024")</f>
        <v>11/04/2024</v>
      </c>
      <c r="L889" s="26">
        <v>45393.0</v>
      </c>
      <c r="M889" s="27" t="str">
        <f>IFERROR(__xludf.DUMMYFUNCTION("PROPER(TRIM(
  REGEXREPLACE(
    REGEXREPLACE(
      SUBSTITUTE(SUBSTITUTE(SUBSTITUTE(SUBSTITUTE(SUBSTITUTE(SUBSTITUTE(SUBSTITUTE(SUBSTITUTE(SUBSTITUTE(SUBSTITUTE(SUBSTITUTE(
        B889,""√©"",""é""),""√°"",""á""),""√±"",""ñ""),""√≥"",""ó""),""√â"",""é"&amp;"""),""√Å"",""á""),""√ç"",""í""),""√Ç"",""Í""),""√Â"",""é""),""√≠"",""í""),""√º"",""ú""),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89" s="28" t="str">
        <f>IFERROR(__xludf.DUMMYFUNCTION("SPLIT(
  TRIM(
    SUBSTITUTE(
      SUBSTITUTE(
        SUBSTITUTE(
          SUBSTITUTE(
            C889,
            ""√©"", ""é""
          ),
          ""√±"", ""ñ""
        ),
        ""√°"", ""á""
      ),
      ""√≥"", ""ó""
    )
  ),
  ""-""
)
"),"Auriculares")</f>
        <v>Auriculares</v>
      </c>
      <c r="O889" s="28" t="str">
        <f>IFERROR(__xludf.DUMMYFUNCTION("""COMPUTED_VALUE"""),"Con cable")</f>
        <v>Con cable</v>
      </c>
      <c r="P889" s="28" t="str">
        <f>IFERROR(__xludf.DUMMYFUNCTION("""COMPUTED_VALUE"""),"4GB")</f>
        <v>4GB</v>
      </c>
      <c r="Q889" s="29">
        <f t="shared" si="1"/>
        <v>752.58</v>
      </c>
      <c r="R889" s="28">
        <f t="shared" si="2"/>
        <v>2</v>
      </c>
      <c r="S889" s="29">
        <f t="shared" si="3"/>
        <v>1505.16</v>
      </c>
      <c r="T889" s="28" t="str">
        <f>IFERROR(__xludf.DUMMYFUNCTION("PROPER(TRIM(
  LET(
    texto1, REGEXREPLACE(G889,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"),"Catalina Matías")</f>
        <v>Catalina Matías</v>
      </c>
      <c r="U889" s="28" t="str">
        <f t="shared" si="4"/>
        <v>d433dfae-3ab4-4d09-9f43-eecdb06eb894</v>
      </c>
      <c r="V889" s="30" t="str">
        <f t="shared" si="5"/>
        <v>Auriculares Con cable 4GB</v>
      </c>
    </row>
    <row r="890" ht="15.75" customHeight="1">
      <c r="A890" s="6">
        <v>45640.0</v>
      </c>
      <c r="B890" s="2" t="s">
        <v>2974</v>
      </c>
      <c r="C890" s="2" t="s">
        <v>11</v>
      </c>
      <c r="D890" s="7">
        <v>2389.97</v>
      </c>
      <c r="E890" s="2">
        <v>3.0</v>
      </c>
      <c r="F890" s="7">
        <v>7169.91</v>
      </c>
      <c r="G890" s="2" t="s">
        <v>2975</v>
      </c>
      <c r="H890" s="2" t="s">
        <v>2976</v>
      </c>
      <c r="I890" s="2" t="s">
        <v>2977</v>
      </c>
      <c r="K890" s="19" t="str">
        <f>IFERROR(__xludf.DUMMYFUNCTION("IF(ISBLANK(A890),
  """",
  IF(ISNUMBER(A890),
    TEXT(A890,""dd/mm/yyyy""),
    IF(
      REGEXMATCH(TRIM(A890),""^\d{1,2}/\d{1,2}/\d{4}$""),
      TRIM(A890),
      IFERROR(
        TEXT(DATEVALUE(SUBSTITUTE(SUBSTITUTE(TRIM(A890),""-"",""/""),""."",""/"&amp;""")),""dd/mm/yyyy""),
        TRIM(A890)
      )
    )
  )
)
"),"14/12/2024")</f>
        <v>14/12/2024</v>
      </c>
      <c r="L890" s="20">
        <v>45640.0</v>
      </c>
      <c r="M890" s="21" t="str">
        <f>IFERROR(__xludf.DUMMYFUNCTION("PROPER(TRIM(
  REGEXREPLACE(
    REGEXREPLACE(
      SUBSTITUTE(SUBSTITUTE(SUBSTITUTE(SUBSTITUTE(SUBSTITUTE(SUBSTITUTE(SUBSTITUTE(SUBSTITUTE(SUBSTITUTE(SUBSTITUTE(SUBSTITUTE(
        B890,""√©"",""é""),""√°"",""á""),""√±"",""ñ""),""√≥"",""ó""),""√â"",""é"&amp;"""),""√Å"",""á""),""√ç"",""í""),""√Ç"",""Í""),""√Â"",""é""),""√≠"",""í""),""√º"",""ú""),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90" s="22" t="str">
        <f>IFERROR(__xludf.DUMMYFUNCTION("SPLIT(
  TRIM(
    SUBSTITUTE(
      SUBSTITUTE(
        SUBSTITUTE(
          SUBSTITUTE(
            C890,
            ""√©"", ""é""
          ),
          ""√±"", ""ñ""
        ),
        ""√°"", ""á""
      ),
      ""√≥"", ""ó""
    )
  ),
  ""-""
)
"),"Auriculares")</f>
        <v>Auriculares</v>
      </c>
      <c r="O890" s="22" t="str">
        <f>IFERROR(__xludf.DUMMYFUNCTION("""COMPUTED_VALUE"""),"Con cable")</f>
        <v>Con cable</v>
      </c>
      <c r="P890" s="22" t="str">
        <f>IFERROR(__xludf.DUMMYFUNCTION("""COMPUTED_VALUE"""),"32GB")</f>
        <v>32GB</v>
      </c>
      <c r="Q890" s="23">
        <f t="shared" si="1"/>
        <v>2389.97</v>
      </c>
      <c r="R890" s="22">
        <f t="shared" si="2"/>
        <v>3</v>
      </c>
      <c r="S890" s="23">
        <f t="shared" si="3"/>
        <v>7169.91</v>
      </c>
      <c r="T890" s="22" t="str">
        <f>IFERROR(__xludf.DUMMYFUNCTION("PROPER(TRIM(
  LET(
    texto1, REGEXREPLACE(G890,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Navarrete")</f>
        <v>María Navarrete</v>
      </c>
      <c r="U890" s="22" t="str">
        <f t="shared" si="4"/>
        <v>d079bbf1-e637-4020-8ca5-6bb2c45c34f9</v>
      </c>
      <c r="V890" s="24" t="str">
        <f t="shared" si="5"/>
        <v>Auriculares Con cable 32GB</v>
      </c>
    </row>
    <row r="891" ht="15.75" customHeight="1">
      <c r="A891" s="36">
        <v>45516.0</v>
      </c>
      <c r="B891" s="2" t="s">
        <v>27</v>
      </c>
      <c r="C891" s="2" t="s">
        <v>28</v>
      </c>
      <c r="D891" s="7">
        <v>2374.3</v>
      </c>
      <c r="E891" s="2">
        <v>1.0</v>
      </c>
      <c r="F891" s="7">
        <v>2374.3</v>
      </c>
      <c r="G891" s="2" t="s">
        <v>2978</v>
      </c>
      <c r="H891" s="2" t="s">
        <v>2979</v>
      </c>
      <c r="I891" s="2" t="s">
        <v>2980</v>
      </c>
      <c r="K891" s="25" t="str">
        <f>IFERROR(__xludf.DUMMYFUNCTION("IF(ISBLANK(A891),
  """",
  IF(ISNUMBER(A891),
    TEXT(A891,""dd/mm/yyyy""),
    IF(
      REGEXMATCH(TRIM(A891),""^\d{1,2}/\d{1,2}/\d{4}$""),
      TRIM(A891),
      IFERROR(
        TEXT(DATEVALUE(SUBSTITUTE(SUBSTITUTE(TRIM(A891),""-"",""/""),""."",""/"&amp;""")),""dd/mm/yyyy""),
        TRIM(A891)
      )
    )
  )
)
"),"12/08/2024")</f>
        <v>12/08/2024</v>
      </c>
      <c r="L891" s="26">
        <v>45516.0</v>
      </c>
      <c r="M891" s="27" t="str">
        <f>IFERROR(__xludf.DUMMYFUNCTION("PROPER(TRIM(
  REGEXREPLACE(
    REGEXREPLACE(
      SUBSTITUTE(SUBSTITUTE(SUBSTITUTE(SUBSTITUTE(SUBSTITUTE(SUBSTITUTE(SUBSTITUTE(SUBSTITUTE(SUBSTITUTE(SUBSTITUTE(SUBSTITUTE(
        B891,""√©"",""é""),""√°"",""á""),""√±"",""ñ""),""√≥"",""ó""),""√â"",""é"&amp;"""),""√Å"",""á""),""√ç"",""í""),""√Ç"",""Í""),""√Â"",""é""),""√≠"",""í""),""√º"",""ú""),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891" s="28" t="str">
        <f>IFERROR(__xludf.DUMMYFUNCTION("SPLIT(
  TRIM(
    SUBSTITUTE(
      SUBSTITUTE(
        SUBSTITUTE(
          SUBSTITUTE(
            C891,
            ""√©"", ""é""
          ),
          ""√±"", ""ñ""
        ),
        ""√°"", ""á""
      ),
      ""√≥"", ""ó""
    )
  ),
  ""-""
)
"),"Tablet")</f>
        <v>Tablet</v>
      </c>
      <c r="O891" s="28" t="str">
        <f>IFERROR(__xludf.DUMMYFUNCTION("""COMPUTED_VALUE"""),"Pro")</f>
        <v>Pro</v>
      </c>
      <c r="P891" s="28" t="str">
        <f>IFERROR(__xludf.DUMMYFUNCTION("""COMPUTED_VALUE"""),"8GB")</f>
        <v>8GB</v>
      </c>
      <c r="Q891" s="29">
        <f t="shared" si="1"/>
        <v>2374.3</v>
      </c>
      <c r="R891" s="28">
        <f t="shared" si="2"/>
        <v>1</v>
      </c>
      <c r="S891" s="29">
        <f t="shared" si="3"/>
        <v>2374.3</v>
      </c>
      <c r="T891" s="28" t="str">
        <f>IFERROR(__xludf.DUMMYFUNCTION("PROPER(TRIM(
  LET(
    texto1, REGEXREPLACE(G891,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"),"Pilar Collado")</f>
        <v>Pilar Collado</v>
      </c>
      <c r="U891" s="28" t="str">
        <f t="shared" si="4"/>
        <v>abd79166-5325-4e3f-92fd-bea6b2eaa389</v>
      </c>
      <c r="V891" s="30" t="str">
        <f t="shared" si="5"/>
        <v>Tablet Pro 8GB</v>
      </c>
    </row>
    <row r="892" ht="15.75" customHeight="1">
      <c r="A892" s="36">
        <v>45392.0</v>
      </c>
      <c r="B892" s="2" t="s">
        <v>38</v>
      </c>
      <c r="C892" s="2" t="s">
        <v>360</v>
      </c>
      <c r="D892" s="7">
        <v>532.35</v>
      </c>
      <c r="E892" s="2">
        <v>3.0</v>
      </c>
      <c r="F892" s="7">
        <v>1597.05</v>
      </c>
      <c r="G892" s="2" t="s">
        <v>2981</v>
      </c>
      <c r="H892" s="2" t="s">
        <v>2982</v>
      </c>
      <c r="I892" s="2" t="s">
        <v>2983</v>
      </c>
      <c r="K892" s="19" t="str">
        <f>IFERROR(__xludf.DUMMYFUNCTION("IF(ISBLANK(A892),
  """",
  IF(ISNUMBER(A892),
    TEXT(A892,""dd/mm/yyyy""),
    IF(
      REGEXMATCH(TRIM(A892),""^\d{1,2}/\d{1,2}/\d{4}$""),
      TRIM(A892),
      IFERROR(
        TEXT(DATEVALUE(SUBSTITUTE(SUBSTITUTE(TRIM(A892),""-"",""/""),""."",""/"&amp;""")),""dd/mm/yyyy""),
        TRIM(A892)
      )
    )
  )
)
"),"10/04/2024")</f>
        <v>10/04/2024</v>
      </c>
      <c r="L892" s="20">
        <v>45392.0</v>
      </c>
      <c r="M892" s="21" t="str">
        <f>IFERROR(__xludf.DUMMYFUNCTION("PROPER(TRIM(
  REGEXREPLACE(
    REGEXREPLACE(
      SUBSTITUTE(SUBSTITUTE(SUBSTITUTE(SUBSTITUTE(SUBSTITUTE(SUBSTITUTE(SUBSTITUTE(SUBSTITUTE(SUBSTITUTE(SUBSTITUTE(SUBSTITUTE(
        B892,""√©"",""é""),""√°"",""á""),""√±"",""ñ""),""√≥"",""ó""),""√â"",""é"&amp;"""),""√Å"",""á""),""√ç"",""í""),""√Ç"",""Í""),""√Â"",""é""),""√≠"",""í""),""√º"",""ú""),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892" s="22" t="str">
        <f>IFERROR(__xludf.DUMMYFUNCTION("SPLIT(
  TRIM(
    SUBSTITUTE(
      SUBSTITUTE(
        SUBSTITUTE(
          SUBSTITUTE(
            C892,
            ""√©"", ""é""
          ),
          ""√±"", ""ñ""
        ),
        ""√°"", ""á""
      ),
      ""√≥"", ""ó""
    )
  ),
  ""-""
)
"),"Tablet")</f>
        <v>Tablet</v>
      </c>
      <c r="O892" s="22" t="str">
        <f>IFERROR(__xludf.DUMMYFUNCTION("""COMPUTED_VALUE"""),"Estándar")</f>
        <v>Estándar</v>
      </c>
      <c r="P892" s="22" t="str">
        <f>IFERROR(__xludf.DUMMYFUNCTION("""COMPUTED_VALUE"""),"8GB")</f>
        <v>8GB</v>
      </c>
      <c r="Q892" s="23">
        <f t="shared" si="1"/>
        <v>532.35</v>
      </c>
      <c r="R892" s="22">
        <f t="shared" si="2"/>
        <v>3</v>
      </c>
      <c r="S892" s="23">
        <f t="shared" si="3"/>
        <v>1597.05</v>
      </c>
      <c r="T892" s="22" t="str">
        <f>IFERROR(__xludf.DUMMYFUNCTION("PROPER(TRIM(
  LET(
    texto1, REGEXREPLACE(G892,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"),"Arcelia Navarrete")</f>
        <v>Arcelia Navarrete</v>
      </c>
      <c r="U892" s="22" t="str">
        <f t="shared" si="4"/>
        <v>67cf0ad8-c53a-447e-84ac-fa1c61feafcc</v>
      </c>
      <c r="V892" s="24" t="str">
        <f t="shared" si="5"/>
        <v>Tablet Estándar 8GB</v>
      </c>
    </row>
    <row r="893" ht="15.75" customHeight="1">
      <c r="A893" s="36">
        <v>45424.0</v>
      </c>
      <c r="B893" s="2" t="s">
        <v>50</v>
      </c>
      <c r="C893" s="2" t="s">
        <v>226</v>
      </c>
      <c r="D893" s="7">
        <v>1490.14</v>
      </c>
      <c r="E893" s="2">
        <v>1.0</v>
      </c>
      <c r="F893" s="7">
        <v>1490.14</v>
      </c>
      <c r="G893" s="2" t="s">
        <v>2984</v>
      </c>
      <c r="H893" s="2" t="s">
        <v>2985</v>
      </c>
      <c r="I893" s="2" t="s">
        <v>2986</v>
      </c>
      <c r="K893" s="25" t="str">
        <f>IFERROR(__xludf.DUMMYFUNCTION("IF(ISBLANK(A893),
  """",
  IF(ISNUMBER(A893),
    TEXT(A893,""dd/mm/yyyy""),
    IF(
      REGEXMATCH(TRIM(A893),""^\d{1,2}/\d{1,2}/\d{4}$""),
      TRIM(A893),
      IFERROR(
        TEXT(DATEVALUE(SUBSTITUTE(SUBSTITUTE(TRIM(A893),""-"",""/""),""."",""/"&amp;""")),""dd/mm/yyyy""),
        TRIM(A893)
      )
    )
  )
)
"),"12/05/2024")</f>
        <v>12/05/2024</v>
      </c>
      <c r="L893" s="26">
        <v>45424.0</v>
      </c>
      <c r="M893" s="27" t="str">
        <f>IFERROR(__xludf.DUMMYFUNCTION("PROPER(TRIM(
  REGEXREPLACE(
    REGEXREPLACE(
      SUBSTITUTE(SUBSTITUTE(SUBSTITUTE(SUBSTITUTE(SUBSTITUTE(SUBSTITUTE(SUBSTITUTE(SUBSTITUTE(SUBSTITUTE(SUBSTITUTE(SUBSTITUTE(
        B893,""√©"",""é""),""√°"",""á""),""√±"",""ñ""),""√≥"",""ó""),""√â"",""é"&amp;"""),""√Å"",""á""),""√ç"",""í""),""√Ç"",""Í""),""√Â"",""é""),""√≠"",""í""),""√º"",""ú""),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93" s="28" t="str">
        <f>IFERROR(__xludf.DUMMYFUNCTION("SPLIT(
  TRIM(
    SUBSTITUTE(
      SUBSTITUTE(
        SUBSTITUTE(
          SUBSTITUTE(
            C893,
            ""√©"", ""é""
          ),
          ""√±"", ""ñ""
        ),
        ""√°"", ""á""
      ),
      ""√≥"", ""ó""
    )
  ),
  ""-""
)
"),"Tablet")</f>
        <v>Tablet</v>
      </c>
      <c r="O893" s="28" t="str">
        <f>IFERROR(__xludf.DUMMYFUNCTION("""COMPUTED_VALUE"""),"Mini")</f>
        <v>Mini</v>
      </c>
      <c r="P893" s="28" t="str">
        <f>IFERROR(__xludf.DUMMYFUNCTION("""COMPUTED_VALUE"""),"16GB")</f>
        <v>16GB</v>
      </c>
      <c r="Q893" s="29">
        <f t="shared" si="1"/>
        <v>1490.14</v>
      </c>
      <c r="R893" s="28">
        <f t="shared" si="2"/>
        <v>1</v>
      </c>
      <c r="S893" s="29">
        <f t="shared" si="3"/>
        <v>1490.14</v>
      </c>
      <c r="T893" s="28" t="str">
        <f>IFERROR(__xludf.DUMMYFUNCTION("PROPER(TRIM(
  LET(
    texto1, REGEXREPLACE(G893,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"),"Amalia Soledad Alba Crespo")</f>
        <v>Amalia Soledad Alba Crespo</v>
      </c>
      <c r="U893" s="28" t="str">
        <f t="shared" si="4"/>
        <v>a7c8d4b5-9c71-48ec-b135-330a9ff45957</v>
      </c>
      <c r="V893" s="30" t="str">
        <f t="shared" si="5"/>
        <v>Tablet Mini 16GB</v>
      </c>
    </row>
    <row r="894" ht="15.75" customHeight="1">
      <c r="A894" s="6">
        <v>45621.0</v>
      </c>
      <c r="B894" s="2" t="s">
        <v>16</v>
      </c>
      <c r="C894" s="2" t="s">
        <v>152</v>
      </c>
      <c r="D894" s="7">
        <v>1390.26</v>
      </c>
      <c r="E894" s="2">
        <v>1.0</v>
      </c>
      <c r="F894" s="7">
        <v>1390.26</v>
      </c>
      <c r="G894" s="2" t="s">
        <v>2987</v>
      </c>
      <c r="H894" s="2" t="s">
        <v>2988</v>
      </c>
      <c r="I894" s="2" t="s">
        <v>2989</v>
      </c>
      <c r="K894" s="19" t="str">
        <f>IFERROR(__xludf.DUMMYFUNCTION("IF(ISBLANK(A894),
  """",
  IF(ISNUMBER(A894),
    TEXT(A894,""dd/mm/yyyy""),
    IF(
      REGEXMATCH(TRIM(A894),""^\d{1,2}/\d{1,2}/\d{4}$""),
      TRIM(A894),
      IFERROR(
        TEXT(DATEVALUE(SUBSTITUTE(SUBSTITUTE(TRIM(A894),""-"",""/""),""."",""/"&amp;""")),""dd/mm/yyyy""),
        TRIM(A894)
      )
    )
  )
)
"),"25/11/2024")</f>
        <v>25/11/2024</v>
      </c>
      <c r="L894" s="20">
        <v>45621.0</v>
      </c>
      <c r="M894" s="21" t="str">
        <f>IFERROR(__xludf.DUMMYFUNCTION("PROPER(TRIM(
  REGEXREPLACE(
    REGEXREPLACE(
      SUBSTITUTE(SUBSTITUTE(SUBSTITUTE(SUBSTITUTE(SUBSTITUTE(SUBSTITUTE(SUBSTITUTE(SUBSTITUTE(SUBSTITUTE(SUBSTITUTE(SUBSTITUTE(
        B894,""√©"",""é""),""√°"",""á""),""√±"",""ñ""),""√≥"",""ó""),""√â"",""é"&amp;"""),""√Å"",""á""),""√ç"",""í""),""√Ç"",""Í""),""√Â"",""é""),""√≠"",""í""),""√º"",""ú""),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94" s="22" t="str">
        <f>IFERROR(__xludf.DUMMYFUNCTION("SPLIT(
  TRIM(
    SUBSTITUTE(
      SUBSTITUTE(
        SUBSTITUTE(
          SUBSTITUTE(
            C894,
            ""√©"", ""é""
          ),
          ""√±"", ""ñ""
        ),
        ""√°"", ""á""
      ),
      ""√≥"", ""ó""
    )
  ),
  ""-""
)
"),"Teléfono")</f>
        <v>Teléfono</v>
      </c>
      <c r="O894" s="22" t="str">
        <f>IFERROR(__xludf.DUMMYFUNCTION("""COMPUTED_VALUE"""),"Gama baja")</f>
        <v>Gama baja</v>
      </c>
      <c r="P894" s="22" t="str">
        <f>IFERROR(__xludf.DUMMYFUNCTION("""COMPUTED_VALUE"""),"4GB")</f>
        <v>4GB</v>
      </c>
      <c r="Q894" s="23">
        <f t="shared" si="1"/>
        <v>1390.26</v>
      </c>
      <c r="R894" s="22">
        <f t="shared" si="2"/>
        <v>1</v>
      </c>
      <c r="S894" s="23">
        <f t="shared" si="3"/>
        <v>1390.26</v>
      </c>
      <c r="T894" s="22" t="str">
        <f>IFERROR(__xludf.DUMMYFUNCTION("PROPER(TRIM(
  LET(
    texto1, REGEXREPLACE(G894,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"),"Benito Montañez")</f>
        <v>Benito Montañez</v>
      </c>
      <c r="U894" s="22" t="str">
        <f t="shared" si="4"/>
        <v>32755cad-98f9-4eda-8888-7def2a0dd965</v>
      </c>
      <c r="V894" s="24" t="str">
        <f t="shared" si="5"/>
        <v>Teléfono Gama baja 4GB</v>
      </c>
    </row>
    <row r="895" ht="15.75" customHeight="1">
      <c r="A895" s="6">
        <v>45639.0</v>
      </c>
      <c r="B895" s="2" t="s">
        <v>16</v>
      </c>
      <c r="C895" s="2" t="s">
        <v>162</v>
      </c>
      <c r="D895" s="7">
        <v>494.57</v>
      </c>
      <c r="E895" s="2">
        <v>1.0</v>
      </c>
      <c r="F895" s="7">
        <v>494.57</v>
      </c>
      <c r="G895" s="2" t="s">
        <v>2990</v>
      </c>
      <c r="H895" s="2" t="s">
        <v>2991</v>
      </c>
      <c r="I895" s="2" t="s">
        <v>2992</v>
      </c>
      <c r="K895" s="25" t="str">
        <f>IFERROR(__xludf.DUMMYFUNCTION("IF(ISBLANK(A895),
  """",
  IF(ISNUMBER(A895),
    TEXT(A895,""dd/mm/yyyy""),
    IF(
      REGEXMATCH(TRIM(A895),""^\d{1,2}/\d{1,2}/\d{4}$""),
      TRIM(A895),
      IFERROR(
        TEXT(DATEVALUE(SUBSTITUTE(SUBSTITUTE(TRIM(A895),""-"",""/""),""."",""/"&amp;""")),""dd/mm/yyyy""),
        TRIM(A895)
      )
    )
  )
)
"),"13/12/2024")</f>
        <v>13/12/2024</v>
      </c>
      <c r="L895" s="26">
        <v>45639.0</v>
      </c>
      <c r="M895" s="27" t="str">
        <f>IFERROR(__xludf.DUMMYFUNCTION("PROPER(TRIM(
  REGEXREPLACE(
    REGEXREPLACE(
      SUBSTITUTE(SUBSTITUTE(SUBSTITUTE(SUBSTITUTE(SUBSTITUTE(SUBSTITUTE(SUBSTITUTE(SUBSTITUTE(SUBSTITUTE(SUBSTITUTE(SUBSTITUTE(
        B895,""√©"",""é""),""√°"",""á""),""√±"",""ñ""),""√≥"",""ó""),""√â"",""é"&amp;"""),""√Å"",""á""),""√ç"",""í""),""√Ç"",""Í""),""√Â"",""é""),""√≠"",""í""),""√º"",""ú""),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895" s="28" t="str">
        <f>IFERROR(__xludf.DUMMYFUNCTION("SPLIT(
  TRIM(
    SUBSTITUTE(
      SUBSTITUTE(
        SUBSTITUTE(
          SUBSTITUTE(
            C895,
            ""√©"", ""é""
          ),
          ""√±"", ""ñ""
        ),
        ""√°"", ""á""
      ),
      ""√≥"", ""ó""
    )
  ),
  ""-""
)
"),"Teléfono")</f>
        <v>Teléfono</v>
      </c>
      <c r="O895" s="28" t="str">
        <f>IFERROR(__xludf.DUMMYFUNCTION("""COMPUTED_VALUE"""),"Gama alta")</f>
        <v>Gama alta</v>
      </c>
      <c r="P895" s="28" t="str">
        <f>IFERROR(__xludf.DUMMYFUNCTION("""COMPUTED_VALUE"""),"16GB")</f>
        <v>16GB</v>
      </c>
      <c r="Q895" s="29">
        <f t="shared" si="1"/>
        <v>494.57</v>
      </c>
      <c r="R895" s="28">
        <f t="shared" si="2"/>
        <v>1</v>
      </c>
      <c r="S895" s="29">
        <f t="shared" si="3"/>
        <v>494.57</v>
      </c>
      <c r="T895" s="28" t="str">
        <f>IFERROR(__xludf.DUMMYFUNCTION("PROPER(TRIM(
  LET(
    texto1, REGEXREPLACE(G895,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 Rolón")</f>
        <v>Emilia Rolón</v>
      </c>
      <c r="U895" s="28" t="str">
        <f t="shared" si="4"/>
        <v>3773bcf2-e766-445f-90a8-279d0bd1b1ae</v>
      </c>
      <c r="V895" s="30" t="str">
        <f t="shared" si="5"/>
        <v>Teléfono Gama alta 16GB</v>
      </c>
    </row>
    <row r="896" ht="15.75" customHeight="1">
      <c r="A896" s="6">
        <v>45588.0</v>
      </c>
      <c r="B896" s="2" t="s">
        <v>85</v>
      </c>
      <c r="C896" s="2" t="s">
        <v>500</v>
      </c>
      <c r="D896" s="7">
        <v>1582.73</v>
      </c>
      <c r="E896" s="2">
        <v>2.0</v>
      </c>
      <c r="F896" s="7">
        <v>3165.46</v>
      </c>
      <c r="G896" s="2" t="s">
        <v>2993</v>
      </c>
      <c r="H896" s="2" t="s">
        <v>2994</v>
      </c>
      <c r="I896" s="2" t="s">
        <v>2995</v>
      </c>
      <c r="K896" s="19" t="str">
        <f>IFERROR(__xludf.DUMMYFUNCTION("IF(ISBLANK(A896),
  """",
  IF(ISNUMBER(A896),
    TEXT(A896,""dd/mm/yyyy""),
    IF(
      REGEXMATCH(TRIM(A896),""^\d{1,2}/\d{1,2}/\d{4}$""),
      TRIM(A896),
      IFERROR(
        TEXT(DATEVALUE(SUBSTITUTE(SUBSTITUTE(TRIM(A896),""-"",""/""),""."",""/"&amp;""")),""dd/mm/yyyy""),
        TRIM(A896)
      )
    )
  )
)
"),"23/10/2024")</f>
        <v>23/10/2024</v>
      </c>
      <c r="L896" s="20">
        <v>45588.0</v>
      </c>
      <c r="M896" s="21" t="str">
        <f>IFERROR(__xludf.DUMMYFUNCTION("PROPER(TRIM(
  REGEXREPLACE(
    REGEXREPLACE(
      SUBSTITUTE(SUBSTITUTE(SUBSTITUTE(SUBSTITUTE(SUBSTITUTE(SUBSTITUTE(SUBSTITUTE(SUBSTITUTE(SUBSTITUTE(SUBSTITUTE(SUBSTITUTE(
        B896,""√©"",""é""),""√°"",""á""),""√±"",""ñ""),""√≥"",""ó""),""√â"",""é"&amp;"""),""√Å"",""á""),""√ç"",""í""),""√Ç"",""Í""),""√Â"",""é""),""√≠"",""í""),""√º"",""ú""),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96" s="22" t="str">
        <f>IFERROR(__xludf.DUMMYFUNCTION("SPLIT(
  TRIM(
    SUBSTITUTE(
      SUBSTITUTE(
        SUBSTITUTE(
          SUBSTITUTE(
            C896,
            ""√©"", ""é""
          ),
          ""√±"", ""ñ""
        ),
        ""√°"", ""á""
      ),
      ""√≥"", ""ó""
    )
  ),
  ""-""
)
"),"Teléfono")</f>
        <v>Teléfono</v>
      </c>
      <c r="O896" s="22" t="str">
        <f>IFERROR(__xludf.DUMMYFUNCTION("""COMPUTED_VALUE"""),"Gama alta")</f>
        <v>Gama alta</v>
      </c>
      <c r="P896" s="22" t="str">
        <f>IFERROR(__xludf.DUMMYFUNCTION("""COMPUTED_VALUE"""),"32GB")</f>
        <v>32GB</v>
      </c>
      <c r="Q896" s="23">
        <f t="shared" si="1"/>
        <v>1582.73</v>
      </c>
      <c r="R896" s="22">
        <f t="shared" si="2"/>
        <v>2</v>
      </c>
      <c r="S896" s="23">
        <f t="shared" si="3"/>
        <v>3165.46</v>
      </c>
      <c r="T896" s="22" t="str">
        <f>IFERROR(__xludf.DUMMYFUNCTION("PROPER(TRIM(
  LET(
    texto1, REGEXREPLACE(G896,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"),"Aldo Lira")</f>
        <v>Aldo Lira</v>
      </c>
      <c r="U896" s="22" t="str">
        <f t="shared" si="4"/>
        <v>757f4440-b8cd-45b5-9b13-c97ac0e0b03c</v>
      </c>
      <c r="V896" s="24" t="str">
        <f t="shared" si="5"/>
        <v>Teléfono Gama alta 32GB</v>
      </c>
    </row>
    <row r="897" ht="15.75" customHeight="1">
      <c r="A897" s="36">
        <v>45608.0</v>
      </c>
      <c r="B897" s="2" t="s">
        <v>85</v>
      </c>
      <c r="C897" s="2" t="s">
        <v>226</v>
      </c>
      <c r="D897" s="7">
        <v>812.41</v>
      </c>
      <c r="E897" s="2">
        <v>5.0</v>
      </c>
      <c r="F897" s="7">
        <v>4062.05</v>
      </c>
      <c r="G897" s="2" t="s">
        <v>2996</v>
      </c>
      <c r="H897" s="2" t="s">
        <v>2997</v>
      </c>
      <c r="I897" s="2" t="s">
        <v>2998</v>
      </c>
      <c r="K897" s="25" t="str">
        <f>IFERROR(__xludf.DUMMYFUNCTION("IF(ISBLANK(A897),
  """",
  IF(ISNUMBER(A897),
    TEXT(A897,""dd/mm/yyyy""),
    IF(
      REGEXMATCH(TRIM(A897),""^\d{1,2}/\d{1,2}/\d{4}$""),
      TRIM(A897),
      IFERROR(
        TEXT(DATEVALUE(SUBSTITUTE(SUBSTITUTE(TRIM(A897),""-"",""/""),""."",""/"&amp;""")),""dd/mm/yyyy""),
        TRIM(A897)
      )
    )
  )
)
"),"12/11/2024")</f>
        <v>12/11/2024</v>
      </c>
      <c r="L897" s="26">
        <v>45608.0</v>
      </c>
      <c r="M897" s="27" t="str">
        <f>IFERROR(__xludf.DUMMYFUNCTION("PROPER(TRIM(
  REGEXREPLACE(
    REGEXREPLACE(
      SUBSTITUTE(SUBSTITUTE(SUBSTITUTE(SUBSTITUTE(SUBSTITUTE(SUBSTITUTE(SUBSTITUTE(SUBSTITUTE(SUBSTITUTE(SUBSTITUTE(SUBSTITUTE(
        B897,""√©"",""é""),""√°"",""á""),""√±"",""ñ""),""√≥"",""ó""),""√â"",""é"&amp;"""),""√Å"",""á""),""√ç"",""í""),""√Ç"",""Í""),""√Â"",""é""),""√≠"",""í""),""√º"",""ú""),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897" s="28" t="str">
        <f>IFERROR(__xludf.DUMMYFUNCTION("SPLIT(
  TRIM(
    SUBSTITUTE(
      SUBSTITUTE(
        SUBSTITUTE(
          SUBSTITUTE(
            C897,
            ""√©"", ""é""
          ),
          ""√±"", ""ñ""
        ),
        ""√°"", ""á""
      ),
      ""√≥"", ""ó""
    )
  ),
  ""-""
)
"),"Tablet")</f>
        <v>Tablet</v>
      </c>
      <c r="O897" s="28" t="str">
        <f>IFERROR(__xludf.DUMMYFUNCTION("""COMPUTED_VALUE"""),"Mini")</f>
        <v>Mini</v>
      </c>
      <c r="P897" s="28" t="str">
        <f>IFERROR(__xludf.DUMMYFUNCTION("""COMPUTED_VALUE"""),"16GB")</f>
        <v>16GB</v>
      </c>
      <c r="Q897" s="29">
        <f t="shared" si="1"/>
        <v>812.41</v>
      </c>
      <c r="R897" s="28">
        <f t="shared" si="2"/>
        <v>5</v>
      </c>
      <c r="S897" s="29">
        <f t="shared" si="3"/>
        <v>4062.05</v>
      </c>
      <c r="T897" s="28" t="str">
        <f>IFERROR(__xludf.DUMMYFUNCTION("PROPER(TRIM(
  LET(
    texto1, REGEXREPLACE(G897,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"),"Elvira Laboy")</f>
        <v>Elvira Laboy</v>
      </c>
      <c r="U897" s="28" t="str">
        <f t="shared" si="4"/>
        <v>29b35046-a922-4222-bb43-d4f2e673f05e</v>
      </c>
      <c r="V897" s="30" t="str">
        <f t="shared" si="5"/>
        <v>Tablet Mini 16GB</v>
      </c>
    </row>
    <row r="898" ht="15.75" customHeight="1">
      <c r="A898" s="6">
        <v>45645.0</v>
      </c>
      <c r="B898" s="2" t="s">
        <v>101</v>
      </c>
      <c r="C898" s="2" t="s">
        <v>80</v>
      </c>
      <c r="D898" s="7">
        <v>432.18</v>
      </c>
      <c r="E898" s="2">
        <v>1.0</v>
      </c>
      <c r="F898" s="7">
        <v>432.18</v>
      </c>
      <c r="G898" s="2" t="s">
        <v>2999</v>
      </c>
      <c r="H898" s="2" t="s">
        <v>3000</v>
      </c>
      <c r="I898" s="2" t="s">
        <v>3001</v>
      </c>
      <c r="K898" s="19" t="str">
        <f>IFERROR(__xludf.DUMMYFUNCTION("IF(ISBLANK(A898),
  """",
  IF(ISNUMBER(A898),
    TEXT(A898,""dd/mm/yyyy""),
    IF(
      REGEXMATCH(TRIM(A898),""^\d{1,2}/\d{1,2}/\d{4}$""),
      TRIM(A898),
      IFERROR(
        TEXT(DATEVALUE(SUBSTITUTE(SUBSTITUTE(TRIM(A898),""-"",""/""),""."",""/"&amp;""")),""dd/mm/yyyy""),
        TRIM(A898)
      )
    )
  )
)
"),"19/12/2024")</f>
        <v>19/12/2024</v>
      </c>
      <c r="L898" s="20">
        <v>45645.0</v>
      </c>
      <c r="M898" s="21" t="str">
        <f>IFERROR(__xludf.DUMMYFUNCTION("PROPER(TRIM(
  REGEXREPLACE(
    REGEXREPLACE(
      SUBSTITUTE(SUBSTITUTE(SUBSTITUTE(SUBSTITUTE(SUBSTITUTE(SUBSTITUTE(SUBSTITUTE(SUBSTITUTE(SUBSTITUTE(SUBSTITUTE(SUBSTITUTE(
        B898,""√©"",""é""),""√°"",""á""),""√±"",""ñ""),""√≥"",""ó""),""√â"",""é"&amp;"""),""√Å"",""á""),""√ç"",""í""),""√Ç"",""Í""),""√Â"",""é""),""√≠"",""í""),""√º"",""ú""),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898" s="22" t="str">
        <f>IFERROR(__xludf.DUMMYFUNCTION("SPLIT(
  TRIM(
    SUBSTITUTE(
      SUBSTITUTE(
        SUBSTITUTE(
          SUBSTITUTE(
            C898,
            ""√©"", ""é""
          ),
          ""√±"", ""ñ""
        ),
        ""√°"", ""á""
      ),
      ""√≥"", ""ó""
    )
  ),
  ""-""
)
"),"Teléfono")</f>
        <v>Teléfono</v>
      </c>
      <c r="O898" s="22" t="str">
        <f>IFERROR(__xludf.DUMMYFUNCTION("""COMPUTED_VALUE"""),"Gama baja")</f>
        <v>Gama baja</v>
      </c>
      <c r="P898" s="22" t="str">
        <f>IFERROR(__xludf.DUMMYFUNCTION("""COMPUTED_VALUE"""),"16GB")</f>
        <v>16GB</v>
      </c>
      <c r="Q898" s="23">
        <f t="shared" si="1"/>
        <v>432.18</v>
      </c>
      <c r="R898" s="22">
        <f t="shared" si="2"/>
        <v>1</v>
      </c>
      <c r="S898" s="23">
        <f t="shared" si="3"/>
        <v>432.18</v>
      </c>
      <c r="T898" s="22" t="str">
        <f>IFERROR(__xludf.DUMMYFUNCTION("PROPER(TRIM(
  LET(
    texto1, REGEXREPLACE(G898,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"),"Evelio Pilar Urbina")</f>
        <v>Evelio Pilar Urbina</v>
      </c>
      <c r="U898" s="22" t="str">
        <f t="shared" si="4"/>
        <v>1f4ac01b-7a1a-4d64-ae6d-a13b0dd45606</v>
      </c>
      <c r="V898" s="24" t="str">
        <f t="shared" si="5"/>
        <v>Teléfono Gama baja 16GB</v>
      </c>
    </row>
    <row r="899" ht="15.75" customHeight="1">
      <c r="A899" s="36">
        <v>45637.0</v>
      </c>
      <c r="B899" s="2" t="s">
        <v>50</v>
      </c>
      <c r="C899" s="2" t="s">
        <v>152</v>
      </c>
      <c r="D899" s="7">
        <v>1603.02</v>
      </c>
      <c r="E899" s="2">
        <v>4.0</v>
      </c>
      <c r="F899" s="7">
        <v>6412.08</v>
      </c>
      <c r="G899" s="2" t="s">
        <v>3002</v>
      </c>
      <c r="H899" s="2" t="s">
        <v>3003</v>
      </c>
      <c r="I899" s="2" t="s">
        <v>3004</v>
      </c>
      <c r="K899" s="25" t="str">
        <f>IFERROR(__xludf.DUMMYFUNCTION("IF(ISBLANK(A899),
  """",
  IF(ISNUMBER(A899),
    TEXT(A899,""dd/mm/yyyy""),
    IF(
      REGEXMATCH(TRIM(A899),""^\d{1,2}/\d{1,2}/\d{4}$""),
      TRIM(A899),
      IFERROR(
        TEXT(DATEVALUE(SUBSTITUTE(SUBSTITUTE(TRIM(A899),""-"",""/""),""."",""/"&amp;""")),""dd/mm/yyyy""),
        TRIM(A899)
      )
    )
  )
)
"),"11/12/2024")</f>
        <v>11/12/2024</v>
      </c>
      <c r="L899" s="26">
        <v>45637.0</v>
      </c>
      <c r="M899" s="27" t="str">
        <f>IFERROR(__xludf.DUMMYFUNCTION("PROPER(TRIM(
  REGEXREPLACE(
    REGEXREPLACE(
      SUBSTITUTE(SUBSTITUTE(SUBSTITUTE(SUBSTITUTE(SUBSTITUTE(SUBSTITUTE(SUBSTITUTE(SUBSTITUTE(SUBSTITUTE(SUBSTITUTE(SUBSTITUTE(
        B899,""√©"",""é""),""√°"",""á""),""√±"",""ñ""),""√≥"",""ó""),""√â"",""é"&amp;"""),""√Å"",""á""),""√ç"",""í""),""√Ç"",""Í""),""√Â"",""é""),""√≠"",""í""),""√º"",""ú""),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899" s="28" t="str">
        <f>IFERROR(__xludf.DUMMYFUNCTION("SPLIT(
  TRIM(
    SUBSTITUTE(
      SUBSTITUTE(
        SUBSTITUTE(
          SUBSTITUTE(
            C899,
            ""√©"", ""é""
          ),
          ""√±"", ""ñ""
        ),
        ""√°"", ""á""
      ),
      ""√≥"", ""ó""
    )
  ),
  ""-""
)
"),"Teléfono")</f>
        <v>Teléfono</v>
      </c>
      <c r="O899" s="28" t="str">
        <f>IFERROR(__xludf.DUMMYFUNCTION("""COMPUTED_VALUE"""),"Gama baja")</f>
        <v>Gama baja</v>
      </c>
      <c r="P899" s="28" t="str">
        <f>IFERROR(__xludf.DUMMYFUNCTION("""COMPUTED_VALUE"""),"4GB")</f>
        <v>4GB</v>
      </c>
      <c r="Q899" s="29">
        <f t="shared" si="1"/>
        <v>1603.02</v>
      </c>
      <c r="R899" s="28">
        <f t="shared" si="2"/>
        <v>4</v>
      </c>
      <c r="S899" s="29">
        <f t="shared" si="3"/>
        <v>6412.08</v>
      </c>
      <c r="T899" s="28" t="str">
        <f>IFERROR(__xludf.DUMMYFUNCTION("PROPER(TRIM(
  LET(
    texto1, REGEXREPLACE(G899,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"),"Indira Orozco Cuellar")</f>
        <v>Indira Orozco Cuellar</v>
      </c>
      <c r="U899" s="28" t="str">
        <f t="shared" si="4"/>
        <v>a2ab5f05-64d9-4b5f-a606-40a5bd1bb17c</v>
      </c>
      <c r="V899" s="30" t="str">
        <f t="shared" si="5"/>
        <v>Teléfono Gama baja 4GB</v>
      </c>
    </row>
    <row r="900" ht="15.75" customHeight="1">
      <c r="A900" s="6">
        <v>45656.0</v>
      </c>
      <c r="B900" s="2" t="s">
        <v>101</v>
      </c>
      <c r="C900" s="2" t="s">
        <v>147</v>
      </c>
      <c r="D900" s="7">
        <v>2019.54</v>
      </c>
      <c r="E900" s="2">
        <v>3.0</v>
      </c>
      <c r="F900" s="7">
        <v>6058.62</v>
      </c>
      <c r="G900" s="2" t="s">
        <v>3005</v>
      </c>
      <c r="H900" s="2" t="s">
        <v>3006</v>
      </c>
      <c r="I900" s="2" t="s">
        <v>3007</v>
      </c>
      <c r="K900" s="19" t="str">
        <f>IFERROR(__xludf.DUMMYFUNCTION("IF(ISBLANK(A900),
  """",
  IF(ISNUMBER(A900),
    TEXT(A900,""dd/mm/yyyy""),
    IF(
      REGEXMATCH(TRIM(A900),""^\d{1,2}/\d{1,2}/\d{4}$""),
      TRIM(A900),
      IFERROR(
        TEXT(DATEVALUE(SUBSTITUTE(SUBSTITUTE(TRIM(A900),""-"",""/""),""."",""/"&amp;""")),""dd/mm/yyyy""),
        TRIM(A900)
      )
    )
  )
)
"),"30/12/2024")</f>
        <v>30/12/2024</v>
      </c>
      <c r="L900" s="20">
        <v>45656.0</v>
      </c>
      <c r="M900" s="21" t="str">
        <f>IFERROR(__xludf.DUMMYFUNCTION("PROPER(TRIM(
  REGEXREPLACE(
    REGEXREPLACE(
      SUBSTITUTE(SUBSTITUTE(SUBSTITUTE(SUBSTITUTE(SUBSTITUTE(SUBSTITUTE(SUBSTITUTE(SUBSTITUTE(SUBSTITUTE(SUBSTITUTE(SUBSTITUTE(
        B900,""√©"",""é""),""√°"",""á""),""√±"",""ñ""),""√≥"",""ó""),""√â"",""é"&amp;"""),""√Å"",""á""),""√ç"",""í""),""√Ç"",""Í""),""√Â"",""é""),""√≠"",""í""),""√º"",""ú""),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00" s="22" t="str">
        <f>IFERROR(__xludf.DUMMYFUNCTION("SPLIT(
  TRIM(
    SUBSTITUTE(
      SUBSTITUTE(
        SUBSTITUTE(
          SUBSTITUTE(
            C900,
            ""√©"", ""é""
          ),
          ""√±"", ""ñ""
        ),
        ""√°"", ""á""
      ),
      ""√≥"", ""ó""
    )
  ),
  ""-""
)
"),"Laptop")</f>
        <v>Laptop</v>
      </c>
      <c r="O900" s="22" t="str">
        <f>IFERROR(__xludf.DUMMYFUNCTION("""COMPUTED_VALUE"""),"Oficina")</f>
        <v>Oficina</v>
      </c>
      <c r="P900" s="22" t="str">
        <f>IFERROR(__xludf.DUMMYFUNCTION("""COMPUTED_VALUE"""),"16GB")</f>
        <v>16GB</v>
      </c>
      <c r="Q900" s="23">
        <f t="shared" si="1"/>
        <v>2019.54</v>
      </c>
      <c r="R900" s="22">
        <f t="shared" si="2"/>
        <v>3</v>
      </c>
      <c r="S900" s="23">
        <f t="shared" si="3"/>
        <v>6058.62</v>
      </c>
      <c r="T900" s="22" t="str">
        <f>IFERROR(__xludf.DUMMYFUNCTION("PROPER(TRIM(
  LET(
    texto1, REGEXREPLACE(G900,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"),"Gilberto Fajardo Esquivel")</f>
        <v>Gilberto Fajardo Esquivel</v>
      </c>
      <c r="U900" s="22" t="str">
        <f t="shared" si="4"/>
        <v>5cfc2d19-d3e9-408a-82b3-9e72a480e588</v>
      </c>
      <c r="V900" s="24" t="str">
        <f t="shared" si="5"/>
        <v>Laptop Oficina 16GB</v>
      </c>
    </row>
    <row r="901" ht="15.75" customHeight="1">
      <c r="A901" s="6">
        <v>45580.0</v>
      </c>
      <c r="B901" s="2" t="s">
        <v>27</v>
      </c>
      <c r="C901" s="2" t="s">
        <v>235</v>
      </c>
      <c r="D901" s="7">
        <v>1896.1</v>
      </c>
      <c r="E901" s="2">
        <v>2.0</v>
      </c>
      <c r="F901" s="7">
        <v>3792.2</v>
      </c>
      <c r="G901" s="2" t="s">
        <v>3008</v>
      </c>
      <c r="H901" s="2" t="s">
        <v>3009</v>
      </c>
      <c r="I901" s="2" t="s">
        <v>3010</v>
      </c>
      <c r="K901" s="25" t="str">
        <f>IFERROR(__xludf.DUMMYFUNCTION("IF(ISBLANK(A901),
  """",
  IF(ISNUMBER(A901),
    TEXT(A901,""dd/mm/yyyy""),
    IF(
      REGEXMATCH(TRIM(A901),""^\d{1,2}/\d{1,2}/\d{4}$""),
      TRIM(A901),
      IFERROR(
        TEXT(DATEVALUE(SUBSTITUTE(SUBSTITUTE(TRIM(A901),""-"",""/""),""."",""/"&amp;""")),""dd/mm/yyyy""),
        TRIM(A901)
      )
    )
  )
)
"),"15/10/2024")</f>
        <v>15/10/2024</v>
      </c>
      <c r="L901" s="26">
        <v>45580.0</v>
      </c>
      <c r="M901" s="27" t="str">
        <f>IFERROR(__xludf.DUMMYFUNCTION("PROPER(TRIM(
  REGEXREPLACE(
    REGEXREPLACE(
      SUBSTITUTE(SUBSTITUTE(SUBSTITUTE(SUBSTITUTE(SUBSTITUTE(SUBSTITUTE(SUBSTITUTE(SUBSTITUTE(SUBSTITUTE(SUBSTITUTE(SUBSTITUTE(
        B901,""√©"",""é""),""√°"",""á""),""√±"",""ñ""),""√≥"",""ó""),""√â"",""é"&amp;"""),""√Å"",""á""),""√ç"",""í""),""√Ç"",""Í""),""√Â"",""é""),""√≠"",""í""),""√º"",""ú""),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01" s="28" t="str">
        <f>IFERROR(__xludf.DUMMYFUNCTION("SPLIT(
  TRIM(
    SUBSTITUTE(
      SUBSTITUTE(
        SUBSTITUTE(
          SUBSTITUTE(
            C901,
            ""√©"", ""é""
          ),
          ""√±"", ""ñ""
        ),
        ""√°"", ""á""
      ),
      ""√≥"", ""ó""
    )
  ),
  ""-""
)
"),"Tablet")</f>
        <v>Tablet</v>
      </c>
      <c r="O901" s="28" t="str">
        <f>IFERROR(__xludf.DUMMYFUNCTION("""COMPUTED_VALUE"""),"Estándar")</f>
        <v>Estándar</v>
      </c>
      <c r="P901" s="28" t="str">
        <f>IFERROR(__xludf.DUMMYFUNCTION("""COMPUTED_VALUE"""),"4GB")</f>
        <v>4GB</v>
      </c>
      <c r="Q901" s="29">
        <f t="shared" si="1"/>
        <v>1896.1</v>
      </c>
      <c r="R901" s="28">
        <f t="shared" si="2"/>
        <v>2</v>
      </c>
      <c r="S901" s="29">
        <f t="shared" si="3"/>
        <v>3792.2</v>
      </c>
      <c r="T901" s="28" t="str">
        <f>IFERROR(__xludf.DUMMYFUNCTION("PROPER(TRIM(
  LET(
    texto1, REGEXREPLACE(G901,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"),"Elena Ballesteros")</f>
        <v>Elena Ballesteros</v>
      </c>
      <c r="U901" s="28" t="str">
        <f t="shared" si="4"/>
        <v>36cc47e7-ea9e-410e-ab8c-53adeed2d905</v>
      </c>
      <c r="V901" s="30" t="str">
        <f t="shared" si="5"/>
        <v>Tablet Estándar 4GB</v>
      </c>
    </row>
    <row r="902" ht="15.75" customHeight="1">
      <c r="A902" s="6">
        <v>45578.0</v>
      </c>
      <c r="B902" s="2" t="s">
        <v>27</v>
      </c>
      <c r="C902" s="2" t="s">
        <v>39</v>
      </c>
      <c r="D902" s="7">
        <v>226.52</v>
      </c>
      <c r="E902" s="2">
        <v>2.0</v>
      </c>
      <c r="F902" s="7">
        <v>453.04</v>
      </c>
      <c r="G902" s="2" t="s">
        <v>3011</v>
      </c>
      <c r="H902" s="2" t="s">
        <v>3012</v>
      </c>
      <c r="I902" s="2" t="s">
        <v>3013</v>
      </c>
      <c r="K902" s="19" t="str">
        <f>IFERROR(__xludf.DUMMYFUNCTION("IF(ISBLANK(A902),
  """",
  IF(ISNUMBER(A902),
    TEXT(A902,""dd/mm/yyyy""),
    IF(
      REGEXMATCH(TRIM(A902),""^\d{1,2}/\d{1,2}/\d{4}$""),
      TRIM(A902),
      IFERROR(
        TEXT(DATEVALUE(SUBSTITUTE(SUBSTITUTE(TRIM(A902),""-"",""/""),""."",""/"&amp;""")),""dd/mm/yyyy""),
        TRIM(A902)
      )
    )
  )
)
"),"13/10/2024")</f>
        <v>13/10/2024</v>
      </c>
      <c r="L902" s="20">
        <v>45578.0</v>
      </c>
      <c r="M902" s="21" t="str">
        <f>IFERROR(__xludf.DUMMYFUNCTION("PROPER(TRIM(
  REGEXREPLACE(
    REGEXREPLACE(
      SUBSTITUTE(SUBSTITUTE(SUBSTITUTE(SUBSTITUTE(SUBSTITUTE(SUBSTITUTE(SUBSTITUTE(SUBSTITUTE(SUBSTITUTE(SUBSTITUTE(SUBSTITUTE(
        B902,""√©"",""é""),""√°"",""á""),""√±"",""ñ""),""√≥"",""ó""),""√â"",""é"&amp;"""),""√Å"",""á""),""√ç"",""í""),""√Ç"",""Í""),""√Â"",""é""),""√≠"",""í""),""√º"",""ú""),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02" s="22" t="str">
        <f>IFERROR(__xludf.DUMMYFUNCTION("SPLIT(
  TRIM(
    SUBSTITUTE(
      SUBSTITUTE(
        SUBSTITUTE(
          SUBSTITUTE(
            C902,
            ""√©"", ""é""
          ),
          ""√±"", ""ñ""
        ),
        ""√°"", ""á""
      ),
      ""√≥"", ""ó""
    )
  ),
  ""-""
)
"),"Teléfono")</f>
        <v>Teléfono</v>
      </c>
      <c r="O902" s="22" t="str">
        <f>IFERROR(__xludf.DUMMYFUNCTION("""COMPUTED_VALUE"""),"Gama alta")</f>
        <v>Gama alta</v>
      </c>
      <c r="P902" s="22" t="str">
        <f>IFERROR(__xludf.DUMMYFUNCTION("""COMPUTED_VALUE"""),"8GB")</f>
        <v>8GB</v>
      </c>
      <c r="Q902" s="23">
        <f t="shared" si="1"/>
        <v>226.52</v>
      </c>
      <c r="R902" s="22">
        <f t="shared" si="2"/>
        <v>2</v>
      </c>
      <c r="S902" s="23">
        <f t="shared" si="3"/>
        <v>453.04</v>
      </c>
      <c r="T902" s="22" t="str">
        <f>IFERROR(__xludf.DUMMYFUNCTION("PROPER(TRIM(
  LET(
    texto1, REGEXREPLACE(G902,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"),"Cecilia Gurule")</f>
        <v>Cecilia Gurule</v>
      </c>
      <c r="U902" s="22" t="str">
        <f t="shared" si="4"/>
        <v>13857721-e31a-444e-a2c2-774566eb5f26</v>
      </c>
      <c r="V902" s="24" t="str">
        <f t="shared" si="5"/>
        <v>Teléfono Gama alta 8GB</v>
      </c>
    </row>
    <row r="903" ht="15.75" customHeight="1">
      <c r="A903" s="6">
        <v>45651.0</v>
      </c>
      <c r="B903" s="2" t="s">
        <v>101</v>
      </c>
      <c r="C903" s="2" t="s">
        <v>33</v>
      </c>
      <c r="D903" s="7">
        <v>2334.37</v>
      </c>
      <c r="E903" s="2">
        <v>1.0</v>
      </c>
      <c r="F903" s="7">
        <v>2334.37</v>
      </c>
      <c r="G903" s="2" t="s">
        <v>3014</v>
      </c>
      <c r="H903" s="2" t="s">
        <v>3015</v>
      </c>
      <c r="I903" s="2" t="s">
        <v>3016</v>
      </c>
      <c r="K903" s="25" t="str">
        <f>IFERROR(__xludf.DUMMYFUNCTION("IF(ISBLANK(A903),
  """",
  IF(ISNUMBER(A903),
    TEXT(A903,""dd/mm/yyyy""),
    IF(
      REGEXMATCH(TRIM(A903),""^\d{1,2}/\d{1,2}/\d{4}$""),
      TRIM(A903),
      IFERROR(
        TEXT(DATEVALUE(SUBSTITUTE(SUBSTITUTE(TRIM(A903),""-"",""/""),""."",""/"&amp;""")),""dd/mm/yyyy""),
        TRIM(A903)
      )
    )
  )
)
"),"25/12/2024")</f>
        <v>25/12/2024</v>
      </c>
      <c r="L903" s="26">
        <v>45651.0</v>
      </c>
      <c r="M903" s="27" t="str">
        <f>IFERROR(__xludf.DUMMYFUNCTION("PROPER(TRIM(
  REGEXREPLACE(
    REGEXREPLACE(
      SUBSTITUTE(SUBSTITUTE(SUBSTITUTE(SUBSTITUTE(SUBSTITUTE(SUBSTITUTE(SUBSTITUTE(SUBSTITUTE(SUBSTITUTE(SUBSTITUTE(SUBSTITUTE(
        B903,""√©"",""é""),""√°"",""á""),""√±"",""ñ""),""√≥"",""ó""),""√â"",""é"&amp;"""),""√Å"",""á""),""√ç"",""í""),""√Ç"",""Í""),""√Â"",""é""),""√≠"",""í""),""√º"",""ú""),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03" s="28" t="str">
        <f>IFERROR(__xludf.DUMMYFUNCTION("SPLIT(
  TRIM(
    SUBSTITUTE(
      SUBSTITUTE(
        SUBSTITUTE(
          SUBSTITUTE(
            C903,
            ""√©"", ""é""
          ),
          ""√±"", ""ñ""
        ),
        ""√°"", ""á""
      ),
      ""√≥"", ""ó""
    )
  ),
  ""-""
)
"),"Teléfono")</f>
        <v>Teléfono</v>
      </c>
      <c r="O903" s="28" t="str">
        <f>IFERROR(__xludf.DUMMYFUNCTION("""COMPUTED_VALUE"""),"Gama alta")</f>
        <v>Gama alta</v>
      </c>
      <c r="P903" s="28" t="str">
        <f>IFERROR(__xludf.DUMMYFUNCTION("""COMPUTED_VALUE"""),"4GB")</f>
        <v>4GB</v>
      </c>
      <c r="Q903" s="29">
        <f t="shared" si="1"/>
        <v>2334.37</v>
      </c>
      <c r="R903" s="28">
        <f t="shared" si="2"/>
        <v>1</v>
      </c>
      <c r="S903" s="29">
        <f t="shared" si="3"/>
        <v>2334.37</v>
      </c>
      <c r="T903" s="28" t="str">
        <f>IFERROR(__xludf.DUMMYFUNCTION("PROPER(TRIM(
  LET(
    texto1, REGEXREPLACE(G903,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"),"Esmeralda Eugenia Ceja")</f>
        <v>Esmeralda Eugenia Ceja</v>
      </c>
      <c r="U903" s="28" t="str">
        <f t="shared" si="4"/>
        <v>37a9f5be-b24a-4f6c-97bd-9b822a31fa1d</v>
      </c>
      <c r="V903" s="30" t="str">
        <f t="shared" si="5"/>
        <v>Teléfono Gama alta 4GB</v>
      </c>
    </row>
    <row r="904" ht="15.75" customHeight="1">
      <c r="A904" s="36">
        <v>45333.0</v>
      </c>
      <c r="B904" s="2" t="s">
        <v>27</v>
      </c>
      <c r="C904" s="2" t="s">
        <v>348</v>
      </c>
      <c r="D904" s="7">
        <v>2180.21</v>
      </c>
      <c r="E904" s="2">
        <v>3.0</v>
      </c>
      <c r="F904" s="7">
        <v>6540.63</v>
      </c>
      <c r="G904" s="2" t="s">
        <v>3017</v>
      </c>
      <c r="H904" s="2" t="s">
        <v>3018</v>
      </c>
      <c r="I904" s="2" t="s">
        <v>3019</v>
      </c>
      <c r="K904" s="19" t="str">
        <f>IFERROR(__xludf.DUMMYFUNCTION("IF(ISBLANK(A904),
  """",
  IF(ISNUMBER(A904),
    TEXT(A904,""dd/mm/yyyy""),
    IF(
      REGEXMATCH(TRIM(A904),""^\d{1,2}/\d{1,2}/\d{4}$""),
      TRIM(A904),
      IFERROR(
        TEXT(DATEVALUE(SUBSTITUTE(SUBSTITUTE(TRIM(A904),""-"",""/""),""."",""/"&amp;""")),""dd/mm/yyyy""),
        TRIM(A904)
      )
    )
  )
)
"),"11/02/2024")</f>
        <v>11/02/2024</v>
      </c>
      <c r="L904" s="20">
        <v>45333.0</v>
      </c>
      <c r="M904" s="21" t="str">
        <f>IFERROR(__xludf.DUMMYFUNCTION("PROPER(TRIM(
  REGEXREPLACE(
    REGEXREPLACE(
      SUBSTITUTE(SUBSTITUTE(SUBSTITUTE(SUBSTITUTE(SUBSTITUTE(SUBSTITUTE(SUBSTITUTE(SUBSTITUTE(SUBSTITUTE(SUBSTITUTE(SUBSTITUTE(
        B904,""√©"",""é""),""√°"",""á""),""√±"",""ñ""),""√≥"",""ó""),""√â"",""é"&amp;"""),""√Å"",""á""),""√ç"",""í""),""√Ç"",""Í""),""√Â"",""é""),""√≠"",""í""),""√º"",""ú""),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04" s="22" t="str">
        <f>IFERROR(__xludf.DUMMYFUNCTION("SPLIT(
  TRIM(
    SUBSTITUTE(
      SUBSTITUTE(
        SUBSTITUTE(
          SUBSTITUTE(
            C904,
            ""√©"", ""é""
          ),
          ""√±"", ""ñ""
        ),
        ""√°"", ""á""
      ),
      ""√≥"", ""ó""
    )
  ),
  ""-""
)
"),"Teléfono")</f>
        <v>Teléfono</v>
      </c>
      <c r="O904" s="22" t="str">
        <f>IFERROR(__xludf.DUMMYFUNCTION("""COMPUTED_VALUE"""),"Gama media")</f>
        <v>Gama media</v>
      </c>
      <c r="P904" s="22" t="str">
        <f>IFERROR(__xludf.DUMMYFUNCTION("""COMPUTED_VALUE"""),"8GB")</f>
        <v>8GB</v>
      </c>
      <c r="Q904" s="23">
        <f t="shared" si="1"/>
        <v>2180.21</v>
      </c>
      <c r="R904" s="22">
        <f t="shared" si="2"/>
        <v>3</v>
      </c>
      <c r="S904" s="23">
        <f t="shared" si="3"/>
        <v>6540.63</v>
      </c>
      <c r="T904" s="22" t="str">
        <f>IFERROR(__xludf.DUMMYFUNCTION("PROPER(TRIM(
  LET(
    texto1, REGEXREPLACE(G904,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"),"Rocío Eugenio Villagómez")</f>
        <v>Rocío Eugenio Villagómez</v>
      </c>
      <c r="U904" s="22" t="str">
        <f t="shared" si="4"/>
        <v>a9224dd3-b260-4439-9c91-63c444209873</v>
      </c>
      <c r="V904" s="24" t="str">
        <f t="shared" si="5"/>
        <v>Teléfono Gama media 8GB</v>
      </c>
    </row>
    <row r="905" ht="15.75" customHeight="1">
      <c r="A905" s="36">
        <v>45547.0</v>
      </c>
      <c r="B905" s="2" t="s">
        <v>38</v>
      </c>
      <c r="C905" s="2" t="s">
        <v>508</v>
      </c>
      <c r="D905" s="7">
        <v>2439.67</v>
      </c>
      <c r="E905" s="2">
        <v>2.0</v>
      </c>
      <c r="F905" s="7">
        <v>4879.34</v>
      </c>
      <c r="G905" s="2" t="s">
        <v>3020</v>
      </c>
      <c r="H905" s="2" t="s">
        <v>3021</v>
      </c>
      <c r="I905" s="2" t="s">
        <v>3022</v>
      </c>
      <c r="K905" s="25" t="str">
        <f>IFERROR(__xludf.DUMMYFUNCTION("IF(ISBLANK(A905),
  """",
  IF(ISNUMBER(A905),
    TEXT(A905,""dd/mm/yyyy""),
    IF(
      REGEXMATCH(TRIM(A905),""^\d{1,2}/\d{1,2}/\d{4}$""),
      TRIM(A905),
      IFERROR(
        TEXT(DATEVALUE(SUBSTITUTE(SUBSTITUTE(TRIM(A905),""-"",""/""),""."",""/"&amp;""")),""dd/mm/yyyy""),
        TRIM(A905)
      )
    )
  )
)
"),"12/09/2024")</f>
        <v>12/09/2024</v>
      </c>
      <c r="L905" s="26">
        <v>45547.0</v>
      </c>
      <c r="M905" s="27" t="str">
        <f>IFERROR(__xludf.DUMMYFUNCTION("PROPER(TRIM(
  REGEXREPLACE(
    REGEXREPLACE(
      SUBSTITUTE(SUBSTITUTE(SUBSTITUTE(SUBSTITUTE(SUBSTITUTE(SUBSTITUTE(SUBSTITUTE(SUBSTITUTE(SUBSTITUTE(SUBSTITUTE(SUBSTITUTE(
        B905,""√©"",""é""),""√°"",""á""),""√±"",""ñ""),""√≥"",""ó""),""√â"",""é"&amp;"""),""√Å"",""á""),""√ç"",""í""),""√Ç"",""Í""),""√Â"",""é""),""√≠"",""í""),""√º"",""ú""),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05" s="28" t="str">
        <f>IFERROR(__xludf.DUMMYFUNCTION("SPLIT(
  TRIM(
    SUBSTITUTE(
      SUBSTITUTE(
        SUBSTITUTE(
          SUBSTITUTE(
            C905,
            ""√©"", ""é""
          ),
          ""√±"", ""ñ""
        ),
        ""√°"", ""á""
      ),
      ""√≥"", ""ó""
    )
  ),
  ""-""
)
"),"Auriculares")</f>
        <v>Auriculares</v>
      </c>
      <c r="O905" s="28" t="str">
        <f>IFERROR(__xludf.DUMMYFUNCTION("""COMPUTED_VALUE"""),"Cancelación de ruido")</f>
        <v>Cancelación de ruido</v>
      </c>
      <c r="P905" s="28" t="str">
        <f>IFERROR(__xludf.DUMMYFUNCTION("""COMPUTED_VALUE"""),"16GB")</f>
        <v>16GB</v>
      </c>
      <c r="Q905" s="29">
        <f t="shared" si="1"/>
        <v>2439.67</v>
      </c>
      <c r="R905" s="28">
        <f t="shared" si="2"/>
        <v>2</v>
      </c>
      <c r="S905" s="29">
        <f t="shared" si="3"/>
        <v>4879.34</v>
      </c>
      <c r="T905" s="28" t="str">
        <f>IFERROR(__xludf.DUMMYFUNCTION("PROPER(TRIM(
  LET(
    texto1, REGEXREPLACE(G905,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"),"Tania Carrera")</f>
        <v>Tania Carrera</v>
      </c>
      <c r="U905" s="28" t="str">
        <f t="shared" si="4"/>
        <v>d7a87238-7091-401f-a18e-21c1309e9064</v>
      </c>
      <c r="V905" s="30" t="str">
        <f t="shared" si="5"/>
        <v>Auriculares Cancelación de ruido 16GB</v>
      </c>
    </row>
    <row r="906" ht="15.75" customHeight="1">
      <c r="A906" s="36">
        <v>45637.0</v>
      </c>
      <c r="B906" s="2" t="s">
        <v>38</v>
      </c>
      <c r="C906" s="2" t="s">
        <v>226</v>
      </c>
      <c r="D906" s="7">
        <v>1076.71</v>
      </c>
      <c r="E906" s="2">
        <v>3.0</v>
      </c>
      <c r="F906" s="7">
        <v>3230.13</v>
      </c>
      <c r="G906" s="2" t="s">
        <v>3023</v>
      </c>
      <c r="H906" s="2" t="s">
        <v>3024</v>
      </c>
      <c r="I906" s="2" t="s">
        <v>3025</v>
      </c>
      <c r="K906" s="19" t="str">
        <f>IFERROR(__xludf.DUMMYFUNCTION("IF(ISBLANK(A906),
  """",
  IF(ISNUMBER(A906),
    TEXT(A906,""dd/mm/yyyy""),
    IF(
      REGEXMATCH(TRIM(A906),""^\d{1,2}/\d{1,2}/\d{4}$""),
      TRIM(A906),
      IFERROR(
        TEXT(DATEVALUE(SUBSTITUTE(SUBSTITUTE(TRIM(A906),""-"",""/""),""."",""/"&amp;""")),""dd/mm/yyyy""),
        TRIM(A906)
      )
    )
  )
)
"),"11/12/2024")</f>
        <v>11/12/2024</v>
      </c>
      <c r="L906" s="20">
        <v>45637.0</v>
      </c>
      <c r="M906" s="21" t="str">
        <f>IFERROR(__xludf.DUMMYFUNCTION("PROPER(TRIM(
  REGEXREPLACE(
    REGEXREPLACE(
      SUBSTITUTE(SUBSTITUTE(SUBSTITUTE(SUBSTITUTE(SUBSTITUTE(SUBSTITUTE(SUBSTITUTE(SUBSTITUTE(SUBSTITUTE(SUBSTITUTE(SUBSTITUTE(
        B906,""√©"",""é""),""√°"",""á""),""√±"",""ñ""),""√≥"",""ó""),""√â"",""é"&amp;"""),""√Å"",""á""),""√ç"",""í""),""√Ç"",""Í""),""√Â"",""é""),""√≠"",""í""),""√º"",""ú""),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06" s="22" t="str">
        <f>IFERROR(__xludf.DUMMYFUNCTION("SPLIT(
  TRIM(
    SUBSTITUTE(
      SUBSTITUTE(
        SUBSTITUTE(
          SUBSTITUTE(
            C906,
            ""√©"", ""é""
          ),
          ""√±"", ""ñ""
        ),
        ""√°"", ""á""
      ),
      ""√≥"", ""ó""
    )
  ),
  ""-""
)
"),"Tablet")</f>
        <v>Tablet</v>
      </c>
      <c r="O906" s="22" t="str">
        <f>IFERROR(__xludf.DUMMYFUNCTION("""COMPUTED_VALUE"""),"Mini")</f>
        <v>Mini</v>
      </c>
      <c r="P906" s="22" t="str">
        <f>IFERROR(__xludf.DUMMYFUNCTION("""COMPUTED_VALUE"""),"16GB")</f>
        <v>16GB</v>
      </c>
      <c r="Q906" s="23">
        <f t="shared" si="1"/>
        <v>1076.71</v>
      </c>
      <c r="R906" s="22">
        <f t="shared" si="2"/>
        <v>3</v>
      </c>
      <c r="S906" s="23">
        <f t="shared" si="3"/>
        <v>3230.13</v>
      </c>
      <c r="T906" s="22" t="str">
        <f>IFERROR(__xludf.DUMMYFUNCTION("PROPER(TRIM(
  LET(
    texto1, REGEXREPLACE(G906,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Curiel Samaniego")</f>
        <v>Carmen Curiel Samaniego</v>
      </c>
      <c r="U906" s="22" t="str">
        <f t="shared" si="4"/>
        <v>cb8f4dea-863b-4651-a226-6e0dec00b253</v>
      </c>
      <c r="V906" s="24" t="str">
        <f t="shared" si="5"/>
        <v>Tablet Mini 16GB</v>
      </c>
    </row>
    <row r="907" ht="15.75" customHeight="1">
      <c r="A907" s="36">
        <v>45577.0</v>
      </c>
      <c r="B907" s="2" t="s">
        <v>16</v>
      </c>
      <c r="C907" s="2" t="s">
        <v>206</v>
      </c>
      <c r="D907" s="7">
        <v>1163.04</v>
      </c>
      <c r="E907" s="2">
        <v>1.0</v>
      </c>
      <c r="F907" s="7">
        <v>1163.04</v>
      </c>
      <c r="G907" s="2" t="s">
        <v>3026</v>
      </c>
      <c r="H907" s="2" t="s">
        <v>3027</v>
      </c>
      <c r="I907" s="2" t="s">
        <v>3028</v>
      </c>
      <c r="K907" s="25" t="str">
        <f>IFERROR(__xludf.DUMMYFUNCTION("IF(ISBLANK(A907),
  """",
  IF(ISNUMBER(A907),
    TEXT(A907,""dd/mm/yyyy""),
    IF(
      REGEXMATCH(TRIM(A907),""^\d{1,2}/\d{1,2}/\d{4}$""),
      TRIM(A907),
      IFERROR(
        TEXT(DATEVALUE(SUBSTITUTE(SUBSTITUTE(TRIM(A907),""-"",""/""),""."",""/"&amp;""")),""dd/mm/yyyy""),
        TRIM(A907)
      )
    )
  )
)
"),"12/10/2024")</f>
        <v>12/10/2024</v>
      </c>
      <c r="L907" s="26">
        <v>45577.0</v>
      </c>
      <c r="M907" s="27" t="str">
        <f>IFERROR(__xludf.DUMMYFUNCTION("PROPER(TRIM(
  REGEXREPLACE(
    REGEXREPLACE(
      SUBSTITUTE(SUBSTITUTE(SUBSTITUTE(SUBSTITUTE(SUBSTITUTE(SUBSTITUTE(SUBSTITUTE(SUBSTITUTE(SUBSTITUTE(SUBSTITUTE(SUBSTITUTE(
        B907,""√©"",""é""),""√°"",""á""),""√±"",""ñ""),""√≥"",""ó""),""√â"",""é"&amp;"""),""√Å"",""á""),""√ç"",""í""),""√Ç"",""Í""),""√Â"",""é""),""√≠"",""í""),""√º"",""ú""),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07" s="28" t="str">
        <f>IFERROR(__xludf.DUMMYFUNCTION("SPLIT(
  TRIM(
    SUBSTITUTE(
      SUBSTITUTE(
        SUBSTITUTE(
          SUBSTITUTE(
            C907,
            ""√©"", ""é""
          ),
          ""√±"", ""ñ""
        ),
        ""√°"", ""á""
      ),
      ""√≥"", ""ó""
    )
  ),
  ""-""
)
"),"Auriculares")</f>
        <v>Auriculares</v>
      </c>
      <c r="O907" s="28" t="str">
        <f>IFERROR(__xludf.DUMMYFUNCTION("""COMPUTED_VALUE"""),"Bluetooth")</f>
        <v>Bluetooth</v>
      </c>
      <c r="P907" s="28" t="str">
        <f>IFERROR(__xludf.DUMMYFUNCTION("""COMPUTED_VALUE"""),"4GB")</f>
        <v>4GB</v>
      </c>
      <c r="Q907" s="29">
        <f t="shared" si="1"/>
        <v>1163.04</v>
      </c>
      <c r="R907" s="28">
        <f t="shared" si="2"/>
        <v>1</v>
      </c>
      <c r="S907" s="29">
        <f t="shared" si="3"/>
        <v>1163.04</v>
      </c>
      <c r="T907" s="28" t="str">
        <f>IFERROR(__xludf.DUMMYFUNCTION("PROPER(TRIM(
  LET(
    texto1, REGEXREPLACE(G907,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"),"Mariano Fuentes Esquibel")</f>
        <v>Mariano Fuentes Esquibel</v>
      </c>
      <c r="U907" s="28" t="str">
        <f t="shared" si="4"/>
        <v>538c9408-8b8b-4785-b9f9-cd2657097173</v>
      </c>
      <c r="V907" s="30" t="str">
        <f t="shared" si="5"/>
        <v>Auriculares Bluetooth 4GB</v>
      </c>
    </row>
    <row r="908" ht="15.75" customHeight="1">
      <c r="A908" s="36">
        <v>45545.0</v>
      </c>
      <c r="B908" s="2" t="s">
        <v>27</v>
      </c>
      <c r="C908" s="2" t="s">
        <v>3029</v>
      </c>
      <c r="D908" s="7">
        <v>1701.36</v>
      </c>
      <c r="E908" s="2">
        <v>3.0</v>
      </c>
      <c r="F908" s="7">
        <v>5104.08</v>
      </c>
      <c r="G908" s="2" t="s">
        <v>3030</v>
      </c>
      <c r="H908" s="2" t="s">
        <v>3031</v>
      </c>
      <c r="I908" s="2" t="s">
        <v>3032</v>
      </c>
      <c r="K908" s="19" t="str">
        <f>IFERROR(__xludf.DUMMYFUNCTION("IF(ISBLANK(A908),
  """",
  IF(ISNUMBER(A908),
    TEXT(A908,""dd/mm/yyyy""),
    IF(
      REGEXMATCH(TRIM(A908),""^\d{1,2}/\d{1,2}/\d{4}$""),
      TRIM(A908),
      IFERROR(
        TEXT(DATEVALUE(SUBSTITUTE(SUBSTITUTE(TRIM(A908),""-"",""/""),""."",""/"&amp;""")),""dd/mm/yyyy""),
        TRIM(A908)
      )
    )
  )
)
"),"10/09/2024")</f>
        <v>10/09/2024</v>
      </c>
      <c r="L908" s="20">
        <v>45545.0</v>
      </c>
      <c r="M908" s="21" t="str">
        <f>IFERROR(__xludf.DUMMYFUNCTION("PROPER(TRIM(
  REGEXREPLACE(
    REGEXREPLACE(
      SUBSTITUTE(SUBSTITUTE(SUBSTITUTE(SUBSTITUTE(SUBSTITUTE(SUBSTITUTE(SUBSTITUTE(SUBSTITUTE(SUBSTITUTE(SUBSTITUTE(SUBSTITUTE(
        B908,""√©"",""é""),""√°"",""á""),""√±"",""ñ""),""√≥"",""ó""),""√â"",""é"&amp;"""),""√Å"",""á""),""√ç"",""í""),""√Ç"",""Í""),""√Â"",""é""),""√≠"",""í""),""√º"",""ú""),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08" s="22" t="str">
        <f>IFERROR(__xludf.DUMMYFUNCTION("SPLIT(
  TRIM(
    SUBSTITUTE(
      SUBSTITUTE(
        SUBSTITUTE(
          SUBSTITUTE(
            C908,
            ""√©"", ""é""
          ),
          ""√±"", ""ñ""
        ),
        ""√°"", ""á""
      ),
      ""√≥"", ""ó""
    )
  ),
  ""-""
)
"),"Teléfono")</f>
        <v>Teléfono</v>
      </c>
      <c r="O908" s="22" t="str">
        <f>IFERROR(__xludf.DUMMYFUNCTION("""COMPUTED_VALUE"""),"Gama baja")</f>
        <v>Gama baja</v>
      </c>
      <c r="P908" s="22" t="str">
        <f>IFERROR(__xludf.DUMMYFUNCTION("""COMPUTED_VALUE"""),"8GB")</f>
        <v>8GB</v>
      </c>
      <c r="Q908" s="23">
        <f t="shared" si="1"/>
        <v>1701.36</v>
      </c>
      <c r="R908" s="22">
        <f t="shared" si="2"/>
        <v>3</v>
      </c>
      <c r="S908" s="23">
        <f t="shared" si="3"/>
        <v>5104.08</v>
      </c>
      <c r="T908" s="22" t="str">
        <f>IFERROR(__xludf.DUMMYFUNCTION("PROPER(TRIM(
  LET(
    texto1, REGEXREPLACE(G908,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María Nájera")</f>
        <v>Ana María Nájera</v>
      </c>
      <c r="U908" s="22" t="str">
        <f t="shared" si="4"/>
        <v>100275b6-8299-499c-9ddf-e472309c9cf0</v>
      </c>
      <c r="V908" s="24" t="str">
        <f t="shared" si="5"/>
        <v>Teléfono Gama baja 8GB</v>
      </c>
    </row>
    <row r="909" ht="15.75" customHeight="1">
      <c r="A909" s="6">
        <v>45622.0</v>
      </c>
      <c r="B909" s="2" t="s">
        <v>50</v>
      </c>
      <c r="C909" s="2" t="s">
        <v>172</v>
      </c>
      <c r="D909" s="7">
        <v>1892.73</v>
      </c>
      <c r="E909" s="2">
        <v>5.0</v>
      </c>
      <c r="F909" s="7">
        <v>9463.65</v>
      </c>
      <c r="G909" s="2" t="s">
        <v>3033</v>
      </c>
      <c r="H909" s="2" t="s">
        <v>3034</v>
      </c>
      <c r="I909" s="2" t="s">
        <v>3035</v>
      </c>
      <c r="K909" s="25" t="str">
        <f>IFERROR(__xludf.DUMMYFUNCTION("IF(ISBLANK(A909),
  """",
  IF(ISNUMBER(A909),
    TEXT(A909,""dd/mm/yyyy""),
    IF(
      REGEXMATCH(TRIM(A909),""^\d{1,2}/\d{1,2}/\d{4}$""),
      TRIM(A909),
      IFERROR(
        TEXT(DATEVALUE(SUBSTITUTE(SUBSTITUTE(TRIM(A909),""-"",""/""),""."",""/"&amp;""")),""dd/mm/yyyy""),
        TRIM(A909)
      )
    )
  )
)
"),"26/11/2024")</f>
        <v>26/11/2024</v>
      </c>
      <c r="L909" s="26">
        <v>45622.0</v>
      </c>
      <c r="M909" s="27" t="str">
        <f>IFERROR(__xludf.DUMMYFUNCTION("PROPER(TRIM(
  REGEXREPLACE(
    REGEXREPLACE(
      SUBSTITUTE(SUBSTITUTE(SUBSTITUTE(SUBSTITUTE(SUBSTITUTE(SUBSTITUTE(SUBSTITUTE(SUBSTITUTE(SUBSTITUTE(SUBSTITUTE(SUBSTITUTE(
        B909,""√©"",""é""),""√°"",""á""),""√±"",""ñ""),""√≥"",""ó""),""√â"",""é"&amp;"""),""√Å"",""á""),""√ç"",""í""),""√Ç"",""Í""),""√Â"",""é""),""√≠"",""í""),""√º"",""ú""),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09" s="28" t="str">
        <f>IFERROR(__xludf.DUMMYFUNCTION("SPLIT(
  TRIM(
    SUBSTITUTE(
      SUBSTITUTE(
        SUBSTITUTE(
          SUBSTITUTE(
            C909,
            ""√©"", ""é""
          ),
          ""√±"", ""ñ""
        ),
        ""√°"", ""á""
      ),
      ""√≥"", ""ó""
    )
  ),
  ""-""
)
"),"Laptop")</f>
        <v>Laptop</v>
      </c>
      <c r="O909" s="28" t="str">
        <f>IFERROR(__xludf.DUMMYFUNCTION("""COMPUTED_VALUE"""),"Oficina")</f>
        <v>Oficina</v>
      </c>
      <c r="P909" s="28" t="str">
        <f>IFERROR(__xludf.DUMMYFUNCTION("""COMPUTED_VALUE"""),"8GB")</f>
        <v>8GB</v>
      </c>
      <c r="Q909" s="29">
        <f t="shared" si="1"/>
        <v>1892.73</v>
      </c>
      <c r="R909" s="28">
        <f t="shared" si="2"/>
        <v>5</v>
      </c>
      <c r="S909" s="29">
        <f t="shared" si="3"/>
        <v>9463.65</v>
      </c>
      <c r="T909" s="28" t="str">
        <f>IFERROR(__xludf.DUMMYFUNCTION("PROPER(TRIM(
  LET(
    texto1, REGEXREPLACE(G909,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"),"Débora Escamilla")</f>
        <v>Débora Escamilla</v>
      </c>
      <c r="U909" s="28" t="str">
        <f t="shared" si="4"/>
        <v>1e54c09b-4c64-4a56-be8d-61e1318d7de9</v>
      </c>
      <c r="V909" s="30" t="str">
        <f t="shared" si="5"/>
        <v>Laptop Oficina 8GB</v>
      </c>
    </row>
    <row r="910" ht="15.75" customHeight="1">
      <c r="A910" s="6">
        <v>45615.0</v>
      </c>
      <c r="B910" s="2" t="s">
        <v>16</v>
      </c>
      <c r="C910" s="2" t="s">
        <v>176</v>
      </c>
      <c r="D910" s="7">
        <v>1097.51</v>
      </c>
      <c r="E910" s="2">
        <v>1.0</v>
      </c>
      <c r="F910" s="7">
        <v>1097.51</v>
      </c>
      <c r="G910" s="2" t="s">
        <v>3036</v>
      </c>
      <c r="H910" s="2" t="s">
        <v>3037</v>
      </c>
      <c r="I910" s="2" t="s">
        <v>3038</v>
      </c>
      <c r="K910" s="19" t="str">
        <f>IFERROR(__xludf.DUMMYFUNCTION("IF(ISBLANK(A910),
  """",
  IF(ISNUMBER(A910),
    TEXT(A910,""dd/mm/yyyy""),
    IF(
      REGEXMATCH(TRIM(A910),""^\d{1,2}/\d{1,2}/\d{4}$""),
      TRIM(A910),
      IFERROR(
        TEXT(DATEVALUE(SUBSTITUTE(SUBSTITUTE(TRIM(A910),""-"",""/""),""."",""/"&amp;""")),""dd/mm/yyyy""),
        TRIM(A910)
      )
    )
  )
)
"),"19/11/2024")</f>
        <v>19/11/2024</v>
      </c>
      <c r="L910" s="20">
        <v>45615.0</v>
      </c>
      <c r="M910" s="21" t="str">
        <f>IFERROR(__xludf.DUMMYFUNCTION("PROPER(TRIM(
  REGEXREPLACE(
    REGEXREPLACE(
      SUBSTITUTE(SUBSTITUTE(SUBSTITUTE(SUBSTITUTE(SUBSTITUTE(SUBSTITUTE(SUBSTITUTE(SUBSTITUTE(SUBSTITUTE(SUBSTITUTE(SUBSTITUTE(
        B910,""√©"",""é""),""√°"",""á""),""√±"",""ñ""),""√≥"",""ó""),""√â"",""é"&amp;"""),""√Å"",""á""),""√ç"",""í""),""√Ç"",""Í""),""√Â"",""é""),""√≠"",""í""),""√º"",""ú""),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10" s="22" t="str">
        <f>IFERROR(__xludf.DUMMYFUNCTION("SPLIT(
  TRIM(
    SUBSTITUTE(
      SUBSTITUTE(
        SUBSTITUTE(
          SUBSTITUTE(
            C910,
            ""√©"", ""é""
          ),
          ""√±"", ""ñ""
        ),
        ""√°"", ""á""
      ),
      ""√≥"", ""ó""
    )
  ),
  ""-""
)
"),"Auriculares")</f>
        <v>Auriculares</v>
      </c>
      <c r="O910" s="22" t="str">
        <f>IFERROR(__xludf.DUMMYFUNCTION("""COMPUTED_VALUE"""),"Con cable")</f>
        <v>Con cable</v>
      </c>
      <c r="P910" s="22" t="str">
        <f>IFERROR(__xludf.DUMMYFUNCTION("""COMPUTED_VALUE"""),"8GB")</f>
        <v>8GB</v>
      </c>
      <c r="Q910" s="23">
        <f t="shared" si="1"/>
        <v>1097.51</v>
      </c>
      <c r="R910" s="22">
        <f t="shared" si="2"/>
        <v>1</v>
      </c>
      <c r="S910" s="23">
        <f t="shared" si="3"/>
        <v>1097.51</v>
      </c>
      <c r="T910" s="22" t="str">
        <f>IFERROR(__xludf.DUMMYFUNCTION("PROPER(TRIM(
  LET(
    texto1, REGEXREPLACE(G910,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"),"Eric Montañez Velázquez")</f>
        <v>Eric Montañez Velázquez</v>
      </c>
      <c r="U910" s="22" t="str">
        <f t="shared" si="4"/>
        <v>be84e0fe-9e4b-46e0-be04-6f0f71667755</v>
      </c>
      <c r="V910" s="24" t="str">
        <f t="shared" si="5"/>
        <v>Auriculares Con cable 8GB</v>
      </c>
    </row>
    <row r="911" ht="15.75" customHeight="1">
      <c r="A911" s="6">
        <v>45588.0</v>
      </c>
      <c r="B911" s="2" t="s">
        <v>38</v>
      </c>
      <c r="C911" s="2" t="s">
        <v>186</v>
      </c>
      <c r="D911" s="7">
        <v>1362.97</v>
      </c>
      <c r="E911" s="2">
        <v>1.0</v>
      </c>
      <c r="F911" s="7">
        <v>1362.97</v>
      </c>
      <c r="G911" s="2" t="s">
        <v>3039</v>
      </c>
      <c r="H911" s="2" t="s">
        <v>3040</v>
      </c>
      <c r="I911" s="2" t="s">
        <v>3041</v>
      </c>
      <c r="K911" s="25" t="str">
        <f>IFERROR(__xludf.DUMMYFUNCTION("IF(ISBLANK(A911),
  """",
  IF(ISNUMBER(A911),
    TEXT(A911,""dd/mm/yyyy""),
    IF(
      REGEXMATCH(TRIM(A911),""^\d{1,2}/\d{1,2}/\d{4}$""),
      TRIM(A911),
      IFERROR(
        TEXT(DATEVALUE(SUBSTITUTE(SUBSTITUTE(TRIM(A911),""-"",""/""),""."",""/"&amp;""")),""dd/mm/yyyy""),
        TRIM(A911)
      )
    )
  )
)
"),"23/10/2024")</f>
        <v>23/10/2024</v>
      </c>
      <c r="L911" s="26">
        <v>45588.0</v>
      </c>
      <c r="M911" s="27" t="str">
        <f>IFERROR(__xludf.DUMMYFUNCTION("PROPER(TRIM(
  REGEXREPLACE(
    REGEXREPLACE(
      SUBSTITUTE(SUBSTITUTE(SUBSTITUTE(SUBSTITUTE(SUBSTITUTE(SUBSTITUTE(SUBSTITUTE(SUBSTITUTE(SUBSTITUTE(SUBSTITUTE(SUBSTITUTE(
        B911,""√©"",""é""),""√°"",""á""),""√±"",""ñ""),""√≥"",""ó""),""√â"",""é"&amp;"""),""√Å"",""á""),""√ç"",""í""),""√Ç"",""Í""),""√Â"",""é""),""√≠"",""í""),""√º"",""ú""),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11" s="28" t="str">
        <f>IFERROR(__xludf.DUMMYFUNCTION("SPLIT(
  TRIM(
    SUBSTITUTE(
      SUBSTITUTE(
        SUBSTITUTE(
          SUBSTITUTE(
            C911,
            ""√©"", ""é""
          ),
          ""√±"", ""ñ""
        ),
        ""√°"", ""á""
      ),
      ""√≥"", ""ó""
    )
  ),
  ""-""
)
"),"Tablet")</f>
        <v>Tablet</v>
      </c>
      <c r="O911" s="28" t="str">
        <f>IFERROR(__xludf.DUMMYFUNCTION("""COMPUTED_VALUE"""),"Mini")</f>
        <v>Mini</v>
      </c>
      <c r="P911" s="28" t="str">
        <f>IFERROR(__xludf.DUMMYFUNCTION("""COMPUTED_VALUE"""),"8GB")</f>
        <v>8GB</v>
      </c>
      <c r="Q911" s="29">
        <f t="shared" si="1"/>
        <v>1362.97</v>
      </c>
      <c r="R911" s="28">
        <f t="shared" si="2"/>
        <v>1</v>
      </c>
      <c r="S911" s="29">
        <f t="shared" si="3"/>
        <v>1362.97</v>
      </c>
      <c r="T911" s="28" t="str">
        <f>IFERROR(__xludf.DUMMYFUNCTION("PROPER(TRIM(
  LET(
    texto1, REGEXREPLACE(G911,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"),"Delia Wilfrido Valladares Tapia")</f>
        <v>Delia Wilfrido Valladares Tapia</v>
      </c>
      <c r="U911" s="28" t="str">
        <f t="shared" si="4"/>
        <v>ee97ba16-5d7f-4349-b9a0-cc9069b8707b</v>
      </c>
      <c r="V911" s="30" t="str">
        <f t="shared" si="5"/>
        <v>Tablet Mini 8GB</v>
      </c>
    </row>
    <row r="912" ht="15.75" customHeight="1">
      <c r="A912" s="6">
        <v>45611.0</v>
      </c>
      <c r="B912" s="2" t="s">
        <v>85</v>
      </c>
      <c r="C912" s="2" t="s">
        <v>452</v>
      </c>
      <c r="D912" s="7">
        <v>1626.83</v>
      </c>
      <c r="E912" s="2">
        <v>1.0</v>
      </c>
      <c r="F912" s="7">
        <v>1626.83</v>
      </c>
      <c r="G912" s="2" t="s">
        <v>3042</v>
      </c>
      <c r="H912" s="2" t="s">
        <v>3043</v>
      </c>
      <c r="I912" s="3" t="s">
        <v>3044</v>
      </c>
      <c r="K912" s="19" t="str">
        <f>IFERROR(__xludf.DUMMYFUNCTION("IF(ISBLANK(A912),
  """",
  IF(ISNUMBER(A912),
    TEXT(A912,""dd/mm/yyyy""),
    IF(
      REGEXMATCH(TRIM(A912),""^\d{1,2}/\d{1,2}/\d{4}$""),
      TRIM(A912),
      IFERROR(
        TEXT(DATEVALUE(SUBSTITUTE(SUBSTITUTE(TRIM(A912),""-"",""/""),""."",""/"&amp;""")),""dd/mm/yyyy""),
        TRIM(A912)
      )
    )
  )
)
"),"15/11/2024")</f>
        <v>15/11/2024</v>
      </c>
      <c r="L912" s="20">
        <v>45611.0</v>
      </c>
      <c r="M912" s="21" t="str">
        <f>IFERROR(__xludf.DUMMYFUNCTION("PROPER(TRIM(
  REGEXREPLACE(
    REGEXREPLACE(
      SUBSTITUTE(SUBSTITUTE(SUBSTITUTE(SUBSTITUTE(SUBSTITUTE(SUBSTITUTE(SUBSTITUTE(SUBSTITUTE(SUBSTITUTE(SUBSTITUTE(SUBSTITUTE(
        B912,""√©"",""é""),""√°"",""á""),""√±"",""ñ""),""√≥"",""ó""),""√â"",""é"&amp;"""),""√Å"",""á""),""√ç"",""í""),""√Ç"",""Í""),""√Â"",""é""),""√≠"",""í""),""√º"",""ú""),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12" s="22" t="str">
        <f>IFERROR(__xludf.DUMMYFUNCTION("SPLIT(
  TRIM(
    SUBSTITUTE(
      SUBSTITUTE(
        SUBSTITUTE(
          SUBSTITUTE(
            C912,
            ""√©"", ""é""
          ),
          ""√±"", ""ñ""
        ),
        ""√°"", ""á""
      ),
      ""√≥"", ""ó""
    )
  ),
  ""-""
)
"),"Teléfono")</f>
        <v>Teléfono</v>
      </c>
      <c r="O912" s="22" t="str">
        <f>IFERROR(__xludf.DUMMYFUNCTION("""COMPUTED_VALUE"""),"Gama media")</f>
        <v>Gama media</v>
      </c>
      <c r="P912" s="22" t="str">
        <f>IFERROR(__xludf.DUMMYFUNCTION("""COMPUTED_VALUE"""),"16GB")</f>
        <v>16GB</v>
      </c>
      <c r="Q912" s="23">
        <f t="shared" si="1"/>
        <v>1626.83</v>
      </c>
      <c r="R912" s="22">
        <f t="shared" si="2"/>
        <v>1</v>
      </c>
      <c r="S912" s="23">
        <f t="shared" si="3"/>
        <v>1626.83</v>
      </c>
      <c r="T912" s="22" t="str">
        <f>IFERROR(__xludf.DUMMYFUNCTION("PROPER(TRIM(
  LET(
    texto1, REGEXREPLACE(G912,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"),"Olivia Amelia Cadena")</f>
        <v>Olivia Amelia Cadena</v>
      </c>
      <c r="U912" s="33" t="str">
        <f t="shared" si="4"/>
        <v>4166e455-ac94-49a0-9bd8-7a5c8a17ac45</v>
      </c>
      <c r="V912" s="24" t="str">
        <f t="shared" si="5"/>
        <v>Teléfono Gama media 16GB</v>
      </c>
    </row>
    <row r="913" ht="15.75" customHeight="1">
      <c r="A913" s="6">
        <v>45644.0</v>
      </c>
      <c r="B913" s="2" t="s">
        <v>27</v>
      </c>
      <c r="C913" s="2" t="s">
        <v>11</v>
      </c>
      <c r="D913" s="7">
        <v>292.99</v>
      </c>
      <c r="E913" s="2">
        <v>1.0</v>
      </c>
      <c r="F913" s="7">
        <v>292.99</v>
      </c>
      <c r="G913" s="2" t="s">
        <v>3045</v>
      </c>
      <c r="H913" s="2" t="s">
        <v>3046</v>
      </c>
      <c r="I913" s="2" t="s">
        <v>3047</v>
      </c>
      <c r="K913" s="25" t="str">
        <f>IFERROR(__xludf.DUMMYFUNCTION("IF(ISBLANK(A913),
  """",
  IF(ISNUMBER(A913),
    TEXT(A913,""dd/mm/yyyy""),
    IF(
      REGEXMATCH(TRIM(A913),""^\d{1,2}/\d{1,2}/\d{4}$""),
      TRIM(A913),
      IFERROR(
        TEXT(DATEVALUE(SUBSTITUTE(SUBSTITUTE(TRIM(A913),""-"",""/""),""."",""/"&amp;""")),""dd/mm/yyyy""),
        TRIM(A913)
      )
    )
  )
)
"),"18/12/2024")</f>
        <v>18/12/2024</v>
      </c>
      <c r="L913" s="26">
        <v>45644.0</v>
      </c>
      <c r="M913" s="27" t="str">
        <f>IFERROR(__xludf.DUMMYFUNCTION("PROPER(TRIM(
  REGEXREPLACE(
    REGEXREPLACE(
      SUBSTITUTE(SUBSTITUTE(SUBSTITUTE(SUBSTITUTE(SUBSTITUTE(SUBSTITUTE(SUBSTITUTE(SUBSTITUTE(SUBSTITUTE(SUBSTITUTE(SUBSTITUTE(
        B913,""√©"",""é""),""√°"",""á""),""√±"",""ñ""),""√≥"",""ó""),""√â"",""é"&amp;"""),""√Å"",""á""),""√ç"",""í""),""√Ç"",""Í""),""√Â"",""é""),""√≠"",""í""),""√º"",""ú""),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13" s="28" t="str">
        <f>IFERROR(__xludf.DUMMYFUNCTION("SPLIT(
  TRIM(
    SUBSTITUTE(
      SUBSTITUTE(
        SUBSTITUTE(
          SUBSTITUTE(
            C913,
            ""√©"", ""é""
          ),
          ""√±"", ""ñ""
        ),
        ""√°"", ""á""
      ),
      ""√≥"", ""ó""
    )
  ),
  ""-""
)
"),"Auriculares")</f>
        <v>Auriculares</v>
      </c>
      <c r="O913" s="28" t="str">
        <f>IFERROR(__xludf.DUMMYFUNCTION("""COMPUTED_VALUE"""),"Con cable")</f>
        <v>Con cable</v>
      </c>
      <c r="P913" s="28" t="str">
        <f>IFERROR(__xludf.DUMMYFUNCTION("""COMPUTED_VALUE"""),"32GB")</f>
        <v>32GB</v>
      </c>
      <c r="Q913" s="29">
        <f t="shared" si="1"/>
        <v>292.99</v>
      </c>
      <c r="R913" s="28">
        <f t="shared" si="2"/>
        <v>1</v>
      </c>
      <c r="S913" s="29">
        <f t="shared" si="3"/>
        <v>292.99</v>
      </c>
      <c r="T913" s="28" t="str">
        <f>IFERROR(__xludf.DUMMYFUNCTION("PROPER(TRIM(
  LET(
    texto1, REGEXREPLACE(G913,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"),"Adán Prado")</f>
        <v>Adán Prado</v>
      </c>
      <c r="U913" s="28" t="str">
        <f t="shared" si="4"/>
        <v>2613eb8c-73dd-4b40-8ff0-7cf4fa29b165</v>
      </c>
      <c r="V913" s="30" t="str">
        <f t="shared" si="5"/>
        <v>Auriculares Con cable 32GB</v>
      </c>
    </row>
    <row r="914" ht="15.75" customHeight="1">
      <c r="A914" s="6">
        <v>45616.0</v>
      </c>
      <c r="B914" s="2" t="s">
        <v>27</v>
      </c>
      <c r="C914" s="2" t="s">
        <v>152</v>
      </c>
      <c r="D914" s="7">
        <v>1570.12</v>
      </c>
      <c r="E914" s="2">
        <v>3.0</v>
      </c>
      <c r="F914" s="7">
        <v>4710.36</v>
      </c>
      <c r="G914" s="2" t="s">
        <v>3048</v>
      </c>
      <c r="H914" s="2" t="s">
        <v>3049</v>
      </c>
      <c r="I914" s="2" t="s">
        <v>3050</v>
      </c>
      <c r="K914" s="19" t="str">
        <f>IFERROR(__xludf.DUMMYFUNCTION("IF(ISBLANK(A914),
  """",
  IF(ISNUMBER(A914),
    TEXT(A914,""dd/mm/yyyy""),
    IF(
      REGEXMATCH(TRIM(A914),""^\d{1,2}/\d{1,2}/\d{4}$""),
      TRIM(A914),
      IFERROR(
        TEXT(DATEVALUE(SUBSTITUTE(SUBSTITUTE(TRIM(A914),""-"",""/""),""."",""/"&amp;""")),""dd/mm/yyyy""),
        TRIM(A914)
      )
    )
  )
)
"),"20/11/2024")</f>
        <v>20/11/2024</v>
      </c>
      <c r="L914" s="20">
        <v>45616.0</v>
      </c>
      <c r="M914" s="21" t="str">
        <f>IFERROR(__xludf.DUMMYFUNCTION("PROPER(TRIM(
  REGEXREPLACE(
    REGEXREPLACE(
      SUBSTITUTE(SUBSTITUTE(SUBSTITUTE(SUBSTITUTE(SUBSTITUTE(SUBSTITUTE(SUBSTITUTE(SUBSTITUTE(SUBSTITUTE(SUBSTITUTE(SUBSTITUTE(
        B914,""√©"",""é""),""√°"",""á""),""√±"",""ñ""),""√≥"",""ó""),""√â"",""é"&amp;"""),""√Å"",""á""),""√ç"",""í""),""√Ç"",""Í""),""√Â"",""é""),""√≠"",""í""),""√º"",""ú""),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14" s="22" t="str">
        <f>IFERROR(__xludf.DUMMYFUNCTION("SPLIT(
  TRIM(
    SUBSTITUTE(
      SUBSTITUTE(
        SUBSTITUTE(
          SUBSTITUTE(
            C914,
            ""√©"", ""é""
          ),
          ""√±"", ""ñ""
        ),
        ""√°"", ""á""
      ),
      ""√≥"", ""ó""
    )
  ),
  ""-""
)
"),"Teléfono")</f>
        <v>Teléfono</v>
      </c>
      <c r="O914" s="22" t="str">
        <f>IFERROR(__xludf.DUMMYFUNCTION("""COMPUTED_VALUE"""),"Gama baja")</f>
        <v>Gama baja</v>
      </c>
      <c r="P914" s="22" t="str">
        <f>IFERROR(__xludf.DUMMYFUNCTION("""COMPUTED_VALUE"""),"4GB")</f>
        <v>4GB</v>
      </c>
      <c r="Q914" s="23">
        <f t="shared" si="1"/>
        <v>1570.12</v>
      </c>
      <c r="R914" s="22">
        <f t="shared" si="2"/>
        <v>3</v>
      </c>
      <c r="S914" s="23">
        <f t="shared" si="3"/>
        <v>4710.36</v>
      </c>
      <c r="T914" s="22" t="str">
        <f>IFERROR(__xludf.DUMMYFUNCTION("PROPER(TRIM(
  LET(
    texto1, REGEXREPLACE(G914,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"),"Mariano Corrales Orosco")</f>
        <v>Mariano Corrales Orosco</v>
      </c>
      <c r="U914" s="22" t="str">
        <f t="shared" si="4"/>
        <v>22325f75-012a-4872-929d-f3dcad77dde8</v>
      </c>
      <c r="V914" s="24" t="str">
        <f t="shared" si="5"/>
        <v>Teléfono Gama baja 4GB</v>
      </c>
    </row>
    <row r="915" ht="15.75" customHeight="1">
      <c r="A915" s="6">
        <v>45649.0</v>
      </c>
      <c r="B915" s="2" t="s">
        <v>101</v>
      </c>
      <c r="C915" s="2" t="s">
        <v>91</v>
      </c>
      <c r="D915" s="7">
        <v>2174.89</v>
      </c>
      <c r="E915" s="2">
        <v>2.0</v>
      </c>
      <c r="F915" s="7">
        <v>4349.78</v>
      </c>
      <c r="G915" s="2" t="s">
        <v>3051</v>
      </c>
      <c r="H915" s="2" t="s">
        <v>3052</v>
      </c>
      <c r="I915" s="2" t="s">
        <v>3053</v>
      </c>
      <c r="K915" s="25" t="str">
        <f>IFERROR(__xludf.DUMMYFUNCTION("IF(ISBLANK(A915),
  """",
  IF(ISNUMBER(A915),
    TEXT(A915,""dd/mm/yyyy""),
    IF(
      REGEXMATCH(TRIM(A915),""^\d{1,2}/\d{1,2}/\d{4}$""),
      TRIM(A915),
      IFERROR(
        TEXT(DATEVALUE(SUBSTITUTE(SUBSTITUTE(TRIM(A915),""-"",""/""),""."",""/"&amp;""")),""dd/mm/yyyy""),
        TRIM(A915)
      )
    )
  )
)
"),"23/12/2024")</f>
        <v>23/12/2024</v>
      </c>
      <c r="L915" s="26">
        <v>45649.0</v>
      </c>
      <c r="M915" s="27" t="str">
        <f>IFERROR(__xludf.DUMMYFUNCTION("PROPER(TRIM(
  REGEXREPLACE(
    REGEXREPLACE(
      SUBSTITUTE(SUBSTITUTE(SUBSTITUTE(SUBSTITUTE(SUBSTITUTE(SUBSTITUTE(SUBSTITUTE(SUBSTITUTE(SUBSTITUTE(SUBSTITUTE(SUBSTITUTE(
        B915,""√©"",""é""),""√°"",""á""),""√±"",""ñ""),""√≥"",""ó""),""√â"",""é"&amp;"""),""√Å"",""á""),""√ç"",""í""),""√Ç"",""Í""),""√Â"",""é""),""√≠"",""í""),""√º"",""ú""),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15" s="28" t="str">
        <f>IFERROR(__xludf.DUMMYFUNCTION("SPLIT(
  TRIM(
    SUBSTITUTE(
      SUBSTITUTE(
        SUBSTITUTE(
          SUBSTITUTE(
            C915,
            ""√©"", ""é""
          ),
          ""√±"", ""ñ""
        ),
        ""√°"", ""á""
      ),
      ""√≥"", ""ó""
    )
  ),
  ""-""
)
"),"Tablet")</f>
        <v>Tablet</v>
      </c>
      <c r="O915" s="28" t="str">
        <f>IFERROR(__xludf.DUMMYFUNCTION("""COMPUTED_VALUE"""),"Mini")</f>
        <v>Mini</v>
      </c>
      <c r="P915" s="28" t="str">
        <f>IFERROR(__xludf.DUMMYFUNCTION("""COMPUTED_VALUE"""),"32GB")</f>
        <v>32GB</v>
      </c>
      <c r="Q915" s="29">
        <f t="shared" si="1"/>
        <v>2174.89</v>
      </c>
      <c r="R915" s="28">
        <f t="shared" si="2"/>
        <v>2</v>
      </c>
      <c r="S915" s="29">
        <f t="shared" si="3"/>
        <v>4349.78</v>
      </c>
      <c r="T915" s="28" t="str">
        <f>IFERROR(__xludf.DUMMYFUNCTION("PROPER(TRIM(
  LET(
    texto1, REGEXREPLACE(G915,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"),"Ana María Pichardo Seplveda")</f>
        <v>Ana María Pichardo Seplveda</v>
      </c>
      <c r="U915" s="28" t="str">
        <f t="shared" si="4"/>
        <v>4404f1db-09be-4f2c-92f0-2d65ee6b0394</v>
      </c>
      <c r="V915" s="30" t="str">
        <f t="shared" si="5"/>
        <v>Tablet Mini 32GB</v>
      </c>
    </row>
    <row r="916" ht="15.75" customHeight="1">
      <c r="A916" s="36">
        <v>45303.0</v>
      </c>
      <c r="B916" s="2" t="s">
        <v>50</v>
      </c>
      <c r="C916" s="2" t="s">
        <v>172</v>
      </c>
      <c r="D916" s="7">
        <v>1288.12</v>
      </c>
      <c r="E916" s="2">
        <v>1.0</v>
      </c>
      <c r="F916" s="7">
        <v>1288.12</v>
      </c>
      <c r="G916" s="2" t="s">
        <v>3054</v>
      </c>
      <c r="H916" s="2" t="s">
        <v>3055</v>
      </c>
      <c r="I916" s="2" t="s">
        <v>3056</v>
      </c>
      <c r="K916" s="19" t="str">
        <f>IFERROR(__xludf.DUMMYFUNCTION("IF(ISBLANK(A916),
  """",
  IF(ISNUMBER(A916),
    TEXT(A916,""dd/mm/yyyy""),
    IF(
      REGEXMATCH(TRIM(A916),""^\d{1,2}/\d{1,2}/\d{4}$""),
      TRIM(A916),
      IFERROR(
        TEXT(DATEVALUE(SUBSTITUTE(SUBSTITUTE(TRIM(A916),""-"",""/""),""."",""/"&amp;""")),""dd/mm/yyyy""),
        TRIM(A916)
      )
    )
  )
)
"),"12/01/2024")</f>
        <v>12/01/2024</v>
      </c>
      <c r="L916" s="20">
        <v>45303.0</v>
      </c>
      <c r="M916" s="21" t="str">
        <f>IFERROR(__xludf.DUMMYFUNCTION("PROPER(TRIM(
  REGEXREPLACE(
    REGEXREPLACE(
      SUBSTITUTE(SUBSTITUTE(SUBSTITUTE(SUBSTITUTE(SUBSTITUTE(SUBSTITUTE(SUBSTITUTE(SUBSTITUTE(SUBSTITUTE(SUBSTITUTE(SUBSTITUTE(
        B916,""√©"",""é""),""√°"",""á""),""√±"",""ñ""),""√≥"",""ó""),""√â"",""é"&amp;"""),""√Å"",""á""),""√ç"",""í""),""√Ç"",""Í""),""√Â"",""é""),""√≠"",""í""),""√º"",""ú""),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16" s="22" t="str">
        <f>IFERROR(__xludf.DUMMYFUNCTION("SPLIT(
  TRIM(
    SUBSTITUTE(
      SUBSTITUTE(
        SUBSTITUTE(
          SUBSTITUTE(
            C916,
            ""√©"", ""é""
          ),
          ""√±"", ""ñ""
        ),
        ""√°"", ""á""
      ),
      ""√≥"", ""ó""
    )
  ),
  ""-""
)
"),"Laptop")</f>
        <v>Laptop</v>
      </c>
      <c r="O916" s="22" t="str">
        <f>IFERROR(__xludf.DUMMYFUNCTION("""COMPUTED_VALUE"""),"Oficina")</f>
        <v>Oficina</v>
      </c>
      <c r="P916" s="22" t="str">
        <f>IFERROR(__xludf.DUMMYFUNCTION("""COMPUTED_VALUE"""),"8GB")</f>
        <v>8GB</v>
      </c>
      <c r="Q916" s="23">
        <f t="shared" si="1"/>
        <v>1288.12</v>
      </c>
      <c r="R916" s="22">
        <f t="shared" si="2"/>
        <v>1</v>
      </c>
      <c r="S916" s="23">
        <f t="shared" si="3"/>
        <v>1288.12</v>
      </c>
      <c r="T916" s="22" t="str">
        <f>IFERROR(__xludf.DUMMYFUNCTION("PROPER(TRIM(
  LET(
    texto1, REGEXREPLACE(G916,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Del Río Longoria")</f>
        <v>Cristina Del Río Longoria</v>
      </c>
      <c r="U916" s="22" t="str">
        <f t="shared" si="4"/>
        <v>daf5edee-c366-417d-9cd7-be77ad5d329a</v>
      </c>
      <c r="V916" s="24" t="str">
        <f t="shared" si="5"/>
        <v>Laptop Oficina 8GB</v>
      </c>
    </row>
    <row r="917" ht="15.75" customHeight="1">
      <c r="A917" s="6">
        <v>45654.0</v>
      </c>
      <c r="B917" s="2" t="s">
        <v>50</v>
      </c>
      <c r="C917" s="2" t="s">
        <v>86</v>
      </c>
      <c r="D917" s="7">
        <v>158.82</v>
      </c>
      <c r="E917" s="2">
        <v>2.0</v>
      </c>
      <c r="F917" s="7">
        <v>317.64</v>
      </c>
      <c r="G917" s="2" t="s">
        <v>3057</v>
      </c>
      <c r="H917" s="2" t="s">
        <v>3058</v>
      </c>
      <c r="I917" s="2" t="s">
        <v>3059</v>
      </c>
      <c r="K917" s="25" t="str">
        <f>IFERROR(__xludf.DUMMYFUNCTION("IF(ISBLANK(A917),
  """",
  IF(ISNUMBER(A917),
    TEXT(A917,""dd/mm/yyyy""),
    IF(
      REGEXMATCH(TRIM(A917),""^\d{1,2}/\d{1,2}/\d{4}$""),
      TRIM(A917),
      IFERROR(
        TEXT(DATEVALUE(SUBSTITUTE(SUBSTITUTE(TRIM(A917),""-"",""/""),""."",""/"&amp;""")),""dd/mm/yyyy""),
        TRIM(A917)
      )
    )
  )
)
"),"28/12/2024")</f>
        <v>28/12/2024</v>
      </c>
      <c r="L917" s="26">
        <v>45654.0</v>
      </c>
      <c r="M917" s="27" t="str">
        <f>IFERROR(__xludf.DUMMYFUNCTION("PROPER(TRIM(
  REGEXREPLACE(
    REGEXREPLACE(
      SUBSTITUTE(SUBSTITUTE(SUBSTITUTE(SUBSTITUTE(SUBSTITUTE(SUBSTITUTE(SUBSTITUTE(SUBSTITUTE(SUBSTITUTE(SUBSTITUTE(SUBSTITUTE(
        B917,""√©"",""é""),""√°"",""á""),""√±"",""ñ""),""√≥"",""ó""),""√â"",""é"&amp;"""),""√Å"",""á""),""√ç"",""í""),""√Ç"",""Í""),""√Â"",""é""),""√≠"",""í""),""√º"",""ú""),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17" s="28" t="str">
        <f>IFERROR(__xludf.DUMMYFUNCTION("SPLIT(
  TRIM(
    SUBSTITUTE(
      SUBSTITUTE(
        SUBSTITUTE(
          SUBSTITUTE(
            C917,
            ""√©"", ""é""
          ),
          ""√±"", ""ñ""
        ),
        ""√°"", ""á""
      ),
      ""√≥"", ""ó""
    )
  ),
  ""-""
)
"),"Tablet")</f>
        <v>Tablet</v>
      </c>
      <c r="O917" s="28" t="str">
        <f>IFERROR(__xludf.DUMMYFUNCTION("""COMPUTED_VALUE"""),"Pro")</f>
        <v>Pro</v>
      </c>
      <c r="P917" s="28" t="str">
        <f>IFERROR(__xludf.DUMMYFUNCTION("""COMPUTED_VALUE"""),"32GB")</f>
        <v>32GB</v>
      </c>
      <c r="Q917" s="29">
        <f t="shared" si="1"/>
        <v>158.82</v>
      </c>
      <c r="R917" s="28">
        <f t="shared" si="2"/>
        <v>2</v>
      </c>
      <c r="S917" s="29">
        <f t="shared" si="3"/>
        <v>317.64</v>
      </c>
      <c r="T917" s="28" t="str">
        <f>IFERROR(__xludf.DUMMYFUNCTION("PROPER(TRIM(
  LET(
    texto1, REGEXREPLACE(G917,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Eugenia Valdivia")</f>
        <v>María Eugenia Valdivia</v>
      </c>
      <c r="U917" s="28" t="str">
        <f t="shared" si="4"/>
        <v>66f10c57-ee31-4fe2-b3a9-4e88f49e1e71</v>
      </c>
      <c r="V917" s="30" t="str">
        <f t="shared" si="5"/>
        <v>Tablet Pro 32GB</v>
      </c>
    </row>
    <row r="918" ht="15.75" customHeight="1">
      <c r="A918" s="6">
        <v>45646.0</v>
      </c>
      <c r="B918" s="2" t="s">
        <v>50</v>
      </c>
      <c r="C918" s="2" t="s">
        <v>201</v>
      </c>
      <c r="D918" s="7">
        <v>1092.96</v>
      </c>
      <c r="E918" s="2">
        <v>4.0</v>
      </c>
      <c r="F918" s="7">
        <v>4371.84</v>
      </c>
      <c r="G918" s="2" t="s">
        <v>3060</v>
      </c>
      <c r="H918" s="2" t="s">
        <v>3061</v>
      </c>
      <c r="I918" s="2" t="s">
        <v>3062</v>
      </c>
      <c r="K918" s="19" t="str">
        <f>IFERROR(__xludf.DUMMYFUNCTION("IF(ISBLANK(A918),
  """",
  IF(ISNUMBER(A918),
    TEXT(A918,""dd/mm/yyyy""),
    IF(
      REGEXMATCH(TRIM(A918),""^\d{1,2}/\d{1,2}/\d{4}$""),
      TRIM(A918),
      IFERROR(
        TEXT(DATEVALUE(SUBSTITUTE(SUBSTITUTE(TRIM(A918),""-"",""/""),""."",""/"&amp;""")),""dd/mm/yyyy""),
        TRIM(A918)
      )
    )
  )
)
"),"20/12/2024")</f>
        <v>20/12/2024</v>
      </c>
      <c r="L918" s="20">
        <v>45646.0</v>
      </c>
      <c r="M918" s="21" t="str">
        <f>IFERROR(__xludf.DUMMYFUNCTION("PROPER(TRIM(
  REGEXREPLACE(
    REGEXREPLACE(
      SUBSTITUTE(SUBSTITUTE(SUBSTITUTE(SUBSTITUTE(SUBSTITUTE(SUBSTITUTE(SUBSTITUTE(SUBSTITUTE(SUBSTITUTE(SUBSTITUTE(SUBSTITUTE(
        B918,""√©"",""é""),""√°"",""á""),""√±"",""ñ""),""√≥"",""ó""),""√â"",""é"&amp;"""),""√Å"",""á""),""√ç"",""í""),""√Ç"",""Í""),""√Â"",""é""),""√≠"",""í""),""√º"",""ú""),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18" s="22" t="str">
        <f>IFERROR(__xludf.DUMMYFUNCTION("SPLIT(
  TRIM(
    SUBSTITUTE(
      SUBSTITUTE(
        SUBSTITUTE(
          SUBSTITUTE(
            C918,
            ""√©"", ""é""
          ),
          ""√±"", ""ñ""
        ),
        ""√°"", ""á""
      ),
      ""√≥"", ""ó""
    )
  ),
  ""-""
)
"),"Laptop")</f>
        <v>Laptop</v>
      </c>
      <c r="O918" s="22" t="str">
        <f>IFERROR(__xludf.DUMMYFUNCTION("""COMPUTED_VALUE"""),"Gaming")</f>
        <v>Gaming</v>
      </c>
      <c r="P918" s="22" t="str">
        <f>IFERROR(__xludf.DUMMYFUNCTION("""COMPUTED_VALUE"""),"4GB")</f>
        <v>4GB</v>
      </c>
      <c r="Q918" s="23">
        <f t="shared" si="1"/>
        <v>1092.96</v>
      </c>
      <c r="R918" s="22">
        <f t="shared" si="2"/>
        <v>4</v>
      </c>
      <c r="S918" s="23">
        <f t="shared" si="3"/>
        <v>4371.84</v>
      </c>
      <c r="T918" s="22" t="str">
        <f>IFERROR(__xludf.DUMMYFUNCTION("PROPER(TRIM(
  LET(
    texto1, REGEXREPLACE(G918,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"),"Miguel Romo")</f>
        <v>Miguel Romo</v>
      </c>
      <c r="U918" s="22" t="str">
        <f t="shared" si="4"/>
        <v>c3bb3562-c65e-4e05-bfb3-9df465d18c89</v>
      </c>
      <c r="V918" s="24" t="str">
        <f t="shared" si="5"/>
        <v>Laptop Gaming 4GB</v>
      </c>
    </row>
    <row r="919" ht="15.75" customHeight="1">
      <c r="A919" s="6">
        <v>45584.0</v>
      </c>
      <c r="B919" s="2" t="s">
        <v>16</v>
      </c>
      <c r="C919" s="2" t="s">
        <v>593</v>
      </c>
      <c r="D919" s="7">
        <v>722.95</v>
      </c>
      <c r="E919" s="2">
        <v>3.0</v>
      </c>
      <c r="F919" s="7">
        <v>2168.85</v>
      </c>
      <c r="G919" s="2" t="s">
        <v>3063</v>
      </c>
      <c r="H919" s="2" t="s">
        <v>3064</v>
      </c>
      <c r="I919" s="2" t="s">
        <v>3065</v>
      </c>
      <c r="K919" s="25" t="str">
        <f>IFERROR(__xludf.DUMMYFUNCTION("IF(ISBLANK(A919),
  """",
  IF(ISNUMBER(A919),
    TEXT(A919,""dd/mm/yyyy""),
    IF(
      REGEXMATCH(TRIM(A919),""^\d{1,2}/\d{1,2}/\d{4}$""),
      TRIM(A919),
      IFERROR(
        TEXT(DATEVALUE(SUBSTITUTE(SUBSTITUTE(TRIM(A919),""-"",""/""),""."",""/"&amp;""")),""dd/mm/yyyy""),
        TRIM(A919)
      )
    )
  )
)
"),"19/10/2024")</f>
        <v>19/10/2024</v>
      </c>
      <c r="L919" s="26">
        <v>45584.0</v>
      </c>
      <c r="M919" s="27" t="str">
        <f>IFERROR(__xludf.DUMMYFUNCTION("PROPER(TRIM(
  REGEXREPLACE(
    REGEXREPLACE(
      SUBSTITUTE(SUBSTITUTE(SUBSTITUTE(SUBSTITUTE(SUBSTITUTE(SUBSTITUTE(SUBSTITUTE(SUBSTITUTE(SUBSTITUTE(SUBSTITUTE(SUBSTITUTE(
        B919,""√©"",""é""),""√°"",""á""),""√±"",""ñ""),""√≥"",""ó""),""√â"",""é"&amp;"""),""√Å"",""á""),""√ç"",""í""),""√Ç"",""Í""),""√Â"",""é""),""√≠"",""í""),""√º"",""ú""),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19" s="28" t="str">
        <f>IFERROR(__xludf.DUMMYFUNCTION("SPLIT(
  TRIM(
    SUBSTITUTE(
      SUBSTITUTE(
        SUBSTITUTE(
          SUBSTITUTE(
            C919,
            ""√©"", ""é""
          ),
          ""√±"", ""ñ""
        ),
        ""√°"", ""á""
      ),
      ""√≥"", ""ó""
    )
  ),
  ""-""
)
"),"Laptop")</f>
        <v>Laptop</v>
      </c>
      <c r="O919" s="28" t="str">
        <f>IFERROR(__xludf.DUMMYFUNCTION("""COMPUTED_VALUE"""),"Gaming")</f>
        <v>Gaming</v>
      </c>
      <c r="P919" s="28" t="str">
        <f>IFERROR(__xludf.DUMMYFUNCTION("""COMPUTED_VALUE"""),"16GB")</f>
        <v>16GB</v>
      </c>
      <c r="Q919" s="29">
        <f t="shared" si="1"/>
        <v>722.95</v>
      </c>
      <c r="R919" s="28">
        <f t="shared" si="2"/>
        <v>3</v>
      </c>
      <c r="S919" s="29">
        <f t="shared" si="3"/>
        <v>2168.85</v>
      </c>
      <c r="T919" s="28" t="str">
        <f>IFERROR(__xludf.DUMMYFUNCTION("PROPER(TRIM(
  LET(
    texto1, REGEXREPLACE(G919,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"),"Alejandro Hermelinda Mondragón Alvarado")</f>
        <v>Alejandro Hermelinda Mondragón Alvarado</v>
      </c>
      <c r="U919" s="28" t="str">
        <f t="shared" si="4"/>
        <v>a84bc74c-2d98-4331-a5a9-c762bb61fb2e</v>
      </c>
      <c r="V919" s="30" t="str">
        <f t="shared" si="5"/>
        <v>Laptop Gaming 16GB</v>
      </c>
    </row>
    <row r="920" ht="15.75" customHeight="1">
      <c r="A920" s="6">
        <v>45580.0</v>
      </c>
      <c r="B920" s="2" t="s">
        <v>16</v>
      </c>
      <c r="C920" s="2" t="s">
        <v>116</v>
      </c>
      <c r="D920" s="7">
        <v>829.53</v>
      </c>
      <c r="E920" s="2">
        <v>4.0</v>
      </c>
      <c r="F920" s="7">
        <v>3318.12</v>
      </c>
      <c r="G920" s="2" t="s">
        <v>3066</v>
      </c>
      <c r="H920" s="2" t="s">
        <v>3067</v>
      </c>
      <c r="I920" s="2" t="s">
        <v>3068</v>
      </c>
      <c r="K920" s="19" t="str">
        <f>IFERROR(__xludf.DUMMYFUNCTION("IF(ISBLANK(A920),
  """",
  IF(ISNUMBER(A920),
    TEXT(A920,""dd/mm/yyyy""),
    IF(
      REGEXMATCH(TRIM(A920),""^\d{1,2}/\d{1,2}/\d{4}$""),
      TRIM(A920),
      IFERROR(
        TEXT(DATEVALUE(SUBSTITUTE(SUBSTITUTE(TRIM(A920),""-"",""/""),""."",""/"&amp;""")),""dd/mm/yyyy""),
        TRIM(A920)
      )
    )
  )
)
"),"15/10/2024")</f>
        <v>15/10/2024</v>
      </c>
      <c r="L920" s="20">
        <v>45580.0</v>
      </c>
      <c r="M920" s="21" t="str">
        <f>IFERROR(__xludf.DUMMYFUNCTION("PROPER(TRIM(
  REGEXREPLACE(
    REGEXREPLACE(
      SUBSTITUTE(SUBSTITUTE(SUBSTITUTE(SUBSTITUTE(SUBSTITUTE(SUBSTITUTE(SUBSTITUTE(SUBSTITUTE(SUBSTITUTE(SUBSTITUTE(SUBSTITUTE(
        B920,""√©"",""é""),""√°"",""á""),""√±"",""ñ""),""√≥"",""ó""),""√â"",""é"&amp;"""),""√Å"",""á""),""√ç"",""í""),""√Ç"",""Í""),""√Â"",""é""),""√≠"",""í""),""√º"",""ú""),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20" s="22" t="str">
        <f>IFERROR(__xludf.DUMMYFUNCTION("SPLIT(
  TRIM(
    SUBSTITUTE(
      SUBSTITUTE(
        SUBSTITUTE(
          SUBSTITUTE(
            C920,
            ""√©"", ""é""
          ),
          ""√±"", ""ñ""
        ),
        ""√°"", ""á""
      ),
      ""√≥"", ""ó""
    )
  ),
  ""-""
)
"),"Teléfono")</f>
        <v>Teléfono</v>
      </c>
      <c r="O920" s="22" t="str">
        <f>IFERROR(__xludf.DUMMYFUNCTION("""COMPUTED_VALUE"""),"Gama media")</f>
        <v>Gama media</v>
      </c>
      <c r="P920" s="22" t="str">
        <f>IFERROR(__xludf.DUMMYFUNCTION("""COMPUTED_VALUE"""),"4GB")</f>
        <v>4GB</v>
      </c>
      <c r="Q920" s="23">
        <f t="shared" si="1"/>
        <v>829.53</v>
      </c>
      <c r="R920" s="22">
        <f t="shared" si="2"/>
        <v>4</v>
      </c>
      <c r="S920" s="23">
        <f t="shared" si="3"/>
        <v>3318.12</v>
      </c>
      <c r="T920" s="22" t="str">
        <f>IFERROR(__xludf.DUMMYFUNCTION("PROPER(TRIM(
  LET(
    texto1, REGEXREPLACE(G920,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"),"Rocío Villareal")</f>
        <v>Rocío Villareal</v>
      </c>
      <c r="U920" s="22" t="str">
        <f t="shared" si="4"/>
        <v>6c3fead4-1fe5-4288-be37-3b39d5d98304</v>
      </c>
      <c r="V920" s="24" t="str">
        <f t="shared" si="5"/>
        <v>Teléfono Gama media 4GB</v>
      </c>
    </row>
    <row r="921" ht="15.75" customHeight="1">
      <c r="A921" s="36">
        <v>45547.0</v>
      </c>
      <c r="B921" s="2" t="s">
        <v>101</v>
      </c>
      <c r="C921" s="2" t="s">
        <v>226</v>
      </c>
      <c r="D921" s="7">
        <v>680.45</v>
      </c>
      <c r="E921" s="2">
        <v>4.0</v>
      </c>
      <c r="F921" s="7">
        <v>2721.8</v>
      </c>
      <c r="G921" s="2" t="s">
        <v>3069</v>
      </c>
      <c r="H921" s="2" t="s">
        <v>3070</v>
      </c>
      <c r="I921" s="2" t="s">
        <v>3071</v>
      </c>
      <c r="K921" s="25" t="str">
        <f>IFERROR(__xludf.DUMMYFUNCTION("IF(ISBLANK(A921),
  """",
  IF(ISNUMBER(A921),
    TEXT(A921,""dd/mm/yyyy""),
    IF(
      REGEXMATCH(TRIM(A921),""^\d{1,2}/\d{1,2}/\d{4}$""),
      TRIM(A921),
      IFERROR(
        TEXT(DATEVALUE(SUBSTITUTE(SUBSTITUTE(TRIM(A921),""-"",""/""),""."",""/"&amp;""")),""dd/mm/yyyy""),
        TRIM(A921)
      )
    )
  )
)
"),"12/09/2024")</f>
        <v>12/09/2024</v>
      </c>
      <c r="L921" s="26">
        <v>45547.0</v>
      </c>
      <c r="M921" s="27" t="str">
        <f>IFERROR(__xludf.DUMMYFUNCTION("PROPER(TRIM(
  REGEXREPLACE(
    REGEXREPLACE(
      SUBSTITUTE(SUBSTITUTE(SUBSTITUTE(SUBSTITUTE(SUBSTITUTE(SUBSTITUTE(SUBSTITUTE(SUBSTITUTE(SUBSTITUTE(SUBSTITUTE(SUBSTITUTE(
        B921,""√©"",""é""),""√°"",""á""),""√±"",""ñ""),""√≥"",""ó""),""√â"",""é"&amp;"""),""√Å"",""á""),""√ç"",""í""),""√Ç"",""Í""),""√Â"",""é""),""√≠"",""í""),""√º"",""ú""),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21" s="28" t="str">
        <f>IFERROR(__xludf.DUMMYFUNCTION("SPLIT(
  TRIM(
    SUBSTITUTE(
      SUBSTITUTE(
        SUBSTITUTE(
          SUBSTITUTE(
            C921,
            ""√©"", ""é""
          ),
          ""√±"", ""ñ""
        ),
        ""√°"", ""á""
      ),
      ""√≥"", ""ó""
    )
  ),
  ""-""
)
"),"Tablet")</f>
        <v>Tablet</v>
      </c>
      <c r="O921" s="28" t="str">
        <f>IFERROR(__xludf.DUMMYFUNCTION("""COMPUTED_VALUE"""),"Mini")</f>
        <v>Mini</v>
      </c>
      <c r="P921" s="28" t="str">
        <f>IFERROR(__xludf.DUMMYFUNCTION("""COMPUTED_VALUE"""),"16GB")</f>
        <v>16GB</v>
      </c>
      <c r="Q921" s="29">
        <f t="shared" si="1"/>
        <v>680.45</v>
      </c>
      <c r="R921" s="28">
        <f t="shared" si="2"/>
        <v>4</v>
      </c>
      <c r="S921" s="29">
        <f t="shared" si="3"/>
        <v>2721.8</v>
      </c>
      <c r="T921" s="28" t="str">
        <f>IFERROR(__xludf.DUMMYFUNCTION("PROPER(TRIM(
  LET(
    texto1, REGEXREPLACE(G921,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"),"Carlos Peralta")</f>
        <v>Carlos Peralta</v>
      </c>
      <c r="U921" s="28" t="str">
        <f t="shared" si="4"/>
        <v>2f42e9be-b4f9-41cd-9925-02253d8b26bb</v>
      </c>
      <c r="V921" s="30" t="str">
        <f t="shared" si="5"/>
        <v>Tablet Mini 16GB</v>
      </c>
    </row>
    <row r="922" ht="15.75" customHeight="1">
      <c r="A922" s="36">
        <v>45636.0</v>
      </c>
      <c r="B922" s="2" t="s">
        <v>27</v>
      </c>
      <c r="C922" s="2" t="s">
        <v>226</v>
      </c>
      <c r="D922" s="7">
        <v>2351.13</v>
      </c>
      <c r="E922" s="2">
        <v>1.0</v>
      </c>
      <c r="F922" s="7">
        <v>2351.13</v>
      </c>
      <c r="G922" s="2" t="s">
        <v>3072</v>
      </c>
      <c r="H922" s="2" t="s">
        <v>3073</v>
      </c>
      <c r="I922" s="2" t="s">
        <v>3074</v>
      </c>
      <c r="K922" s="19" t="str">
        <f>IFERROR(__xludf.DUMMYFUNCTION("IF(ISBLANK(A922),
  """",
  IF(ISNUMBER(A922),
    TEXT(A922,""dd/mm/yyyy""),
    IF(
      REGEXMATCH(TRIM(A922),""^\d{1,2}/\d{1,2}/\d{4}$""),
      TRIM(A922),
      IFERROR(
        TEXT(DATEVALUE(SUBSTITUTE(SUBSTITUTE(TRIM(A922),""-"",""/""),""."",""/"&amp;""")),""dd/mm/yyyy""),
        TRIM(A922)
      )
    )
  )
)
"),"10/12/2024")</f>
        <v>10/12/2024</v>
      </c>
      <c r="L922" s="20">
        <v>45636.0</v>
      </c>
      <c r="M922" s="21" t="str">
        <f>IFERROR(__xludf.DUMMYFUNCTION("PROPER(TRIM(
  REGEXREPLACE(
    REGEXREPLACE(
      SUBSTITUTE(SUBSTITUTE(SUBSTITUTE(SUBSTITUTE(SUBSTITUTE(SUBSTITUTE(SUBSTITUTE(SUBSTITUTE(SUBSTITUTE(SUBSTITUTE(SUBSTITUTE(
        B922,""√©"",""é""),""√°"",""á""),""√±"",""ñ""),""√≥"",""ó""),""√â"",""é"&amp;"""),""√Å"",""á""),""√ç"",""í""),""√Ç"",""Í""),""√Â"",""é""),""√≠"",""í""),""√º"",""ú""),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22" s="22" t="str">
        <f>IFERROR(__xludf.DUMMYFUNCTION("SPLIT(
  TRIM(
    SUBSTITUTE(
      SUBSTITUTE(
        SUBSTITUTE(
          SUBSTITUTE(
            C922,
            ""√©"", ""é""
          ),
          ""√±"", ""ñ""
        ),
        ""√°"", ""á""
      ),
      ""√≥"", ""ó""
    )
  ),
  ""-""
)
"),"Tablet")</f>
        <v>Tablet</v>
      </c>
      <c r="O922" s="22" t="str">
        <f>IFERROR(__xludf.DUMMYFUNCTION("""COMPUTED_VALUE"""),"Mini")</f>
        <v>Mini</v>
      </c>
      <c r="P922" s="22" t="str">
        <f>IFERROR(__xludf.DUMMYFUNCTION("""COMPUTED_VALUE"""),"16GB")</f>
        <v>16GB</v>
      </c>
      <c r="Q922" s="23">
        <f t="shared" si="1"/>
        <v>2351.13</v>
      </c>
      <c r="R922" s="22">
        <f t="shared" si="2"/>
        <v>1</v>
      </c>
      <c r="S922" s="23">
        <f t="shared" si="3"/>
        <v>2351.13</v>
      </c>
      <c r="T922" s="22" t="str">
        <f>IFERROR(__xludf.DUMMYFUNCTION("PROPER(TRIM(
  LET(
    texto1, REGEXREPLACE(G922,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"),"Olga Georgina Iglesias")</f>
        <v>Olga Georgina Iglesias</v>
      </c>
      <c r="U922" s="22" t="str">
        <f t="shared" si="4"/>
        <v>d7e693a3-06a8-4900-a649-17ebdc044442</v>
      </c>
      <c r="V922" s="24" t="str">
        <f t="shared" si="5"/>
        <v>Tablet Mini 16GB</v>
      </c>
    </row>
    <row r="923" ht="15.75" customHeight="1">
      <c r="A923" s="6">
        <v>45655.0</v>
      </c>
      <c r="B923" s="2" t="s">
        <v>101</v>
      </c>
      <c r="C923" s="2" t="s">
        <v>360</v>
      </c>
      <c r="D923" s="7">
        <v>792.6</v>
      </c>
      <c r="E923" s="2">
        <v>5.0</v>
      </c>
      <c r="F923" s="7">
        <v>3963.0</v>
      </c>
      <c r="G923" s="2" t="s">
        <v>3075</v>
      </c>
      <c r="H923" s="2" t="s">
        <v>3076</v>
      </c>
      <c r="I923" s="2" t="s">
        <v>3077</v>
      </c>
      <c r="K923" s="25" t="str">
        <f>IFERROR(__xludf.DUMMYFUNCTION("IF(ISBLANK(A923),
  """",
  IF(ISNUMBER(A923),
    TEXT(A923,""dd/mm/yyyy""),
    IF(
      REGEXMATCH(TRIM(A923),""^\d{1,2}/\d{1,2}/\d{4}$""),
      TRIM(A923),
      IFERROR(
        TEXT(DATEVALUE(SUBSTITUTE(SUBSTITUTE(TRIM(A923),""-"",""/""),""."",""/"&amp;""")),""dd/mm/yyyy""),
        TRIM(A923)
      )
    )
  )
)
"),"29/12/2024")</f>
        <v>29/12/2024</v>
      </c>
      <c r="L923" s="26">
        <v>45655.0</v>
      </c>
      <c r="M923" s="27" t="str">
        <f>IFERROR(__xludf.DUMMYFUNCTION("PROPER(TRIM(
  REGEXREPLACE(
    REGEXREPLACE(
      SUBSTITUTE(SUBSTITUTE(SUBSTITUTE(SUBSTITUTE(SUBSTITUTE(SUBSTITUTE(SUBSTITUTE(SUBSTITUTE(SUBSTITUTE(SUBSTITUTE(SUBSTITUTE(
        B923,""√©"",""é""),""√°"",""á""),""√±"",""ñ""),""√≥"",""ó""),""√â"",""é"&amp;"""),""√Å"",""á""),""√ç"",""í""),""√Ç"",""Í""),""√Â"",""é""),""√≠"",""í""),""√º"",""ú""),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23" s="28" t="str">
        <f>IFERROR(__xludf.DUMMYFUNCTION("SPLIT(
  TRIM(
    SUBSTITUTE(
      SUBSTITUTE(
        SUBSTITUTE(
          SUBSTITUTE(
            C923,
            ""√©"", ""é""
          ),
          ""√±"", ""ñ""
        ),
        ""√°"", ""á""
      ),
      ""√≥"", ""ó""
    )
  ),
  ""-""
)
"),"Tablet")</f>
        <v>Tablet</v>
      </c>
      <c r="O923" s="28" t="str">
        <f>IFERROR(__xludf.DUMMYFUNCTION("""COMPUTED_VALUE"""),"Estándar")</f>
        <v>Estándar</v>
      </c>
      <c r="P923" s="28" t="str">
        <f>IFERROR(__xludf.DUMMYFUNCTION("""COMPUTED_VALUE"""),"8GB")</f>
        <v>8GB</v>
      </c>
      <c r="Q923" s="29">
        <f t="shared" si="1"/>
        <v>792.6</v>
      </c>
      <c r="R923" s="28">
        <f t="shared" si="2"/>
        <v>5</v>
      </c>
      <c r="S923" s="29">
        <f t="shared" si="3"/>
        <v>3963</v>
      </c>
      <c r="T923" s="28" t="str">
        <f>IFERROR(__xludf.DUMMYFUNCTION("PROPER(TRIM(
  LET(
    texto1, REGEXREPLACE(G923,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"),"Dalia Barrera")</f>
        <v>Dalia Barrera</v>
      </c>
      <c r="U923" s="28" t="str">
        <f t="shared" si="4"/>
        <v>47c5d8d5-18ad-4bf9-80ad-542822b25aca</v>
      </c>
      <c r="V923" s="30" t="str">
        <f t="shared" si="5"/>
        <v>Tablet Estándar 8GB</v>
      </c>
    </row>
    <row r="924" ht="15.75" customHeight="1">
      <c r="A924" s="6">
        <v>45641.0</v>
      </c>
      <c r="B924" s="2" t="s">
        <v>85</v>
      </c>
      <c r="C924" s="2" t="s">
        <v>28</v>
      </c>
      <c r="D924" s="7">
        <v>741.53</v>
      </c>
      <c r="E924" s="2">
        <v>3.0</v>
      </c>
      <c r="F924" s="7">
        <v>2224.59</v>
      </c>
      <c r="G924" s="2" t="s">
        <v>3078</v>
      </c>
      <c r="H924" s="2" t="s">
        <v>3079</v>
      </c>
      <c r="I924" s="2" t="s">
        <v>3080</v>
      </c>
      <c r="K924" s="19" t="str">
        <f>IFERROR(__xludf.DUMMYFUNCTION("IF(ISBLANK(A924),
  """",
  IF(ISNUMBER(A924),
    TEXT(A924,""dd/mm/yyyy""),
    IF(
      REGEXMATCH(TRIM(A924),""^\d{1,2}/\d{1,2}/\d{4}$""),
      TRIM(A924),
      IFERROR(
        TEXT(DATEVALUE(SUBSTITUTE(SUBSTITUTE(TRIM(A924),""-"",""/""),""."",""/"&amp;""")),""dd/mm/yyyy""),
        TRIM(A924)
      )
    )
  )
)
"),"15/12/2024")</f>
        <v>15/12/2024</v>
      </c>
      <c r="L924" s="20">
        <v>45641.0</v>
      </c>
      <c r="M924" s="21" t="str">
        <f>IFERROR(__xludf.DUMMYFUNCTION("PROPER(TRIM(
  REGEXREPLACE(
    REGEXREPLACE(
      SUBSTITUTE(SUBSTITUTE(SUBSTITUTE(SUBSTITUTE(SUBSTITUTE(SUBSTITUTE(SUBSTITUTE(SUBSTITUTE(SUBSTITUTE(SUBSTITUTE(SUBSTITUTE(
        B924,""√©"",""é""),""√°"",""á""),""√±"",""ñ""),""√≥"",""ó""),""√â"",""é"&amp;"""),""√Å"",""á""),""√ç"",""í""),""√Ç"",""Í""),""√Â"",""é""),""√≠"",""í""),""√º"",""ú""),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24" s="22" t="str">
        <f>IFERROR(__xludf.DUMMYFUNCTION("SPLIT(
  TRIM(
    SUBSTITUTE(
      SUBSTITUTE(
        SUBSTITUTE(
          SUBSTITUTE(
            C924,
            ""√©"", ""é""
          ),
          ""√±"", ""ñ""
        ),
        ""√°"", ""á""
      ),
      ""√≥"", ""ó""
    )
  ),
  ""-""
)
"),"Tablet")</f>
        <v>Tablet</v>
      </c>
      <c r="O924" s="22" t="str">
        <f>IFERROR(__xludf.DUMMYFUNCTION("""COMPUTED_VALUE"""),"Pro")</f>
        <v>Pro</v>
      </c>
      <c r="P924" s="22" t="str">
        <f>IFERROR(__xludf.DUMMYFUNCTION("""COMPUTED_VALUE"""),"8GB")</f>
        <v>8GB</v>
      </c>
      <c r="Q924" s="23">
        <f t="shared" si="1"/>
        <v>741.53</v>
      </c>
      <c r="R924" s="22">
        <f t="shared" si="2"/>
        <v>3</v>
      </c>
      <c r="S924" s="23">
        <f t="shared" si="3"/>
        <v>2224.59</v>
      </c>
      <c r="T924" s="22" t="str">
        <f>IFERROR(__xludf.DUMMYFUNCTION("PROPER(TRIM(
  LET(
    texto1, REGEXREPLACE(G924,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"),"Jorge Bernardo Ávalos")</f>
        <v>Jorge Bernardo Ávalos</v>
      </c>
      <c r="U924" s="22" t="str">
        <f t="shared" si="4"/>
        <v>e13367f1-7d08-4bb3-a252-f1741f4928d8</v>
      </c>
      <c r="V924" s="24" t="str">
        <f t="shared" si="5"/>
        <v>Tablet Pro 8GB</v>
      </c>
    </row>
    <row r="925" ht="15.75" customHeight="1">
      <c r="A925" s="6">
        <v>45619.0</v>
      </c>
      <c r="B925" s="2" t="s">
        <v>38</v>
      </c>
      <c r="C925" s="2" t="s">
        <v>369</v>
      </c>
      <c r="D925" s="7">
        <v>72.37</v>
      </c>
      <c r="E925" s="2">
        <v>4.0</v>
      </c>
      <c r="F925" s="7">
        <v>289.48</v>
      </c>
      <c r="G925" s="2" t="s">
        <v>3081</v>
      </c>
      <c r="H925" s="2" t="s">
        <v>3082</v>
      </c>
      <c r="I925" s="2" t="s">
        <v>3083</v>
      </c>
      <c r="K925" s="25" t="str">
        <f>IFERROR(__xludf.DUMMYFUNCTION("IF(ISBLANK(A925),
  """",
  IF(ISNUMBER(A925),
    TEXT(A925,""dd/mm/yyyy""),
    IF(
      REGEXMATCH(TRIM(A925),""^\d{1,2}/\d{1,2}/\d{4}$""),
      TRIM(A925),
      IFERROR(
        TEXT(DATEVALUE(SUBSTITUTE(SUBSTITUTE(TRIM(A925),""-"",""/""),""."",""/"&amp;""")),""dd/mm/yyyy""),
        TRIM(A925)
      )
    )
  )
)
"),"23/11/2024")</f>
        <v>23/11/2024</v>
      </c>
      <c r="L925" s="26">
        <v>45619.0</v>
      </c>
      <c r="M925" s="27" t="str">
        <f>IFERROR(__xludf.DUMMYFUNCTION("PROPER(TRIM(
  REGEXREPLACE(
    REGEXREPLACE(
      SUBSTITUTE(SUBSTITUTE(SUBSTITUTE(SUBSTITUTE(SUBSTITUTE(SUBSTITUTE(SUBSTITUTE(SUBSTITUTE(SUBSTITUTE(SUBSTITUTE(SUBSTITUTE(
        B925,""√©"",""é""),""√°"",""á""),""√±"",""ñ""),""√≥"",""ó""),""√â"",""é"&amp;"""),""√Å"",""á""),""√ç"",""í""),""√Ç"",""Í""),""√Â"",""é""),""√≠"",""í""),""√º"",""ú""),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25" s="28" t="str">
        <f>IFERROR(__xludf.DUMMYFUNCTION("SPLIT(
  TRIM(
    SUBSTITUTE(
      SUBSTITUTE(
        SUBSTITUTE(
          SUBSTITUTE(
            C925,
            ""√©"", ""é""
          ),
          ""√±"", ""ñ""
        ),
        ""√°"", ""á""
      ),
      ""√≥"", ""ó""
    )
  ),
  ""-""
)
"),"Tablet")</f>
        <v>Tablet</v>
      </c>
      <c r="O925" s="28" t="str">
        <f>IFERROR(__xludf.DUMMYFUNCTION("""COMPUTED_VALUE"""),"Pro")</f>
        <v>Pro</v>
      </c>
      <c r="P925" s="28" t="str">
        <f>IFERROR(__xludf.DUMMYFUNCTION("""COMPUTED_VALUE"""),"16GB")</f>
        <v>16GB</v>
      </c>
      <c r="Q925" s="29">
        <f t="shared" si="1"/>
        <v>72.37</v>
      </c>
      <c r="R925" s="28">
        <f t="shared" si="2"/>
        <v>4</v>
      </c>
      <c r="S925" s="29">
        <f t="shared" si="3"/>
        <v>289.48</v>
      </c>
      <c r="T925" s="28" t="str">
        <f>IFERROR(__xludf.DUMMYFUNCTION("PROPER(TRIM(
  LET(
    texto1, REGEXREPLACE(G925,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"),"Emiliano Violeta Anguiano Paz")</f>
        <v>Emiliano Violeta Anguiano Paz</v>
      </c>
      <c r="U925" s="28" t="str">
        <f t="shared" si="4"/>
        <v>0c6b7809-83fa-4fe8-ae0d-766b000834e5</v>
      </c>
      <c r="V925" s="30" t="str">
        <f t="shared" si="5"/>
        <v>Tablet Pro 16GB</v>
      </c>
    </row>
    <row r="926" ht="15.75" customHeight="1">
      <c r="A926" s="6">
        <v>45584.0</v>
      </c>
      <c r="B926" s="2" t="s">
        <v>50</v>
      </c>
      <c r="C926" s="2" t="s">
        <v>1015</v>
      </c>
      <c r="D926" s="7">
        <v>242.27</v>
      </c>
      <c r="E926" s="2">
        <v>1.0</v>
      </c>
      <c r="F926" s="7">
        <v>242.27</v>
      </c>
      <c r="G926" s="2" t="s">
        <v>3084</v>
      </c>
      <c r="H926" s="2" t="s">
        <v>3085</v>
      </c>
      <c r="I926" s="2" t="s">
        <v>3086</v>
      </c>
      <c r="K926" s="19" t="str">
        <f>IFERROR(__xludf.DUMMYFUNCTION("IF(ISBLANK(A926),
  """",
  IF(ISNUMBER(A926),
    TEXT(A926,""dd/mm/yyyy""),
    IF(
      REGEXMATCH(TRIM(A926),""^\d{1,2}/\d{1,2}/\d{4}$""),
      TRIM(A926),
      IFERROR(
        TEXT(DATEVALUE(SUBSTITUTE(SUBSTITUTE(TRIM(A926),""-"",""/""),""."",""/"&amp;""")),""dd/mm/yyyy""),
        TRIM(A926)
      )
    )
  )
)
"),"19/10/2024")</f>
        <v>19/10/2024</v>
      </c>
      <c r="L926" s="20">
        <v>45584.0</v>
      </c>
      <c r="M926" s="21" t="str">
        <f>IFERROR(__xludf.DUMMYFUNCTION("PROPER(TRIM(
  REGEXREPLACE(
    REGEXREPLACE(
      SUBSTITUTE(SUBSTITUTE(SUBSTITUTE(SUBSTITUTE(SUBSTITUTE(SUBSTITUTE(SUBSTITUTE(SUBSTITUTE(SUBSTITUTE(SUBSTITUTE(SUBSTITUTE(
        B926,""√©"",""é""),""√°"",""á""),""√±"",""ñ""),""√≥"",""ó""),""√â"",""é"&amp;"""),""√Å"",""á""),""√ç"",""í""),""√Ç"",""Í""),""√Â"",""é""),""√≠"",""í""),""√º"",""ú""),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26" s="22" t="str">
        <f>IFERROR(__xludf.DUMMYFUNCTION("SPLIT(
  TRIM(
    SUBSTITUTE(
      SUBSTITUTE(
        SUBSTITUTE(
          SUBSTITUTE(
            C926,
            ""√©"", ""é""
          ),
          ""√±"", ""ñ""
        ),
        ""√°"", ""á""
      ),
      ""√≥"", ""ó""
    )
  ),
  ""-""
)
"),"Auriculares")</f>
        <v>Auriculares</v>
      </c>
      <c r="O926" s="22" t="str">
        <f>IFERROR(__xludf.DUMMYFUNCTION("""COMPUTED_VALUE"""),"Bluetooth")</f>
        <v>Bluetooth</v>
      </c>
      <c r="P926" s="22" t="str">
        <f>IFERROR(__xludf.DUMMYFUNCTION("""COMPUTED_VALUE"""),"32GB")</f>
        <v>32GB</v>
      </c>
      <c r="Q926" s="23">
        <f t="shared" si="1"/>
        <v>242.27</v>
      </c>
      <c r="R926" s="22">
        <f t="shared" si="2"/>
        <v>1</v>
      </c>
      <c r="S926" s="23">
        <f t="shared" si="3"/>
        <v>242.27</v>
      </c>
      <c r="T926" s="22" t="str">
        <f>IFERROR(__xludf.DUMMYFUNCTION("PROPER(TRIM(
  LET(
    texto1, REGEXREPLACE(G926,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"),"Guadalupe Borrego")</f>
        <v>Guadalupe Borrego</v>
      </c>
      <c r="U926" s="22" t="str">
        <f t="shared" si="4"/>
        <v>a87e348f-adbc-474d-84ab-934239890915</v>
      </c>
      <c r="V926" s="24" t="str">
        <f t="shared" si="5"/>
        <v>Auriculares Bluetooth 32GB</v>
      </c>
    </row>
    <row r="927" ht="15.75" customHeight="1">
      <c r="A927" s="36">
        <v>45333.0</v>
      </c>
      <c r="B927" s="2" t="s">
        <v>38</v>
      </c>
      <c r="C927" s="2" t="s">
        <v>245</v>
      </c>
      <c r="D927" s="7">
        <v>2097.38</v>
      </c>
      <c r="E927" s="2">
        <v>2.0</v>
      </c>
      <c r="F927" s="7">
        <v>4194.76</v>
      </c>
      <c r="G927" s="2" t="s">
        <v>3087</v>
      </c>
      <c r="H927" s="2" t="s">
        <v>3088</v>
      </c>
      <c r="I927" s="2" t="s">
        <v>3089</v>
      </c>
      <c r="K927" s="25" t="str">
        <f>IFERROR(__xludf.DUMMYFUNCTION("IF(ISBLANK(A927),
  """",
  IF(ISNUMBER(A927),
    TEXT(A927,""dd/mm/yyyy""),
    IF(
      REGEXMATCH(TRIM(A927),""^\d{1,2}/\d{1,2}/\d{4}$""),
      TRIM(A927),
      IFERROR(
        TEXT(DATEVALUE(SUBSTITUTE(SUBSTITUTE(TRIM(A927),""-"",""/""),""."",""/"&amp;""")),""dd/mm/yyyy""),
        TRIM(A927)
      )
    )
  )
)
"),"11/02/2024")</f>
        <v>11/02/2024</v>
      </c>
      <c r="L927" s="26">
        <v>45333.0</v>
      </c>
      <c r="M927" s="27" t="str">
        <f>IFERROR(__xludf.DUMMYFUNCTION("PROPER(TRIM(
  REGEXREPLACE(
    REGEXREPLACE(
      SUBSTITUTE(SUBSTITUTE(SUBSTITUTE(SUBSTITUTE(SUBSTITUTE(SUBSTITUTE(SUBSTITUTE(SUBSTITUTE(SUBSTITUTE(SUBSTITUTE(SUBSTITUTE(
        B927,""√©"",""é""),""√°"",""á""),""√±"",""ñ""),""√≥"",""ó""),""√â"",""é"&amp;"""),""√Å"",""á""),""√ç"",""í""),""√Ç"",""Í""),""√Â"",""é""),""√≠"",""í""),""√º"",""ú""),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27" s="28" t="str">
        <f>IFERROR(__xludf.DUMMYFUNCTION("SPLIT(
  TRIM(
    SUBSTITUTE(
      SUBSTITUTE(
        SUBSTITUTE(
          SUBSTITUTE(
            C927,
            ""√©"", ""é""
          ),
          ""√±"", ""ñ""
        ),
        ""√°"", ""á""
      ),
      ""√≥"", ""ó""
    )
  ),
  ""-""
)
"),"Teléfono")</f>
        <v>Teléfono</v>
      </c>
      <c r="O927" s="28" t="str">
        <f>IFERROR(__xludf.DUMMYFUNCTION("""COMPUTED_VALUE"""),"Gama baja")</f>
        <v>Gama baja</v>
      </c>
      <c r="P927" s="28" t="str">
        <f>IFERROR(__xludf.DUMMYFUNCTION("""COMPUTED_VALUE"""),"32GB")</f>
        <v>32GB</v>
      </c>
      <c r="Q927" s="29">
        <f t="shared" si="1"/>
        <v>2097.38</v>
      </c>
      <c r="R927" s="28">
        <f t="shared" si="2"/>
        <v>2</v>
      </c>
      <c r="S927" s="29">
        <f t="shared" si="3"/>
        <v>4194.76</v>
      </c>
      <c r="T927" s="28" t="str">
        <f>IFERROR(__xludf.DUMMYFUNCTION("PROPER(TRIM(
  LET(
    texto1, REGEXREPLACE(G927,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"),"Benito Ramón")</f>
        <v>Benito Ramón</v>
      </c>
      <c r="U927" s="28" t="str">
        <f t="shared" si="4"/>
        <v>0b90db1b-0e53-4695-b650-7bf4633ec0f6</v>
      </c>
      <c r="V927" s="30" t="str">
        <f t="shared" si="5"/>
        <v>Teléfono Gama baja 32GB</v>
      </c>
    </row>
    <row r="928" ht="15.75" customHeight="1">
      <c r="A928" s="6">
        <v>45585.0</v>
      </c>
      <c r="B928" s="2" t="s">
        <v>27</v>
      </c>
      <c r="C928" s="2" t="s">
        <v>196</v>
      </c>
      <c r="D928" s="7">
        <v>270.83</v>
      </c>
      <c r="E928" s="2">
        <v>3.0</v>
      </c>
      <c r="F928" s="7">
        <v>812.49</v>
      </c>
      <c r="G928" s="2" t="s">
        <v>3090</v>
      </c>
      <c r="H928" s="2" t="s">
        <v>3091</v>
      </c>
      <c r="I928" s="2" t="s">
        <v>3092</v>
      </c>
      <c r="K928" s="19" t="str">
        <f>IFERROR(__xludf.DUMMYFUNCTION("IF(ISBLANK(A928),
  """",
  IF(ISNUMBER(A928),
    TEXT(A928,""dd/mm/yyyy""),
    IF(
      REGEXMATCH(TRIM(A928),""^\d{1,2}/\d{1,2}/\d{4}$""),
      TRIM(A928),
      IFERROR(
        TEXT(DATEVALUE(SUBSTITUTE(SUBSTITUTE(TRIM(A928),""-"",""/""),""."",""/"&amp;""")),""dd/mm/yyyy""),
        TRIM(A928)
      )
    )
  )
)
"),"20/10/2024")</f>
        <v>20/10/2024</v>
      </c>
      <c r="L928" s="20">
        <v>45585.0</v>
      </c>
      <c r="M928" s="21" t="str">
        <f>IFERROR(__xludf.DUMMYFUNCTION("PROPER(TRIM(
  REGEXREPLACE(
    REGEXREPLACE(
      SUBSTITUTE(SUBSTITUTE(SUBSTITUTE(SUBSTITUTE(SUBSTITUTE(SUBSTITUTE(SUBSTITUTE(SUBSTITUTE(SUBSTITUTE(SUBSTITUTE(SUBSTITUTE(
        B928,""√©"",""é""),""√°"",""á""),""√±"",""ñ""),""√≥"",""ó""),""√â"",""é"&amp;"""),""√Å"",""á""),""√ç"",""í""),""√Ç"",""Í""),""√Â"",""é""),""√≠"",""í""),""√º"",""ú""),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28" s="22" t="str">
        <f>IFERROR(__xludf.DUMMYFUNCTION("SPLIT(
  TRIM(
    SUBSTITUTE(
      SUBSTITUTE(
        SUBSTITUTE(
          SUBSTITUTE(
            C928,
            ""√©"", ""é""
          ),
          ""√±"", ""ñ""
        ),
        ""√°"", ""á""
      ),
      ""√≥"", ""ó""
    )
  ),
  ""-""
)
"),"Auriculares")</f>
        <v>Auriculares</v>
      </c>
      <c r="O928" s="22" t="str">
        <f>IFERROR(__xludf.DUMMYFUNCTION("""COMPUTED_VALUE"""),"Cancelación de ruido")</f>
        <v>Cancelación de ruido</v>
      </c>
      <c r="P928" s="22" t="str">
        <f>IFERROR(__xludf.DUMMYFUNCTION("""COMPUTED_VALUE"""),"8GB")</f>
        <v>8GB</v>
      </c>
      <c r="Q928" s="23">
        <f t="shared" si="1"/>
        <v>270.83</v>
      </c>
      <c r="R928" s="22">
        <f t="shared" si="2"/>
        <v>3</v>
      </c>
      <c r="S928" s="23">
        <f t="shared" si="3"/>
        <v>812.49</v>
      </c>
      <c r="T928" s="22" t="str">
        <f>IFERROR(__xludf.DUMMYFUNCTION("PROPER(TRIM(
  LET(
    texto1, REGEXREPLACE(G928,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"),"Ricardo Velasco")</f>
        <v>Ricardo Velasco</v>
      </c>
      <c r="U928" s="22" t="str">
        <f t="shared" si="4"/>
        <v>ec133e61-2767-4fb0-ab9c-665b9e47a3d2</v>
      </c>
      <c r="V928" s="24" t="str">
        <f t="shared" si="5"/>
        <v>Auriculares Cancelación de ruido 8GB</v>
      </c>
    </row>
    <row r="929" ht="15.75" customHeight="1">
      <c r="A929" s="36">
        <v>45333.0</v>
      </c>
      <c r="B929" s="2" t="s">
        <v>16</v>
      </c>
      <c r="C929" s="2" t="s">
        <v>91</v>
      </c>
      <c r="D929" s="7">
        <v>494.09</v>
      </c>
      <c r="E929" s="2">
        <v>4.0</v>
      </c>
      <c r="F929" s="7">
        <v>1976.36</v>
      </c>
      <c r="G929" s="2" t="s">
        <v>3093</v>
      </c>
      <c r="H929" s="2" t="s">
        <v>3094</v>
      </c>
      <c r="I929" s="2" t="s">
        <v>3095</v>
      </c>
      <c r="K929" s="25" t="str">
        <f>IFERROR(__xludf.DUMMYFUNCTION("IF(ISBLANK(A929),
  """",
  IF(ISNUMBER(A929),
    TEXT(A929,""dd/mm/yyyy""),
    IF(
      REGEXMATCH(TRIM(A929),""^\d{1,2}/\d{1,2}/\d{4}$""),
      TRIM(A929),
      IFERROR(
        TEXT(DATEVALUE(SUBSTITUTE(SUBSTITUTE(TRIM(A929),""-"",""/""),""."",""/"&amp;""")),""dd/mm/yyyy""),
        TRIM(A929)
      )
    )
  )
)
"),"11/02/2024")</f>
        <v>11/02/2024</v>
      </c>
      <c r="L929" s="26">
        <v>45333.0</v>
      </c>
      <c r="M929" s="27" t="str">
        <f>IFERROR(__xludf.DUMMYFUNCTION("PROPER(TRIM(
  REGEXREPLACE(
    REGEXREPLACE(
      SUBSTITUTE(SUBSTITUTE(SUBSTITUTE(SUBSTITUTE(SUBSTITUTE(SUBSTITUTE(SUBSTITUTE(SUBSTITUTE(SUBSTITUTE(SUBSTITUTE(SUBSTITUTE(
        B929,""√©"",""é""),""√°"",""á""),""√±"",""ñ""),""√≥"",""ó""),""√â"",""é"&amp;"""),""√Å"",""á""),""√ç"",""í""),""√Ç"",""Í""),""√Â"",""é""),""√≠"",""í""),""√º"",""ú""),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29" s="28" t="str">
        <f>IFERROR(__xludf.DUMMYFUNCTION("SPLIT(
  TRIM(
    SUBSTITUTE(
      SUBSTITUTE(
        SUBSTITUTE(
          SUBSTITUTE(
            C929,
            ""√©"", ""é""
          ),
          ""√±"", ""ñ""
        ),
        ""√°"", ""á""
      ),
      ""√≥"", ""ó""
    )
  ),
  ""-""
)
"),"Tablet")</f>
        <v>Tablet</v>
      </c>
      <c r="O929" s="28" t="str">
        <f>IFERROR(__xludf.DUMMYFUNCTION("""COMPUTED_VALUE"""),"Mini")</f>
        <v>Mini</v>
      </c>
      <c r="P929" s="28" t="str">
        <f>IFERROR(__xludf.DUMMYFUNCTION("""COMPUTED_VALUE"""),"32GB")</f>
        <v>32GB</v>
      </c>
      <c r="Q929" s="29">
        <f t="shared" si="1"/>
        <v>494.09</v>
      </c>
      <c r="R929" s="28">
        <f t="shared" si="2"/>
        <v>4</v>
      </c>
      <c r="S929" s="29">
        <f t="shared" si="3"/>
        <v>1976.36</v>
      </c>
      <c r="T929" s="28" t="str">
        <f>IFERROR(__xludf.DUMMYFUNCTION("PROPER(TRIM(
  LET(
    texto1, REGEXREPLACE(G929,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"),"Amanda Gollum")</f>
        <v>Amanda Gollum</v>
      </c>
      <c r="U929" s="28" t="str">
        <f t="shared" si="4"/>
        <v>caf893af-e7d0-485a-b903-5b6bb7b717d6</v>
      </c>
      <c r="V929" s="30" t="str">
        <f t="shared" si="5"/>
        <v>Tablet Mini 32GB</v>
      </c>
    </row>
    <row r="930" ht="15.75" customHeight="1">
      <c r="A930" s="6">
        <v>45592.0</v>
      </c>
      <c r="B930" s="2" t="s">
        <v>50</v>
      </c>
      <c r="C930" s="2" t="s">
        <v>111</v>
      </c>
      <c r="D930" s="7">
        <v>1984.42</v>
      </c>
      <c r="E930" s="2">
        <v>4.0</v>
      </c>
      <c r="F930" s="7">
        <v>7937.68</v>
      </c>
      <c r="G930" s="2" t="s">
        <v>3096</v>
      </c>
      <c r="H930" s="2" t="s">
        <v>3097</v>
      </c>
      <c r="I930" s="2" t="s">
        <v>3098</v>
      </c>
      <c r="K930" s="19" t="str">
        <f>IFERROR(__xludf.DUMMYFUNCTION("IF(ISBLANK(A930),
  """",
  IF(ISNUMBER(A930),
    TEXT(A930,""dd/mm/yyyy""),
    IF(
      REGEXMATCH(TRIM(A930),""^\d{1,2}/\d{1,2}/\d{4}$""),
      TRIM(A930),
      IFERROR(
        TEXT(DATEVALUE(SUBSTITUTE(SUBSTITUTE(TRIM(A930),""-"",""/""),""."",""/"&amp;""")),""dd/mm/yyyy""),
        TRIM(A930)
      )
    )
  )
)
"),"27/10/2024")</f>
        <v>27/10/2024</v>
      </c>
      <c r="L930" s="20">
        <v>45592.0</v>
      </c>
      <c r="M930" s="21" t="str">
        <f>IFERROR(__xludf.DUMMYFUNCTION("PROPER(TRIM(
  REGEXREPLACE(
    REGEXREPLACE(
      SUBSTITUTE(SUBSTITUTE(SUBSTITUTE(SUBSTITUTE(SUBSTITUTE(SUBSTITUTE(SUBSTITUTE(SUBSTITUTE(SUBSTITUTE(SUBSTITUTE(SUBSTITUTE(
        B930,""√©"",""é""),""√°"",""á""),""√±"",""ñ""),""√≥"",""ó""),""√â"",""é"&amp;"""),""√Å"",""á""),""√ç"",""í""),""√Ç"",""Í""),""√Â"",""é""),""√≠"",""í""),""√º"",""ú""),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30" s="22" t="str">
        <f>IFERROR(__xludf.DUMMYFUNCTION("SPLIT(
  TRIM(
    SUBSTITUTE(
      SUBSTITUTE(
        SUBSTITUTE(
          SUBSTITUTE(
            C930,
            ""√©"", ""é""
          ),
          ""√±"", ""ñ""
        ),
        ""√°"", ""á""
      ),
      ""√≥"", ""ó""
    )
  ),
  ""-""
)
"),"Tablet")</f>
        <v>Tablet</v>
      </c>
      <c r="O930" s="22" t="str">
        <f>IFERROR(__xludf.DUMMYFUNCTION("""COMPUTED_VALUE"""),"Estándar")</f>
        <v>Estándar</v>
      </c>
      <c r="P930" s="22" t="str">
        <f>IFERROR(__xludf.DUMMYFUNCTION("""COMPUTED_VALUE"""),"16GB")</f>
        <v>16GB</v>
      </c>
      <c r="Q930" s="23">
        <f t="shared" si="1"/>
        <v>1984.42</v>
      </c>
      <c r="R930" s="22">
        <f t="shared" si="2"/>
        <v>4</v>
      </c>
      <c r="S930" s="23">
        <f t="shared" si="3"/>
        <v>7937.68</v>
      </c>
      <c r="T930" s="22" t="str">
        <f>IFERROR(__xludf.DUMMYFUNCTION("PROPER(TRIM(
  LET(
    texto1, REGEXREPLACE(G930,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"),"Mercedes Amanda Jurado Centeno")</f>
        <v>Mercedes Amanda Jurado Centeno</v>
      </c>
      <c r="U930" s="22" t="str">
        <f t="shared" si="4"/>
        <v>fcfe31f4-1827-4f08-8c09-fac8682e5bbc</v>
      </c>
      <c r="V930" s="24" t="str">
        <f t="shared" si="5"/>
        <v>Tablet Estándar 16GB</v>
      </c>
    </row>
    <row r="931" ht="15.75" customHeight="1">
      <c r="A931" s="6">
        <v>45612.0</v>
      </c>
      <c r="B931" s="2" t="s">
        <v>16</v>
      </c>
      <c r="C931" s="2" t="s">
        <v>181</v>
      </c>
      <c r="D931" s="7">
        <v>992.95</v>
      </c>
      <c r="E931" s="2">
        <v>3.0</v>
      </c>
      <c r="F931" s="7">
        <v>2978.85</v>
      </c>
      <c r="G931" s="2" t="s">
        <v>3099</v>
      </c>
      <c r="H931" s="2" t="s">
        <v>3100</v>
      </c>
      <c r="I931" s="2" t="s">
        <v>3101</v>
      </c>
      <c r="K931" s="25" t="str">
        <f>IFERROR(__xludf.DUMMYFUNCTION("IF(ISBLANK(A931),
  """",
  IF(ISNUMBER(A931),
    TEXT(A931,""dd/mm/yyyy""),
    IF(
      REGEXMATCH(TRIM(A931),""^\d{1,2}/\d{1,2}/\d{4}$""),
      TRIM(A931),
      IFERROR(
        TEXT(DATEVALUE(SUBSTITUTE(SUBSTITUTE(TRIM(A931),""-"",""/""),""."",""/"&amp;""")),""dd/mm/yyyy""),
        TRIM(A931)
      )
    )
  )
)
"),"16/11/2024")</f>
        <v>16/11/2024</v>
      </c>
      <c r="L931" s="26">
        <v>45612.0</v>
      </c>
      <c r="M931" s="27" t="str">
        <f>IFERROR(__xludf.DUMMYFUNCTION("PROPER(TRIM(
  REGEXREPLACE(
    REGEXREPLACE(
      SUBSTITUTE(SUBSTITUTE(SUBSTITUTE(SUBSTITUTE(SUBSTITUTE(SUBSTITUTE(SUBSTITUTE(SUBSTITUTE(SUBSTITUTE(SUBSTITUTE(SUBSTITUTE(
        B931,""√©"",""é""),""√°"",""á""),""√±"",""ñ""),""√≥"",""ó""),""√â"",""é"&amp;"""),""√Å"",""á""),""√ç"",""í""),""√Ç"",""Í""),""√Â"",""é""),""√≠"",""í""),""√º"",""ú""),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31" s="28" t="str">
        <f>IFERROR(__xludf.DUMMYFUNCTION("SPLIT(
  TRIM(
    SUBSTITUTE(
      SUBSTITUTE(
        SUBSTITUTE(
          SUBSTITUTE(
            C931,
            ""√©"", ""é""
          ),
          ""√±"", ""ñ""
        ),
        ""√°"", ""á""
      ),
      ""√≥"", ""ó""
    )
  ),
  ""-""
)
"),"Laptop")</f>
        <v>Laptop</v>
      </c>
      <c r="O931" s="28" t="str">
        <f>IFERROR(__xludf.DUMMYFUNCTION("""COMPUTED_VALUE"""),"Ultraliviana")</f>
        <v>Ultraliviana</v>
      </c>
      <c r="P931" s="28" t="str">
        <f>IFERROR(__xludf.DUMMYFUNCTION("""COMPUTED_VALUE"""),"4GB")</f>
        <v>4GB</v>
      </c>
      <c r="Q931" s="29">
        <f t="shared" si="1"/>
        <v>992.95</v>
      </c>
      <c r="R931" s="28">
        <f t="shared" si="2"/>
        <v>3</v>
      </c>
      <c r="S931" s="29">
        <f t="shared" si="3"/>
        <v>2978.85</v>
      </c>
      <c r="T931" s="28" t="str">
        <f>IFERROR(__xludf.DUMMYFUNCTION("PROPER(TRIM(
  LET(
    texto1, REGEXREPLACE(G931,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"),"Marcos Rivas")</f>
        <v>Marcos Rivas</v>
      </c>
      <c r="U931" s="28" t="str">
        <f t="shared" si="4"/>
        <v>5b8c2387-f4d6-4823-8d42-a41707a832ef</v>
      </c>
      <c r="V931" s="30" t="str">
        <f t="shared" si="5"/>
        <v>Laptop Ultraliviana 4GB</v>
      </c>
    </row>
    <row r="932" ht="15.75" customHeight="1">
      <c r="A932" s="36">
        <v>45547.0</v>
      </c>
      <c r="B932" s="2" t="s">
        <v>27</v>
      </c>
      <c r="C932" s="2" t="s">
        <v>147</v>
      </c>
      <c r="D932" s="7">
        <v>2230.77</v>
      </c>
      <c r="E932" s="2">
        <v>5.0</v>
      </c>
      <c r="F932" s="7">
        <v>11153.85</v>
      </c>
      <c r="G932" s="2" t="s">
        <v>3102</v>
      </c>
      <c r="H932" s="2" t="s">
        <v>3103</v>
      </c>
      <c r="I932" s="2" t="s">
        <v>3104</v>
      </c>
      <c r="K932" s="19" t="str">
        <f>IFERROR(__xludf.DUMMYFUNCTION("IF(ISBLANK(A932),
  """",
  IF(ISNUMBER(A932),
    TEXT(A932,""dd/mm/yyyy""),
    IF(
      REGEXMATCH(TRIM(A932),""^\d{1,2}/\d{1,2}/\d{4}$""),
      TRIM(A932),
      IFERROR(
        TEXT(DATEVALUE(SUBSTITUTE(SUBSTITUTE(TRIM(A932),""-"",""/""),""."",""/"&amp;""")),""dd/mm/yyyy""),
        TRIM(A932)
      )
    )
  )
)
"),"12/09/2024")</f>
        <v>12/09/2024</v>
      </c>
      <c r="L932" s="20">
        <v>45547.0</v>
      </c>
      <c r="M932" s="21" t="str">
        <f>IFERROR(__xludf.DUMMYFUNCTION("PROPER(TRIM(
  REGEXREPLACE(
    REGEXREPLACE(
      SUBSTITUTE(SUBSTITUTE(SUBSTITUTE(SUBSTITUTE(SUBSTITUTE(SUBSTITUTE(SUBSTITUTE(SUBSTITUTE(SUBSTITUTE(SUBSTITUTE(SUBSTITUTE(
        B932,""√©"",""é""),""√°"",""á""),""√±"",""ñ""),""√≥"",""ó""),""√â"",""é"&amp;"""),""√Å"",""á""),""√ç"",""í""),""√Ç"",""Í""),""√Â"",""é""),""√≠"",""í""),""√º"",""ú""),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32" s="22" t="str">
        <f>IFERROR(__xludf.DUMMYFUNCTION("SPLIT(
  TRIM(
    SUBSTITUTE(
      SUBSTITUTE(
        SUBSTITUTE(
          SUBSTITUTE(
            C932,
            ""√©"", ""é""
          ),
          ""√±"", ""ñ""
        ),
        ""√°"", ""á""
      ),
      ""√≥"", ""ó""
    )
  ),
  ""-""
)
"),"Laptop")</f>
        <v>Laptop</v>
      </c>
      <c r="O932" s="22" t="str">
        <f>IFERROR(__xludf.DUMMYFUNCTION("""COMPUTED_VALUE"""),"Oficina")</f>
        <v>Oficina</v>
      </c>
      <c r="P932" s="22" t="str">
        <f>IFERROR(__xludf.DUMMYFUNCTION("""COMPUTED_VALUE"""),"16GB")</f>
        <v>16GB</v>
      </c>
      <c r="Q932" s="23">
        <f t="shared" si="1"/>
        <v>2230.77</v>
      </c>
      <c r="R932" s="22">
        <f t="shared" si="2"/>
        <v>5</v>
      </c>
      <c r="S932" s="23">
        <f t="shared" si="3"/>
        <v>11153.85</v>
      </c>
      <c r="T932" s="22" t="str">
        <f>IFERROR(__xludf.DUMMYFUNCTION("PROPER(TRIM(
  LET(
    texto1, REGEXREPLACE(G932,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"),"Norma Meléndez")</f>
        <v>Norma Meléndez</v>
      </c>
      <c r="U932" s="22" t="str">
        <f t="shared" si="4"/>
        <v>053c462d-890c-45f0-8bb4-0f12c91d58e7</v>
      </c>
      <c r="V932" s="24" t="str">
        <f t="shared" si="5"/>
        <v>Laptop Oficina 16GB</v>
      </c>
    </row>
    <row r="933" ht="15.75" customHeight="1">
      <c r="A933" s="36">
        <v>45637.0</v>
      </c>
      <c r="B933" s="2" t="s">
        <v>85</v>
      </c>
      <c r="C933" s="2" t="s">
        <v>28</v>
      </c>
      <c r="D933" s="7">
        <v>1203.25</v>
      </c>
      <c r="E933" s="2">
        <v>4.0</v>
      </c>
      <c r="F933" s="7">
        <v>4813.0</v>
      </c>
      <c r="G933" s="2" t="s">
        <v>3105</v>
      </c>
      <c r="H933" s="2" t="s">
        <v>3106</v>
      </c>
      <c r="I933" s="2" t="s">
        <v>3107</v>
      </c>
      <c r="K933" s="25" t="str">
        <f>IFERROR(__xludf.DUMMYFUNCTION("IF(ISBLANK(A933),
  """",
  IF(ISNUMBER(A933),
    TEXT(A933,""dd/mm/yyyy""),
    IF(
      REGEXMATCH(TRIM(A933),""^\d{1,2}/\d{1,2}/\d{4}$""),
      TRIM(A933),
      IFERROR(
        TEXT(DATEVALUE(SUBSTITUTE(SUBSTITUTE(TRIM(A933),""-"",""/""),""."",""/"&amp;""")),""dd/mm/yyyy""),
        TRIM(A933)
      )
    )
  )
)
"),"11/12/2024")</f>
        <v>11/12/2024</v>
      </c>
      <c r="L933" s="26">
        <v>45637.0</v>
      </c>
      <c r="M933" s="27" t="str">
        <f>IFERROR(__xludf.DUMMYFUNCTION("PROPER(TRIM(
  REGEXREPLACE(
    REGEXREPLACE(
      SUBSTITUTE(SUBSTITUTE(SUBSTITUTE(SUBSTITUTE(SUBSTITUTE(SUBSTITUTE(SUBSTITUTE(SUBSTITUTE(SUBSTITUTE(SUBSTITUTE(SUBSTITUTE(
        B933,""√©"",""é""),""√°"",""á""),""√±"",""ñ""),""√≥"",""ó""),""√â"",""é"&amp;"""),""√Å"",""á""),""√ç"",""í""),""√Ç"",""Í""),""√Â"",""é""),""√≠"",""í""),""√º"",""ú""),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33" s="28" t="str">
        <f>IFERROR(__xludf.DUMMYFUNCTION("SPLIT(
  TRIM(
    SUBSTITUTE(
      SUBSTITUTE(
        SUBSTITUTE(
          SUBSTITUTE(
            C933,
            ""√©"", ""é""
          ),
          ""√±"", ""ñ""
        ),
        ""√°"", ""á""
      ),
      ""√≥"", ""ó""
    )
  ),
  ""-""
)
"),"Tablet")</f>
        <v>Tablet</v>
      </c>
      <c r="O933" s="28" t="str">
        <f>IFERROR(__xludf.DUMMYFUNCTION("""COMPUTED_VALUE"""),"Pro")</f>
        <v>Pro</v>
      </c>
      <c r="P933" s="28" t="str">
        <f>IFERROR(__xludf.DUMMYFUNCTION("""COMPUTED_VALUE"""),"8GB")</f>
        <v>8GB</v>
      </c>
      <c r="Q933" s="29">
        <f t="shared" si="1"/>
        <v>1203.25</v>
      </c>
      <c r="R933" s="28">
        <f t="shared" si="2"/>
        <v>4</v>
      </c>
      <c r="S933" s="29">
        <f t="shared" si="3"/>
        <v>4813</v>
      </c>
      <c r="T933" s="28" t="str">
        <f>IFERROR(__xludf.DUMMYFUNCTION("PROPER(TRIM(
  LET(
    texto1, REGEXREPLACE(G933,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"),"Augusto Adán Niño")</f>
        <v>Augusto Adán Niño</v>
      </c>
      <c r="U933" s="28" t="str">
        <f t="shared" si="4"/>
        <v>4f0f1770-3af6-4b65-a5e9-61a996e12a76</v>
      </c>
      <c r="V933" s="30" t="str">
        <f t="shared" si="5"/>
        <v>Tablet Pro 8GB</v>
      </c>
    </row>
    <row r="934" ht="15.75" customHeight="1">
      <c r="A934" s="36">
        <v>45516.0</v>
      </c>
      <c r="B934" s="2" t="s">
        <v>85</v>
      </c>
      <c r="C934" s="2" t="s">
        <v>96</v>
      </c>
      <c r="D934" s="7">
        <v>1912.01</v>
      </c>
      <c r="E934" s="2">
        <v>4.0</v>
      </c>
      <c r="F934" s="7">
        <v>7648.04</v>
      </c>
      <c r="G934" s="2" t="s">
        <v>3108</v>
      </c>
      <c r="H934" s="2" t="s">
        <v>3109</v>
      </c>
      <c r="I934" s="2" t="s">
        <v>3110</v>
      </c>
      <c r="K934" s="19" t="str">
        <f>IFERROR(__xludf.DUMMYFUNCTION("IF(ISBLANK(A934),
  """",
  IF(ISNUMBER(A934),
    TEXT(A934,""dd/mm/yyyy""),
    IF(
      REGEXMATCH(TRIM(A934),""^\d{1,2}/\d{1,2}/\d{4}$""),
      TRIM(A934),
      IFERROR(
        TEXT(DATEVALUE(SUBSTITUTE(SUBSTITUTE(TRIM(A934),""-"",""/""),""."",""/"&amp;""")),""dd/mm/yyyy""),
        TRIM(A934)
      )
    )
  )
)
"),"12/08/2024")</f>
        <v>12/08/2024</v>
      </c>
      <c r="L934" s="20">
        <v>45516.0</v>
      </c>
      <c r="M934" s="21" t="str">
        <f>IFERROR(__xludf.DUMMYFUNCTION("PROPER(TRIM(
  REGEXREPLACE(
    REGEXREPLACE(
      SUBSTITUTE(SUBSTITUTE(SUBSTITUTE(SUBSTITUTE(SUBSTITUTE(SUBSTITUTE(SUBSTITUTE(SUBSTITUTE(SUBSTITUTE(SUBSTITUTE(SUBSTITUTE(
        B934,""√©"",""é""),""√°"",""á""),""√±"",""ñ""),""√≥"",""ó""),""√â"",""é"&amp;"""),""√Å"",""á""),""√ç"",""í""),""√Ç"",""Í""),""√Â"",""é""),""√≠"",""í""),""√º"",""ú""),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34" s="22" t="str">
        <f>IFERROR(__xludf.DUMMYFUNCTION("SPLIT(
  TRIM(
    SUBSTITUTE(
      SUBSTITUTE(
        SUBSTITUTE(
          SUBSTITUTE(
            C934,
            ""√©"", ""é""
          ),
          ""√±"", ""ñ""
        ),
        ""√°"", ""á""
      ),
      ""√≥"", ""ó""
    )
  ),
  ""-""
)
"),"Auriculares")</f>
        <v>Auriculares</v>
      </c>
      <c r="O934" s="22" t="str">
        <f>IFERROR(__xludf.DUMMYFUNCTION("""COMPUTED_VALUE"""),"Cancelación de ruido")</f>
        <v>Cancelación de ruido</v>
      </c>
      <c r="P934" s="22" t="str">
        <f>IFERROR(__xludf.DUMMYFUNCTION("""COMPUTED_VALUE"""),"4GB")</f>
        <v>4GB</v>
      </c>
      <c r="Q934" s="23">
        <f t="shared" si="1"/>
        <v>1912.01</v>
      </c>
      <c r="R934" s="22">
        <f t="shared" si="2"/>
        <v>4</v>
      </c>
      <c r="S934" s="23">
        <f t="shared" si="3"/>
        <v>7648.04</v>
      </c>
      <c r="T934" s="22" t="str">
        <f>IFERROR(__xludf.DUMMYFUNCTION("PROPER(TRIM(
  LET(
    texto1, REGEXREPLACE(G934,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"),"Amador Hernandes Menéndez")</f>
        <v>Amador Hernandes Menéndez</v>
      </c>
      <c r="U934" s="22" t="str">
        <f t="shared" si="4"/>
        <v>b02eb611-668d-4716-946e-2f69918d05a7</v>
      </c>
      <c r="V934" s="24" t="str">
        <f t="shared" si="5"/>
        <v>Auriculares Cancelación de ruido 4GB</v>
      </c>
    </row>
    <row r="935" ht="15.75" customHeight="1">
      <c r="A935" s="36">
        <v>45303.0</v>
      </c>
      <c r="B935" s="2" t="s">
        <v>27</v>
      </c>
      <c r="C935" s="2" t="s">
        <v>250</v>
      </c>
      <c r="D935" s="7">
        <v>2049.26</v>
      </c>
      <c r="E935" s="2">
        <v>5.0</v>
      </c>
      <c r="F935" s="7">
        <v>10246.3</v>
      </c>
      <c r="G935" s="2" t="s">
        <v>3111</v>
      </c>
      <c r="H935" s="2" t="s">
        <v>3112</v>
      </c>
      <c r="I935" s="2" t="s">
        <v>3113</v>
      </c>
      <c r="K935" s="25" t="str">
        <f>IFERROR(__xludf.DUMMYFUNCTION("IF(ISBLANK(A935),
  """",
  IF(ISNUMBER(A935),
    TEXT(A935,""dd/mm/yyyy""),
    IF(
      REGEXMATCH(TRIM(A935),""^\d{1,2}/\d{1,2}/\d{4}$""),
      TRIM(A935),
      IFERROR(
        TEXT(DATEVALUE(SUBSTITUTE(SUBSTITUTE(TRIM(A935),""-"",""/""),""."",""/"&amp;""")),""dd/mm/yyyy""),
        TRIM(A935)
      )
    )
  )
)
"),"12/01/2024")</f>
        <v>12/01/2024</v>
      </c>
      <c r="L935" s="26">
        <v>45303.0</v>
      </c>
      <c r="M935" s="27" t="str">
        <f>IFERROR(__xludf.DUMMYFUNCTION("PROPER(TRIM(
  REGEXREPLACE(
    REGEXREPLACE(
      SUBSTITUTE(SUBSTITUTE(SUBSTITUTE(SUBSTITUTE(SUBSTITUTE(SUBSTITUTE(SUBSTITUTE(SUBSTITUTE(SUBSTITUTE(SUBSTITUTE(SUBSTITUTE(
        B935,""√©"",""é""),""√°"",""á""),""√±"",""ñ""),""√≥"",""ó""),""√â"",""é"&amp;"""),""√Å"",""á""),""√ç"",""í""),""√Ç"",""Í""),""√Â"",""é""),""√≠"",""í""),""√º"",""ú""),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35" s="28" t="str">
        <f>IFERROR(__xludf.DUMMYFUNCTION("SPLIT(
  TRIM(
    SUBSTITUTE(
      SUBSTITUTE(
        SUBSTITUTE(
          SUBSTITUTE(
            C935,
            ""√©"", ""é""
          ),
          ""√±"", ""ñ""
        ),
        ""√°"", ""á""
      ),
      ""√≥"", ""ó""
    )
  ),
  ""-""
)
"),"Laptop")</f>
        <v>Laptop</v>
      </c>
      <c r="O935" s="28" t="str">
        <f>IFERROR(__xludf.DUMMYFUNCTION("""COMPUTED_VALUE"""),"Oficina")</f>
        <v>Oficina</v>
      </c>
      <c r="P935" s="28" t="str">
        <f>IFERROR(__xludf.DUMMYFUNCTION("""COMPUTED_VALUE"""),"32GB")</f>
        <v>32GB</v>
      </c>
      <c r="Q935" s="29">
        <f t="shared" si="1"/>
        <v>2049.26</v>
      </c>
      <c r="R935" s="28">
        <f t="shared" si="2"/>
        <v>5</v>
      </c>
      <c r="S935" s="29">
        <f t="shared" si="3"/>
        <v>10246.3</v>
      </c>
      <c r="T935" s="28" t="str">
        <f>IFERROR(__xludf.DUMMYFUNCTION("PROPER(TRIM(
  LET(
    texto1, REGEXREPLACE(G935,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"),"Alejandro Longoria")</f>
        <v>Alejandro Longoria</v>
      </c>
      <c r="U935" s="28" t="str">
        <f t="shared" si="4"/>
        <v>cc794401-1ded-4891-a6ef-5cdc5b5384d5</v>
      </c>
      <c r="V935" s="30" t="str">
        <f t="shared" si="5"/>
        <v>Laptop Oficina 32GB</v>
      </c>
    </row>
    <row r="936" ht="15.75" customHeight="1">
      <c r="A936" s="36">
        <v>45363.0</v>
      </c>
      <c r="B936" s="2" t="s">
        <v>27</v>
      </c>
      <c r="C936" s="2" t="s">
        <v>508</v>
      </c>
      <c r="D936" s="7">
        <v>1088.33</v>
      </c>
      <c r="E936" s="2">
        <v>4.0</v>
      </c>
      <c r="F936" s="7">
        <v>4353.32</v>
      </c>
      <c r="G936" s="2" t="s">
        <v>3114</v>
      </c>
      <c r="H936" s="2" t="s">
        <v>3115</v>
      </c>
      <c r="I936" s="2" t="s">
        <v>3116</v>
      </c>
      <c r="K936" s="19" t="str">
        <f>IFERROR(__xludf.DUMMYFUNCTION("IF(ISBLANK(A936),
  """",
  IF(ISNUMBER(A936),
    TEXT(A936,""dd/mm/yyyy""),
    IF(
      REGEXMATCH(TRIM(A936),""^\d{1,2}/\d{1,2}/\d{4}$""),
      TRIM(A936),
      IFERROR(
        TEXT(DATEVALUE(SUBSTITUTE(SUBSTITUTE(TRIM(A936),""-"",""/""),""."",""/"&amp;""")),""dd/mm/yyyy""),
        TRIM(A936)
      )
    )
  )
)
"),"12/03/2024")</f>
        <v>12/03/2024</v>
      </c>
      <c r="L936" s="20">
        <v>45363.0</v>
      </c>
      <c r="M936" s="21" t="str">
        <f>IFERROR(__xludf.DUMMYFUNCTION("PROPER(TRIM(
  REGEXREPLACE(
    REGEXREPLACE(
      SUBSTITUTE(SUBSTITUTE(SUBSTITUTE(SUBSTITUTE(SUBSTITUTE(SUBSTITUTE(SUBSTITUTE(SUBSTITUTE(SUBSTITUTE(SUBSTITUTE(SUBSTITUTE(
        B936,""√©"",""é""),""√°"",""á""),""√±"",""ñ""),""√≥"",""ó""),""√â"",""é"&amp;"""),""√Å"",""á""),""√ç"",""í""),""√Ç"",""Í""),""√Â"",""é""),""√≠"",""í""),""√º"",""ú""),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36" s="22" t="str">
        <f>IFERROR(__xludf.DUMMYFUNCTION("SPLIT(
  TRIM(
    SUBSTITUTE(
      SUBSTITUTE(
        SUBSTITUTE(
          SUBSTITUTE(
            C936,
            ""√©"", ""é""
          ),
          ""√±"", ""ñ""
        ),
        ""√°"", ""á""
      ),
      ""√≥"", ""ó""
    )
  ),
  ""-""
)
"),"Auriculares")</f>
        <v>Auriculares</v>
      </c>
      <c r="O936" s="22" t="str">
        <f>IFERROR(__xludf.DUMMYFUNCTION("""COMPUTED_VALUE"""),"Cancelación de ruido")</f>
        <v>Cancelación de ruido</v>
      </c>
      <c r="P936" s="22" t="str">
        <f>IFERROR(__xludf.DUMMYFUNCTION("""COMPUTED_VALUE"""),"16GB")</f>
        <v>16GB</v>
      </c>
      <c r="Q936" s="23">
        <f t="shared" si="1"/>
        <v>1088.33</v>
      </c>
      <c r="R936" s="22">
        <f t="shared" si="2"/>
        <v>4</v>
      </c>
      <c r="S936" s="23">
        <f t="shared" si="3"/>
        <v>4353.32</v>
      </c>
      <c r="T936" s="22" t="str">
        <f>IFERROR(__xludf.DUMMYFUNCTION("PROPER(TRIM(
  LET(
    texto1, REGEXREPLACE(G936,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"),"Amelia Oswaldo Bernal Niño")</f>
        <v>Amelia Oswaldo Bernal Niño</v>
      </c>
      <c r="U936" s="22" t="str">
        <f t="shared" si="4"/>
        <v>62f7a1a9-7e11-442a-9de5-499e9da93e2f</v>
      </c>
      <c r="V936" s="24" t="str">
        <f t="shared" si="5"/>
        <v>Auriculares Cancelación de ruido 16GB</v>
      </c>
    </row>
    <row r="937" ht="15.75" customHeight="1">
      <c r="A937" s="6">
        <v>45650.0</v>
      </c>
      <c r="B937" s="2" t="s">
        <v>50</v>
      </c>
      <c r="C937" s="2" t="s">
        <v>397</v>
      </c>
      <c r="D937" s="7">
        <v>1089.03</v>
      </c>
      <c r="E937" s="2">
        <v>5.0</v>
      </c>
      <c r="F937" s="7">
        <v>5445.15</v>
      </c>
      <c r="G937" s="2" t="s">
        <v>3117</v>
      </c>
      <c r="H937" s="2" t="s">
        <v>3118</v>
      </c>
      <c r="I937" s="2" t="s">
        <v>3119</v>
      </c>
      <c r="K937" s="25" t="str">
        <f>IFERROR(__xludf.DUMMYFUNCTION("IF(ISBLANK(A937),
  """",
  IF(ISNUMBER(A937),
    TEXT(A937,""dd/mm/yyyy""),
    IF(
      REGEXMATCH(TRIM(A937),""^\d{1,2}/\d{1,2}/\d{4}$""),
      TRIM(A937),
      IFERROR(
        TEXT(DATEVALUE(SUBSTITUTE(SUBSTITUTE(TRIM(A937),""-"",""/""),""."",""/"&amp;""")),""dd/mm/yyyy""),
        TRIM(A937)
      )
    )
  )
)
"),"24/12/2024")</f>
        <v>24/12/2024</v>
      </c>
      <c r="L937" s="26">
        <v>45650.0</v>
      </c>
      <c r="M937" s="27" t="str">
        <f>IFERROR(__xludf.DUMMYFUNCTION("PROPER(TRIM(
  REGEXREPLACE(
    REGEXREPLACE(
      SUBSTITUTE(SUBSTITUTE(SUBSTITUTE(SUBSTITUTE(SUBSTITUTE(SUBSTITUTE(SUBSTITUTE(SUBSTITUTE(SUBSTITUTE(SUBSTITUTE(SUBSTITUTE(
        B937,""√©"",""é""),""√°"",""á""),""√±"",""ñ""),""√≥"",""ó""),""√â"",""é"&amp;"""),""√Å"",""á""),""√ç"",""í""),""√Ç"",""Í""),""√Â"",""é""),""√≠"",""í""),""√º"",""ú""),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37" s="28" t="str">
        <f>IFERROR(__xludf.DUMMYFUNCTION("SPLIT(
  TRIM(
    SUBSTITUTE(
      SUBSTITUTE(
        SUBSTITUTE(
          SUBSTITUTE(
            C937,
            ""√©"", ""é""
          ),
          ""√±"", ""ñ""
        ),
        ""√°"", ""á""
      ),
      ""√≥"", ""ó""
    )
  ),
  ""-""
)
"),"Teléfono")</f>
        <v>Teléfono</v>
      </c>
      <c r="O937" s="28" t="str">
        <f>IFERROR(__xludf.DUMMYFUNCTION("""COMPUTED_VALUE"""),"Gama media")</f>
        <v>Gama media</v>
      </c>
      <c r="P937" s="28" t="str">
        <f>IFERROR(__xludf.DUMMYFUNCTION("""COMPUTED_VALUE"""),"32GB")</f>
        <v>32GB</v>
      </c>
      <c r="Q937" s="29">
        <f t="shared" si="1"/>
        <v>1089.03</v>
      </c>
      <c r="R937" s="28">
        <f t="shared" si="2"/>
        <v>5</v>
      </c>
      <c r="S937" s="29">
        <f t="shared" si="3"/>
        <v>5445.15</v>
      </c>
      <c r="T937" s="28" t="str">
        <f>IFERROR(__xludf.DUMMYFUNCTION("PROPER(TRIM(
  LET(
    texto1, REGEXREPLACE(G937,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"),"Liliana Verduzco")</f>
        <v>Liliana Verduzco</v>
      </c>
      <c r="U937" s="28" t="str">
        <f t="shared" si="4"/>
        <v>75a62e15-6018-4f88-b473-5dd4eb79e63b</v>
      </c>
      <c r="V937" s="30" t="str">
        <f t="shared" si="5"/>
        <v>Teléfono Gama media 32GB</v>
      </c>
    </row>
    <row r="938" ht="15.75" customHeight="1">
      <c r="A938" s="6">
        <v>45634.0</v>
      </c>
      <c r="B938" s="2" t="s">
        <v>101</v>
      </c>
      <c r="C938" s="2" t="s">
        <v>360</v>
      </c>
      <c r="D938" s="7">
        <v>155.7</v>
      </c>
      <c r="E938" s="2">
        <v>5.0</v>
      </c>
      <c r="F938" s="7">
        <v>778.5</v>
      </c>
      <c r="G938" s="2" t="s">
        <v>3120</v>
      </c>
      <c r="H938" s="2" t="s">
        <v>3121</v>
      </c>
      <c r="I938" s="2" t="s">
        <v>3122</v>
      </c>
      <c r="K938" s="19" t="str">
        <f>IFERROR(__xludf.DUMMYFUNCTION("IF(ISBLANK(A938),
  """",
  IF(ISNUMBER(A938),
    TEXT(A938,""dd/mm/yyyy""),
    IF(
      REGEXMATCH(TRIM(A938),""^\d{1,2}/\d{1,2}/\d{4}$""),
      TRIM(A938),
      IFERROR(
        TEXT(DATEVALUE(SUBSTITUTE(SUBSTITUTE(TRIM(A938),""-"",""/""),""."",""/"&amp;""")),""dd/mm/yyyy""),
        TRIM(A938)
      )
    )
  )
)
"),"08/12/2024")</f>
        <v>08/12/2024</v>
      </c>
      <c r="L938" s="20">
        <v>45634.0</v>
      </c>
      <c r="M938" s="21" t="str">
        <f>IFERROR(__xludf.DUMMYFUNCTION("PROPER(TRIM(
  REGEXREPLACE(
    REGEXREPLACE(
      SUBSTITUTE(SUBSTITUTE(SUBSTITUTE(SUBSTITUTE(SUBSTITUTE(SUBSTITUTE(SUBSTITUTE(SUBSTITUTE(SUBSTITUTE(SUBSTITUTE(SUBSTITUTE(
        B938,""√©"",""é""),""√°"",""á""),""√±"",""ñ""),""√≥"",""ó""),""√â"",""é"&amp;"""),""√Å"",""á""),""√ç"",""í""),""√Ç"",""Í""),""√Â"",""é""),""√≠"",""í""),""√º"",""ú""),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38" s="22" t="str">
        <f>IFERROR(__xludf.DUMMYFUNCTION("SPLIT(
  TRIM(
    SUBSTITUTE(
      SUBSTITUTE(
        SUBSTITUTE(
          SUBSTITUTE(
            C938,
            ""√©"", ""é""
          ),
          ""√±"", ""ñ""
        ),
        ""√°"", ""á""
      ),
      ""√≥"", ""ó""
    )
  ),
  ""-""
)
"),"Tablet")</f>
        <v>Tablet</v>
      </c>
      <c r="O938" s="22" t="str">
        <f>IFERROR(__xludf.DUMMYFUNCTION("""COMPUTED_VALUE"""),"Estándar")</f>
        <v>Estándar</v>
      </c>
      <c r="P938" s="22" t="str">
        <f>IFERROR(__xludf.DUMMYFUNCTION("""COMPUTED_VALUE"""),"8GB")</f>
        <v>8GB</v>
      </c>
      <c r="Q938" s="23">
        <f t="shared" si="1"/>
        <v>155.7</v>
      </c>
      <c r="R938" s="22">
        <f t="shared" si="2"/>
        <v>5</v>
      </c>
      <c r="S938" s="23">
        <f t="shared" si="3"/>
        <v>778.5</v>
      </c>
      <c r="T938" s="22" t="str">
        <f>IFERROR(__xludf.DUMMYFUNCTION("PROPER(TRIM(
  LET(
    texto1, REGEXREPLACE(G938,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"),"Espartaco Arguello Bustamante")</f>
        <v>Espartaco Arguello Bustamante</v>
      </c>
      <c r="U938" s="22" t="str">
        <f t="shared" si="4"/>
        <v>ed2a25dc-7b7a-4810-9252-9fa56521ff40</v>
      </c>
      <c r="V938" s="24" t="str">
        <f t="shared" si="5"/>
        <v>Tablet Estándar 8GB</v>
      </c>
    </row>
    <row r="939" ht="15.75" customHeight="1">
      <c r="A939" s="6">
        <v>45566.0</v>
      </c>
      <c r="B939" s="2" t="s">
        <v>16</v>
      </c>
      <c r="C939" s="2" t="s">
        <v>11</v>
      </c>
      <c r="D939" s="7">
        <v>716.29</v>
      </c>
      <c r="E939" s="2">
        <v>1.0</v>
      </c>
      <c r="F939" s="7">
        <v>716.29</v>
      </c>
      <c r="G939" s="2" t="s">
        <v>3123</v>
      </c>
      <c r="H939" s="2" t="s">
        <v>3124</v>
      </c>
      <c r="I939" s="2" t="s">
        <v>3125</v>
      </c>
      <c r="K939" s="25" t="str">
        <f>IFERROR(__xludf.DUMMYFUNCTION("IF(ISBLANK(A939),
  """",
  IF(ISNUMBER(A939),
    TEXT(A939,""dd/mm/yyyy""),
    IF(
      REGEXMATCH(TRIM(A939),""^\d{1,2}/\d{1,2}/\d{4}$""),
      TRIM(A939),
      IFERROR(
        TEXT(DATEVALUE(SUBSTITUTE(SUBSTITUTE(TRIM(A939),""-"",""/""),""."",""/"&amp;""")),""dd/mm/yyyy""),
        TRIM(A939)
      )
    )
  )
)
"),"01/10/2024")</f>
        <v>01/10/2024</v>
      </c>
      <c r="L939" s="26">
        <v>45566.0</v>
      </c>
      <c r="M939" s="27" t="str">
        <f>IFERROR(__xludf.DUMMYFUNCTION("PROPER(TRIM(
  REGEXREPLACE(
    REGEXREPLACE(
      SUBSTITUTE(SUBSTITUTE(SUBSTITUTE(SUBSTITUTE(SUBSTITUTE(SUBSTITUTE(SUBSTITUTE(SUBSTITUTE(SUBSTITUTE(SUBSTITUTE(SUBSTITUTE(
        B939,""√©"",""é""),""√°"",""á""),""√±"",""ñ""),""√≥"",""ó""),""√â"",""é"&amp;"""),""√Å"",""á""),""√ç"",""í""),""√Ç"",""Í""),""√Â"",""é""),""√≠"",""í""),""√º"",""ú""),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39" s="28" t="str">
        <f>IFERROR(__xludf.DUMMYFUNCTION("SPLIT(
  TRIM(
    SUBSTITUTE(
      SUBSTITUTE(
        SUBSTITUTE(
          SUBSTITUTE(
            C939,
            ""√©"", ""é""
          ),
          ""√±"", ""ñ""
        ),
        ""√°"", ""á""
      ),
      ""√≥"", ""ó""
    )
  ),
  ""-""
)
"),"Auriculares")</f>
        <v>Auriculares</v>
      </c>
      <c r="O939" s="28" t="str">
        <f>IFERROR(__xludf.DUMMYFUNCTION("""COMPUTED_VALUE"""),"Con cable")</f>
        <v>Con cable</v>
      </c>
      <c r="P939" s="28" t="str">
        <f>IFERROR(__xludf.DUMMYFUNCTION("""COMPUTED_VALUE"""),"32GB")</f>
        <v>32GB</v>
      </c>
      <c r="Q939" s="29">
        <f t="shared" si="1"/>
        <v>716.29</v>
      </c>
      <c r="R939" s="28">
        <f t="shared" si="2"/>
        <v>1</v>
      </c>
      <c r="S939" s="29">
        <f t="shared" si="3"/>
        <v>716.29</v>
      </c>
      <c r="T939" s="28" t="str">
        <f>IFERROR(__xludf.DUMMYFUNCTION("PROPER(TRIM(
  LET(
    texto1, REGEXREPLACE(G939,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"),"Evelio Ramiro Arce")</f>
        <v>Evelio Ramiro Arce</v>
      </c>
      <c r="U939" s="28" t="str">
        <f t="shared" si="4"/>
        <v>10c739f0-f7fb-4c8e-a239-ed1f5c295465</v>
      </c>
      <c r="V939" s="30" t="str">
        <f t="shared" si="5"/>
        <v>Auriculares Con cable 32GB</v>
      </c>
    </row>
    <row r="940" ht="15.75" customHeight="1">
      <c r="A940" s="6">
        <v>45578.0</v>
      </c>
      <c r="B940" s="2" t="s">
        <v>50</v>
      </c>
      <c r="C940" s="2" t="s">
        <v>91</v>
      </c>
      <c r="D940" s="7">
        <v>1922.79</v>
      </c>
      <c r="E940" s="2">
        <v>3.0</v>
      </c>
      <c r="F940" s="7">
        <v>5768.37</v>
      </c>
      <c r="G940" s="2" t="s">
        <v>3126</v>
      </c>
      <c r="H940" s="2" t="s">
        <v>3127</v>
      </c>
      <c r="I940" s="2" t="s">
        <v>3128</v>
      </c>
      <c r="K940" s="19" t="str">
        <f>IFERROR(__xludf.DUMMYFUNCTION("IF(ISBLANK(A940),
  """",
  IF(ISNUMBER(A940),
    TEXT(A940,""dd/mm/yyyy""),
    IF(
      REGEXMATCH(TRIM(A940),""^\d{1,2}/\d{1,2}/\d{4}$""),
      TRIM(A940),
      IFERROR(
        TEXT(DATEVALUE(SUBSTITUTE(SUBSTITUTE(TRIM(A940),""-"",""/""),""."",""/"&amp;""")),""dd/mm/yyyy""),
        TRIM(A940)
      )
    )
  )
)
"),"13/10/2024")</f>
        <v>13/10/2024</v>
      </c>
      <c r="L940" s="20">
        <v>45578.0</v>
      </c>
      <c r="M940" s="21" t="str">
        <f>IFERROR(__xludf.DUMMYFUNCTION("PROPER(TRIM(
  REGEXREPLACE(
    REGEXREPLACE(
      SUBSTITUTE(SUBSTITUTE(SUBSTITUTE(SUBSTITUTE(SUBSTITUTE(SUBSTITUTE(SUBSTITUTE(SUBSTITUTE(SUBSTITUTE(SUBSTITUTE(SUBSTITUTE(
        B940,""√©"",""é""),""√°"",""á""),""√±"",""ñ""),""√≥"",""ó""),""√â"",""é"&amp;"""),""√Å"",""á""),""√ç"",""í""),""√Ç"",""Í""),""√Â"",""é""),""√≠"",""í""),""√º"",""ú""),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40" s="22" t="str">
        <f>IFERROR(__xludf.DUMMYFUNCTION("SPLIT(
  TRIM(
    SUBSTITUTE(
      SUBSTITUTE(
        SUBSTITUTE(
          SUBSTITUTE(
            C940,
            ""√©"", ""é""
          ),
          ""√±"", ""ñ""
        ),
        ""√°"", ""á""
      ),
      ""√≥"", ""ó""
    )
  ),
  ""-""
)
"),"Tablet")</f>
        <v>Tablet</v>
      </c>
      <c r="O940" s="22" t="str">
        <f>IFERROR(__xludf.DUMMYFUNCTION("""COMPUTED_VALUE"""),"Mini")</f>
        <v>Mini</v>
      </c>
      <c r="P940" s="22" t="str">
        <f>IFERROR(__xludf.DUMMYFUNCTION("""COMPUTED_VALUE"""),"32GB")</f>
        <v>32GB</v>
      </c>
      <c r="Q940" s="23">
        <f t="shared" si="1"/>
        <v>1922.79</v>
      </c>
      <c r="R940" s="22">
        <f t="shared" si="2"/>
        <v>3</v>
      </c>
      <c r="S940" s="23">
        <f t="shared" si="3"/>
        <v>5768.37</v>
      </c>
      <c r="T940" s="22" t="str">
        <f>IFERROR(__xludf.DUMMYFUNCTION("PROPER(TRIM(
  LET(
    texto1, REGEXREPLACE(G940,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"),"Elias Juan Carlos Estévez Cepeda")</f>
        <v>Elias Juan Carlos Estévez Cepeda</v>
      </c>
      <c r="U940" s="22" t="str">
        <f t="shared" si="4"/>
        <v>a2d32009-f750-4260-8311-8300bd425ff8</v>
      </c>
      <c r="V940" s="24" t="str">
        <f t="shared" si="5"/>
        <v>Tablet Mini 32GB</v>
      </c>
    </row>
    <row r="941" ht="15.75" customHeight="1">
      <c r="A941" s="6">
        <v>45597.0</v>
      </c>
      <c r="B941" s="2" t="s">
        <v>16</v>
      </c>
      <c r="C941" s="2" t="s">
        <v>33</v>
      </c>
      <c r="D941" s="7">
        <v>1992.15</v>
      </c>
      <c r="E941" s="2">
        <v>2.0</v>
      </c>
      <c r="F941" s="7">
        <v>3984.3</v>
      </c>
      <c r="G941" s="2" t="s">
        <v>3129</v>
      </c>
      <c r="H941" s="2" t="s">
        <v>3130</v>
      </c>
      <c r="I941" s="2" t="s">
        <v>3131</v>
      </c>
      <c r="K941" s="25" t="str">
        <f>IFERROR(__xludf.DUMMYFUNCTION("IF(ISBLANK(A941),
  """",
  IF(ISNUMBER(A941),
    TEXT(A941,""dd/mm/yyyy""),
    IF(
      REGEXMATCH(TRIM(A941),""^\d{1,2}/\d{1,2}/\d{4}$""),
      TRIM(A941),
      IFERROR(
        TEXT(DATEVALUE(SUBSTITUTE(SUBSTITUTE(TRIM(A941),""-"",""/""),""."",""/"&amp;""")),""dd/mm/yyyy""),
        TRIM(A941)
      )
    )
  )
)
"),"01/11/2024")</f>
        <v>01/11/2024</v>
      </c>
      <c r="L941" s="26">
        <v>45597.0</v>
      </c>
      <c r="M941" s="27" t="str">
        <f>IFERROR(__xludf.DUMMYFUNCTION("PROPER(TRIM(
  REGEXREPLACE(
    REGEXREPLACE(
      SUBSTITUTE(SUBSTITUTE(SUBSTITUTE(SUBSTITUTE(SUBSTITUTE(SUBSTITUTE(SUBSTITUTE(SUBSTITUTE(SUBSTITUTE(SUBSTITUTE(SUBSTITUTE(
        B941,""√©"",""é""),""√°"",""á""),""√±"",""ñ""),""√≥"",""ó""),""√â"",""é"&amp;"""),""√Å"",""á""),""√ç"",""í""),""√Ç"",""Í""),""√Â"",""é""),""√≠"",""í""),""√º"",""ú""),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41" s="28" t="str">
        <f>IFERROR(__xludf.DUMMYFUNCTION("SPLIT(
  TRIM(
    SUBSTITUTE(
      SUBSTITUTE(
        SUBSTITUTE(
          SUBSTITUTE(
            C941,
            ""√©"", ""é""
          ),
          ""√±"", ""ñ""
        ),
        ""√°"", ""á""
      ),
      ""√≥"", ""ó""
    )
  ),
  ""-""
)
"),"Teléfono")</f>
        <v>Teléfono</v>
      </c>
      <c r="O941" s="28" t="str">
        <f>IFERROR(__xludf.DUMMYFUNCTION("""COMPUTED_VALUE"""),"Gama alta")</f>
        <v>Gama alta</v>
      </c>
      <c r="P941" s="28" t="str">
        <f>IFERROR(__xludf.DUMMYFUNCTION("""COMPUTED_VALUE"""),"4GB")</f>
        <v>4GB</v>
      </c>
      <c r="Q941" s="29">
        <f t="shared" si="1"/>
        <v>1992.15</v>
      </c>
      <c r="R941" s="28">
        <f t="shared" si="2"/>
        <v>2</v>
      </c>
      <c r="S941" s="29">
        <f t="shared" si="3"/>
        <v>3984.3</v>
      </c>
      <c r="T941" s="28" t="str">
        <f>IFERROR(__xludf.DUMMYFUNCTION("PROPER(TRIM(
  LET(
    texto1, REGEXREPLACE(G941,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Leyva")</f>
        <v>Carmen Leyva</v>
      </c>
      <c r="U941" s="28" t="str">
        <f t="shared" si="4"/>
        <v>15d306a8-d422-44fb-9ae9-88cc0402b65d</v>
      </c>
      <c r="V941" s="30" t="str">
        <f t="shared" si="5"/>
        <v>Teléfono Gama alta 4GB</v>
      </c>
    </row>
    <row r="942" ht="15.75" customHeight="1">
      <c r="A942" s="6">
        <v>45656.0</v>
      </c>
      <c r="B942" s="2" t="s">
        <v>85</v>
      </c>
      <c r="C942" s="2" t="s">
        <v>176</v>
      </c>
      <c r="D942" s="7">
        <v>823.08</v>
      </c>
      <c r="E942" s="2">
        <v>4.0</v>
      </c>
      <c r="F942" s="7">
        <v>3292.32</v>
      </c>
      <c r="G942" s="2" t="s">
        <v>3132</v>
      </c>
      <c r="H942" s="2" t="s">
        <v>3133</v>
      </c>
      <c r="I942" s="2" t="s">
        <v>3134</v>
      </c>
      <c r="K942" s="19" t="str">
        <f>IFERROR(__xludf.DUMMYFUNCTION("IF(ISBLANK(A942),
  """",
  IF(ISNUMBER(A942),
    TEXT(A942,""dd/mm/yyyy""),
    IF(
      REGEXMATCH(TRIM(A942),""^\d{1,2}/\d{1,2}/\d{4}$""),
      TRIM(A942),
      IFERROR(
        TEXT(DATEVALUE(SUBSTITUTE(SUBSTITUTE(TRIM(A942),""-"",""/""),""."",""/"&amp;""")),""dd/mm/yyyy""),
        TRIM(A942)
      )
    )
  )
)
"),"30/12/2024")</f>
        <v>30/12/2024</v>
      </c>
      <c r="L942" s="20">
        <v>45656.0</v>
      </c>
      <c r="M942" s="21" t="str">
        <f>IFERROR(__xludf.DUMMYFUNCTION("PROPER(TRIM(
  REGEXREPLACE(
    REGEXREPLACE(
      SUBSTITUTE(SUBSTITUTE(SUBSTITUTE(SUBSTITUTE(SUBSTITUTE(SUBSTITUTE(SUBSTITUTE(SUBSTITUTE(SUBSTITUTE(SUBSTITUTE(SUBSTITUTE(
        B942,""√©"",""é""),""√°"",""á""),""√±"",""ñ""),""√≥"",""ó""),""√â"",""é"&amp;"""),""√Å"",""á""),""√ç"",""í""),""√Ç"",""Í""),""√Â"",""é""),""√≠"",""í""),""√º"",""ú""),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42" s="22" t="str">
        <f>IFERROR(__xludf.DUMMYFUNCTION("SPLIT(
  TRIM(
    SUBSTITUTE(
      SUBSTITUTE(
        SUBSTITUTE(
          SUBSTITUTE(
            C942,
            ""√©"", ""é""
          ),
          ""√±"", ""ñ""
        ),
        ""√°"", ""á""
      ),
      ""√≥"", ""ó""
    )
  ),
  ""-""
)
"),"Auriculares")</f>
        <v>Auriculares</v>
      </c>
      <c r="O942" s="22" t="str">
        <f>IFERROR(__xludf.DUMMYFUNCTION("""COMPUTED_VALUE"""),"Con cable")</f>
        <v>Con cable</v>
      </c>
      <c r="P942" s="22" t="str">
        <f>IFERROR(__xludf.DUMMYFUNCTION("""COMPUTED_VALUE"""),"8GB")</f>
        <v>8GB</v>
      </c>
      <c r="Q942" s="23">
        <f t="shared" si="1"/>
        <v>823.08</v>
      </c>
      <c r="R942" s="22">
        <f t="shared" si="2"/>
        <v>4</v>
      </c>
      <c r="S942" s="23">
        <f t="shared" si="3"/>
        <v>3292.32</v>
      </c>
      <c r="T942" s="22" t="str">
        <f>IFERROR(__xludf.DUMMYFUNCTION("PROPER(TRIM(
  LET(
    texto1, REGEXREPLACE(G942,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"),"Oswaldo Magaña")</f>
        <v>Oswaldo Magaña</v>
      </c>
      <c r="U942" s="22" t="str">
        <f t="shared" si="4"/>
        <v>4d3c7cfd-d33e-47a8-a31b-f2a694c31429</v>
      </c>
      <c r="V942" s="24" t="str">
        <f t="shared" si="5"/>
        <v>Auriculares Con cable 8GB</v>
      </c>
    </row>
    <row r="943" ht="15.75" customHeight="1">
      <c r="A943" s="6">
        <v>45571.0</v>
      </c>
      <c r="B943" s="2" t="s">
        <v>27</v>
      </c>
      <c r="C943" s="2" t="s">
        <v>385</v>
      </c>
      <c r="D943" s="7">
        <v>1753.0</v>
      </c>
      <c r="E943" s="2">
        <v>5.0</v>
      </c>
      <c r="F943" s="7">
        <v>8765.0</v>
      </c>
      <c r="G943" s="2" t="s">
        <v>3135</v>
      </c>
      <c r="H943" s="2" t="s">
        <v>3136</v>
      </c>
      <c r="I943" s="2" t="s">
        <v>3137</v>
      </c>
      <c r="K943" s="25" t="str">
        <f>IFERROR(__xludf.DUMMYFUNCTION("IF(ISBLANK(A943),
  """",
  IF(ISNUMBER(A943),
    TEXT(A943,""dd/mm/yyyy""),
    IF(
      REGEXMATCH(TRIM(A943),""^\d{1,2}/\d{1,2}/\d{4}$""),
      TRIM(A943),
      IFERROR(
        TEXT(DATEVALUE(SUBSTITUTE(SUBSTITUTE(TRIM(A943),""-"",""/""),""."",""/"&amp;""")),""dd/mm/yyyy""),
        TRIM(A943)
      )
    )
  )
)
"),"06/10/2024")</f>
        <v>06/10/2024</v>
      </c>
      <c r="L943" s="26">
        <v>45571.0</v>
      </c>
      <c r="M943" s="27" t="str">
        <f>IFERROR(__xludf.DUMMYFUNCTION("PROPER(TRIM(
  REGEXREPLACE(
    REGEXREPLACE(
      SUBSTITUTE(SUBSTITUTE(SUBSTITUTE(SUBSTITUTE(SUBSTITUTE(SUBSTITUTE(SUBSTITUTE(SUBSTITUTE(SUBSTITUTE(SUBSTITUTE(SUBSTITUTE(
        B943,""√©"",""é""),""√°"",""á""),""√±"",""ñ""),""√≥"",""ó""),""√â"",""é"&amp;"""),""√Å"",""á""),""√ç"",""í""),""√Ç"",""Í""),""√Â"",""é""),""√≠"",""í""),""√º"",""ú""),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43" s="28" t="str">
        <f>IFERROR(__xludf.DUMMYFUNCTION("SPLIT(
  TRIM(
    SUBSTITUTE(
      SUBSTITUTE(
        SUBSTITUTE(
          SUBSTITUTE(
            C943,
            ""√©"", ""é""
          ),
          ""√±"", ""ñ""
        ),
        ""√°"", ""á""
      ),
      ""√≥"", ""ó""
    )
  ),
  ""-""
)
"),"Tablet")</f>
        <v>Tablet</v>
      </c>
      <c r="O943" s="28" t="str">
        <f>IFERROR(__xludf.DUMMYFUNCTION("""COMPUTED_VALUE"""),"Estándar")</f>
        <v>Estándar</v>
      </c>
      <c r="P943" s="28" t="str">
        <f>IFERROR(__xludf.DUMMYFUNCTION("""COMPUTED_VALUE"""),"32GB")</f>
        <v>32GB</v>
      </c>
      <c r="Q943" s="29">
        <f t="shared" si="1"/>
        <v>1753</v>
      </c>
      <c r="R943" s="28">
        <f t="shared" si="2"/>
        <v>5</v>
      </c>
      <c r="S943" s="29">
        <f t="shared" si="3"/>
        <v>8765</v>
      </c>
      <c r="T943" s="28" t="str">
        <f>IFERROR(__xludf.DUMMYFUNCTION("PROPER(TRIM(
  LET(
    texto1, REGEXREPLACE(G943,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"),"Cristal Rincón")</f>
        <v>Cristal Rincón</v>
      </c>
      <c r="U943" s="28" t="str">
        <f t="shared" si="4"/>
        <v>a4b8a935-59ba-43d2-9d68-660ee91a5acd</v>
      </c>
      <c r="V943" s="30" t="str">
        <f t="shared" si="5"/>
        <v>Tablet Estándar 32GB</v>
      </c>
    </row>
    <row r="944" ht="15.75" customHeight="1">
      <c r="A944" s="6">
        <v>45639.0</v>
      </c>
      <c r="B944" s="2" t="s">
        <v>85</v>
      </c>
      <c r="C944" s="2" t="s">
        <v>22</v>
      </c>
      <c r="D944" s="7">
        <v>2145.76</v>
      </c>
      <c r="E944" s="2">
        <v>5.0</v>
      </c>
      <c r="F944" s="7">
        <v>10728.8</v>
      </c>
      <c r="G944" s="2" t="s">
        <v>3138</v>
      </c>
      <c r="H944" s="2" t="s">
        <v>3139</v>
      </c>
      <c r="I944" s="2" t="s">
        <v>3140</v>
      </c>
      <c r="K944" s="19" t="str">
        <f>IFERROR(__xludf.DUMMYFUNCTION("IF(ISBLANK(A944),
  """",
  IF(ISNUMBER(A944),
    TEXT(A944,""dd/mm/yyyy""),
    IF(
      REGEXMATCH(TRIM(A944),""^\d{1,2}/\d{1,2}/\d{4}$""),
      TRIM(A944),
      IFERROR(
        TEXT(DATEVALUE(SUBSTITUTE(SUBSTITUTE(TRIM(A944),""-"",""/""),""."",""/"&amp;""")),""dd/mm/yyyy""),
        TRIM(A944)
      )
    )
  )
)
"),"13/12/2024")</f>
        <v>13/12/2024</v>
      </c>
      <c r="L944" s="20">
        <v>45639.0</v>
      </c>
      <c r="M944" s="21" t="str">
        <f>IFERROR(__xludf.DUMMYFUNCTION("PROPER(TRIM(
  REGEXREPLACE(
    REGEXREPLACE(
      SUBSTITUTE(SUBSTITUTE(SUBSTITUTE(SUBSTITUTE(SUBSTITUTE(SUBSTITUTE(SUBSTITUTE(SUBSTITUTE(SUBSTITUTE(SUBSTITUTE(SUBSTITUTE(
        B944,""√©"",""é""),""√°"",""á""),""√±"",""ñ""),""√≥"",""ó""),""√â"",""é"&amp;"""),""√Å"",""á""),""√ç"",""í""),""√Ç"",""Í""),""√Â"",""é""),""√≠"",""í""),""√º"",""ú""),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44" s="22" t="str">
        <f>IFERROR(__xludf.DUMMYFUNCTION("SPLIT(
  TRIM(
    SUBSTITUTE(
      SUBSTITUTE(
        SUBSTITUTE(
          SUBSTITUTE(
            C944,
            ""√©"", ""é""
          ),
          ""√±"", ""ñ""
        ),
        ""√°"", ""á""
      ),
      ""√≥"", ""ó""
    )
  ),
  ""-""
)
"),"Laptop")</f>
        <v>Laptop</v>
      </c>
      <c r="O944" s="22" t="str">
        <f>IFERROR(__xludf.DUMMYFUNCTION("""COMPUTED_VALUE"""),"Gaming")</f>
        <v>Gaming</v>
      </c>
      <c r="P944" s="22" t="str">
        <f>IFERROR(__xludf.DUMMYFUNCTION("""COMPUTED_VALUE"""),"32GB")</f>
        <v>32GB</v>
      </c>
      <c r="Q944" s="23">
        <f t="shared" si="1"/>
        <v>2145.76</v>
      </c>
      <c r="R944" s="22">
        <f t="shared" si="2"/>
        <v>5</v>
      </c>
      <c r="S944" s="23">
        <f t="shared" si="3"/>
        <v>10728.8</v>
      </c>
      <c r="T944" s="22" t="str">
        <f>IFERROR(__xludf.DUMMYFUNCTION("PROPER(TRIM(
  LET(
    texto1, REGEXREPLACE(G944,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"),"María Maximiliano Ochoa")</f>
        <v>María Maximiliano Ochoa</v>
      </c>
      <c r="U944" s="22" t="str">
        <f t="shared" si="4"/>
        <v>8f691093-3270-4ace-ae7f-f6404f3e9c97</v>
      </c>
      <c r="V944" s="24" t="str">
        <f t="shared" si="5"/>
        <v>Laptop Gaming 32GB</v>
      </c>
    </row>
    <row r="945" ht="15.75" customHeight="1">
      <c r="A945" s="6">
        <v>45601.0</v>
      </c>
      <c r="B945" s="2" t="s">
        <v>85</v>
      </c>
      <c r="C945" s="2" t="s">
        <v>162</v>
      </c>
      <c r="D945" s="7">
        <v>1826.03</v>
      </c>
      <c r="E945" s="2">
        <v>2.0</v>
      </c>
      <c r="F945" s="7">
        <v>3652.06</v>
      </c>
      <c r="G945" s="2" t="s">
        <v>3141</v>
      </c>
      <c r="H945" s="2" t="s">
        <v>3142</v>
      </c>
      <c r="I945" s="2" t="s">
        <v>3143</v>
      </c>
      <c r="K945" s="25" t="str">
        <f>IFERROR(__xludf.DUMMYFUNCTION("IF(ISBLANK(A945),
  """",
  IF(ISNUMBER(A945),
    TEXT(A945,""dd/mm/yyyy""),
    IF(
      REGEXMATCH(TRIM(A945),""^\d{1,2}/\d{1,2}/\d{4}$""),
      TRIM(A945),
      IFERROR(
        TEXT(DATEVALUE(SUBSTITUTE(SUBSTITUTE(TRIM(A945),""-"",""/""),""."",""/"&amp;""")),""dd/mm/yyyy""),
        TRIM(A945)
      )
    )
  )
)
"),"05/11/2024")</f>
        <v>05/11/2024</v>
      </c>
      <c r="L945" s="26">
        <v>45601.0</v>
      </c>
      <c r="M945" s="27" t="str">
        <f>IFERROR(__xludf.DUMMYFUNCTION("PROPER(TRIM(
  REGEXREPLACE(
    REGEXREPLACE(
      SUBSTITUTE(SUBSTITUTE(SUBSTITUTE(SUBSTITUTE(SUBSTITUTE(SUBSTITUTE(SUBSTITUTE(SUBSTITUTE(SUBSTITUTE(SUBSTITUTE(SUBSTITUTE(
        B945,""√©"",""é""),""√°"",""á""),""√±"",""ñ""),""√≥"",""ó""),""√â"",""é"&amp;"""),""√Å"",""á""),""√ç"",""í""),""√Ç"",""Í""),""√Â"",""é""),""√≠"",""í""),""√º"",""ú""),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45" s="28" t="str">
        <f>IFERROR(__xludf.DUMMYFUNCTION("SPLIT(
  TRIM(
    SUBSTITUTE(
      SUBSTITUTE(
        SUBSTITUTE(
          SUBSTITUTE(
            C945,
            ""√©"", ""é""
          ),
          ""√±"", ""ñ""
        ),
        ""√°"", ""á""
      ),
      ""√≥"", ""ó""
    )
  ),
  ""-""
)
"),"Teléfono")</f>
        <v>Teléfono</v>
      </c>
      <c r="O945" s="28" t="str">
        <f>IFERROR(__xludf.DUMMYFUNCTION("""COMPUTED_VALUE"""),"Gama alta")</f>
        <v>Gama alta</v>
      </c>
      <c r="P945" s="28" t="str">
        <f>IFERROR(__xludf.DUMMYFUNCTION("""COMPUTED_VALUE"""),"16GB")</f>
        <v>16GB</v>
      </c>
      <c r="Q945" s="29">
        <f t="shared" si="1"/>
        <v>1826.03</v>
      </c>
      <c r="R945" s="28">
        <f t="shared" si="2"/>
        <v>2</v>
      </c>
      <c r="S945" s="29">
        <f t="shared" si="3"/>
        <v>3652.06</v>
      </c>
      <c r="T945" s="28" t="str">
        <f>IFERROR(__xludf.DUMMYFUNCTION("PROPER(TRIM(
  LET(
    texto1, REGEXREPLACE(G945,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"),"Nelly Hernán Ríos Guardado")</f>
        <v>Nelly Hernán Ríos Guardado</v>
      </c>
      <c r="U945" s="28" t="str">
        <f t="shared" si="4"/>
        <v>c6f0a1e2-99c5-4a17-b0d8-ad6d416c81cc</v>
      </c>
      <c r="V945" s="30" t="str">
        <f t="shared" si="5"/>
        <v>Teléfono Gama alta 16GB</v>
      </c>
    </row>
    <row r="946" ht="15.75" customHeight="1">
      <c r="A946" s="6">
        <v>45591.0</v>
      </c>
      <c r="B946" s="2" t="s">
        <v>27</v>
      </c>
      <c r="C946" s="2" t="s">
        <v>191</v>
      </c>
      <c r="D946" s="7">
        <v>174.28</v>
      </c>
      <c r="E946" s="2">
        <v>1.0</v>
      </c>
      <c r="F946" s="7">
        <v>174.28</v>
      </c>
      <c r="G946" s="2" t="s">
        <v>3144</v>
      </c>
      <c r="H946" s="2" t="s">
        <v>3145</v>
      </c>
      <c r="I946" s="2" t="s">
        <v>3146</v>
      </c>
      <c r="K946" s="19" t="str">
        <f>IFERROR(__xludf.DUMMYFUNCTION("IF(ISBLANK(A946),
  """",
  IF(ISNUMBER(A946),
    TEXT(A946,""dd/mm/yyyy""),
    IF(
      REGEXMATCH(TRIM(A946),""^\d{1,2}/\d{1,2}/\d{4}$""),
      TRIM(A946),
      IFERROR(
        TEXT(DATEVALUE(SUBSTITUTE(SUBSTITUTE(TRIM(A946),""-"",""/""),""."",""/"&amp;""")),""dd/mm/yyyy""),
        TRIM(A946)
      )
    )
  )
)
"),"26/10/2024")</f>
        <v>26/10/2024</v>
      </c>
      <c r="L946" s="20">
        <v>45591.0</v>
      </c>
      <c r="M946" s="21" t="str">
        <f>IFERROR(__xludf.DUMMYFUNCTION("PROPER(TRIM(
  REGEXREPLACE(
    REGEXREPLACE(
      SUBSTITUTE(SUBSTITUTE(SUBSTITUTE(SUBSTITUTE(SUBSTITUTE(SUBSTITUTE(SUBSTITUTE(SUBSTITUTE(SUBSTITUTE(SUBSTITUTE(SUBSTITUTE(
        B946,""√©"",""é""),""√°"",""á""),""√±"",""ñ""),""√≥"",""ó""),""√â"",""é"&amp;"""),""√Å"",""á""),""√ç"",""í""),""√Ç"",""Í""),""√Â"",""é""),""√≠"",""í""),""√º"",""ú""),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46" s="22" t="str">
        <f>IFERROR(__xludf.DUMMYFUNCTION("SPLIT(
  TRIM(
    SUBSTITUTE(
      SUBSTITUTE(
        SUBSTITUTE(
          SUBSTITUTE(
            C946,
            ""√©"", ""é""
          ),
          ""√±"", ""ñ""
        ),
        ""√°"", ""á""
      ),
      ""√≥"", ""ó""
    )
  ),
  ""-""
)
"),"Auriculares")</f>
        <v>Auriculares</v>
      </c>
      <c r="O946" s="22" t="str">
        <f>IFERROR(__xludf.DUMMYFUNCTION("""COMPUTED_VALUE"""),"Cancelación de ruido")</f>
        <v>Cancelación de ruido</v>
      </c>
      <c r="P946" s="22" t="str">
        <f>IFERROR(__xludf.DUMMYFUNCTION("""COMPUTED_VALUE"""),"32GB")</f>
        <v>32GB</v>
      </c>
      <c r="Q946" s="23">
        <f t="shared" si="1"/>
        <v>174.28</v>
      </c>
      <c r="R946" s="22">
        <f t="shared" si="2"/>
        <v>1</v>
      </c>
      <c r="S946" s="23">
        <f t="shared" si="3"/>
        <v>174.28</v>
      </c>
      <c r="T946" s="22" t="str">
        <f>IFERROR(__xludf.DUMMYFUNCTION("PROPER(TRIM(
  LET(
    texto1, REGEXREPLACE(G946,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"),"Yeni Tafoya")</f>
        <v>Yeni Tafoya</v>
      </c>
      <c r="U946" s="22" t="str">
        <f t="shared" si="4"/>
        <v>b8d7d438-42a6-490e-878a-eabf47bc2626</v>
      </c>
      <c r="V946" s="24" t="str">
        <f t="shared" si="5"/>
        <v>Auriculares Cancelación de ruido 32GB</v>
      </c>
    </row>
    <row r="947" ht="15.75" customHeight="1">
      <c r="A947" s="6">
        <v>45651.0</v>
      </c>
      <c r="B947" s="2" t="s">
        <v>38</v>
      </c>
      <c r="C947" s="2" t="s">
        <v>226</v>
      </c>
      <c r="D947" s="7">
        <v>648.35</v>
      </c>
      <c r="E947" s="2">
        <v>5.0</v>
      </c>
      <c r="F947" s="7">
        <v>3241.75</v>
      </c>
      <c r="G947" s="2" t="s">
        <v>3147</v>
      </c>
      <c r="H947" s="2" t="s">
        <v>3148</v>
      </c>
      <c r="I947" s="2" t="s">
        <v>3149</v>
      </c>
      <c r="K947" s="25" t="str">
        <f>IFERROR(__xludf.DUMMYFUNCTION("IF(ISBLANK(A947),
  """",
  IF(ISNUMBER(A947),
    TEXT(A947,""dd/mm/yyyy""),
    IF(
      REGEXMATCH(TRIM(A947),""^\d{1,2}/\d{1,2}/\d{4}$""),
      TRIM(A947),
      IFERROR(
        TEXT(DATEVALUE(SUBSTITUTE(SUBSTITUTE(TRIM(A947),""-"",""/""),""."",""/"&amp;""")),""dd/mm/yyyy""),
        TRIM(A947)
      )
    )
  )
)
"),"25/12/2024")</f>
        <v>25/12/2024</v>
      </c>
      <c r="L947" s="26">
        <v>45651.0</v>
      </c>
      <c r="M947" s="27" t="str">
        <f>IFERROR(__xludf.DUMMYFUNCTION("PROPER(TRIM(
  REGEXREPLACE(
    REGEXREPLACE(
      SUBSTITUTE(SUBSTITUTE(SUBSTITUTE(SUBSTITUTE(SUBSTITUTE(SUBSTITUTE(SUBSTITUTE(SUBSTITUTE(SUBSTITUTE(SUBSTITUTE(SUBSTITUTE(
        B947,""√©"",""é""),""√°"",""á""),""√±"",""ñ""),""√≥"",""ó""),""√â"",""é"&amp;"""),""√Å"",""á""),""√ç"",""í""),""√Ç"",""Í""),""√Â"",""é""),""√≠"",""í""),""√º"",""ú""),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47" s="28" t="str">
        <f>IFERROR(__xludf.DUMMYFUNCTION("SPLIT(
  TRIM(
    SUBSTITUTE(
      SUBSTITUTE(
        SUBSTITUTE(
          SUBSTITUTE(
            C947,
            ""√©"", ""é""
          ),
          ""√±"", ""ñ""
        ),
        ""√°"", ""á""
      ),
      ""√≥"", ""ó""
    )
  ),
  ""-""
)
"),"Tablet")</f>
        <v>Tablet</v>
      </c>
      <c r="O947" s="28" t="str">
        <f>IFERROR(__xludf.DUMMYFUNCTION("""COMPUTED_VALUE"""),"Mini")</f>
        <v>Mini</v>
      </c>
      <c r="P947" s="28" t="str">
        <f>IFERROR(__xludf.DUMMYFUNCTION("""COMPUTED_VALUE"""),"16GB")</f>
        <v>16GB</v>
      </c>
      <c r="Q947" s="29">
        <f t="shared" si="1"/>
        <v>648.35</v>
      </c>
      <c r="R947" s="28">
        <f t="shared" si="2"/>
        <v>5</v>
      </c>
      <c r="S947" s="29">
        <f t="shared" si="3"/>
        <v>3241.75</v>
      </c>
      <c r="T947" s="28" t="str">
        <f>IFERROR(__xludf.DUMMYFUNCTION("PROPER(TRIM(
  LET(
    texto1, REGEXREPLACE(G947,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"),"Estela Alejandro Caballero")</f>
        <v>Estela Alejandro Caballero</v>
      </c>
      <c r="U947" s="28" t="str">
        <f t="shared" si="4"/>
        <v>325642ee-2d8b-4a13-a954-d573be58d386</v>
      </c>
      <c r="V947" s="30" t="str">
        <f t="shared" si="5"/>
        <v>Tablet Mini 16GB</v>
      </c>
    </row>
    <row r="948" ht="15.75" customHeight="1">
      <c r="A948" s="6">
        <v>45612.0</v>
      </c>
      <c r="B948" s="2" t="s">
        <v>27</v>
      </c>
      <c r="C948" s="2" t="s">
        <v>191</v>
      </c>
      <c r="D948" s="7">
        <v>456.65</v>
      </c>
      <c r="E948" s="2">
        <v>2.0</v>
      </c>
      <c r="F948" s="7">
        <v>913.3</v>
      </c>
      <c r="G948" s="2" t="s">
        <v>3150</v>
      </c>
      <c r="H948" s="2" t="s">
        <v>3151</v>
      </c>
      <c r="I948" s="2" t="s">
        <v>3152</v>
      </c>
      <c r="K948" s="19" t="str">
        <f>IFERROR(__xludf.DUMMYFUNCTION("IF(ISBLANK(A948),
  """",
  IF(ISNUMBER(A948),
    TEXT(A948,""dd/mm/yyyy""),
    IF(
      REGEXMATCH(TRIM(A948),""^\d{1,2}/\d{1,2}/\d{4}$""),
      TRIM(A948),
      IFERROR(
        TEXT(DATEVALUE(SUBSTITUTE(SUBSTITUTE(TRIM(A948),""-"",""/""),""."",""/"&amp;""")),""dd/mm/yyyy""),
        TRIM(A948)
      )
    )
  )
)
"),"16/11/2024")</f>
        <v>16/11/2024</v>
      </c>
      <c r="L948" s="20">
        <v>45612.0</v>
      </c>
      <c r="M948" s="21" t="str">
        <f>IFERROR(__xludf.DUMMYFUNCTION("PROPER(TRIM(
  REGEXREPLACE(
    REGEXREPLACE(
      SUBSTITUTE(SUBSTITUTE(SUBSTITUTE(SUBSTITUTE(SUBSTITUTE(SUBSTITUTE(SUBSTITUTE(SUBSTITUTE(SUBSTITUTE(SUBSTITUTE(SUBSTITUTE(
        B948,""√©"",""é""),""√°"",""á""),""√±"",""ñ""),""√≥"",""ó""),""√â"",""é"&amp;"""),""√Å"",""á""),""√ç"",""í""),""√Ç"",""Í""),""√Â"",""é""),""√≠"",""í""),""√º"",""ú""),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48" s="22" t="str">
        <f>IFERROR(__xludf.DUMMYFUNCTION("SPLIT(
  TRIM(
    SUBSTITUTE(
      SUBSTITUTE(
        SUBSTITUTE(
          SUBSTITUTE(
            C948,
            ""√©"", ""é""
          ),
          ""√±"", ""ñ""
        ),
        ""√°"", ""á""
      ),
      ""√≥"", ""ó""
    )
  ),
  ""-""
)
"),"Auriculares")</f>
        <v>Auriculares</v>
      </c>
      <c r="O948" s="22" t="str">
        <f>IFERROR(__xludf.DUMMYFUNCTION("""COMPUTED_VALUE"""),"Cancelación de ruido")</f>
        <v>Cancelación de ruido</v>
      </c>
      <c r="P948" s="22" t="str">
        <f>IFERROR(__xludf.DUMMYFUNCTION("""COMPUTED_VALUE"""),"32GB")</f>
        <v>32GB</v>
      </c>
      <c r="Q948" s="23">
        <f t="shared" si="1"/>
        <v>456.65</v>
      </c>
      <c r="R948" s="22">
        <f t="shared" si="2"/>
        <v>2</v>
      </c>
      <c r="S948" s="23">
        <f t="shared" si="3"/>
        <v>913.3</v>
      </c>
      <c r="T948" s="22" t="str">
        <f>IFERROR(__xludf.DUMMYFUNCTION("PROPER(TRIM(
  LET(
    texto1, REGEXREPLACE(G948,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"),"Federico Angulo")</f>
        <v>Federico Angulo</v>
      </c>
      <c r="U948" s="22" t="str">
        <f t="shared" si="4"/>
        <v>b97d18e7-1657-470e-bc41-0860e9f0889b</v>
      </c>
      <c r="V948" s="24" t="str">
        <f t="shared" si="5"/>
        <v>Auriculares Cancelación de ruido 32GB</v>
      </c>
    </row>
    <row r="949" ht="15.75" customHeight="1">
      <c r="A949" s="6">
        <v>45633.0</v>
      </c>
      <c r="B949" s="2" t="s">
        <v>50</v>
      </c>
      <c r="C949" s="2" t="s">
        <v>86</v>
      </c>
      <c r="D949" s="7">
        <v>1566.88</v>
      </c>
      <c r="E949" s="2">
        <v>3.0</v>
      </c>
      <c r="F949" s="7">
        <v>4700.64</v>
      </c>
      <c r="G949" s="2" t="s">
        <v>3153</v>
      </c>
      <c r="H949" s="2" t="s">
        <v>3154</v>
      </c>
      <c r="I949" s="2" t="s">
        <v>3155</v>
      </c>
      <c r="K949" s="25" t="str">
        <f>IFERROR(__xludf.DUMMYFUNCTION("IF(ISBLANK(A949),
  """",
  IF(ISNUMBER(A949),
    TEXT(A949,""dd/mm/yyyy""),
    IF(
      REGEXMATCH(TRIM(A949),""^\d{1,2}/\d{1,2}/\d{4}$""),
      TRIM(A949),
      IFERROR(
        TEXT(DATEVALUE(SUBSTITUTE(SUBSTITUTE(TRIM(A949),""-"",""/""),""."",""/"&amp;""")),""dd/mm/yyyy""),
        TRIM(A949)
      )
    )
  )
)
"),"07/12/2024")</f>
        <v>07/12/2024</v>
      </c>
      <c r="L949" s="26">
        <v>45633.0</v>
      </c>
      <c r="M949" s="27" t="str">
        <f>IFERROR(__xludf.DUMMYFUNCTION("PROPER(TRIM(
  REGEXREPLACE(
    REGEXREPLACE(
      SUBSTITUTE(SUBSTITUTE(SUBSTITUTE(SUBSTITUTE(SUBSTITUTE(SUBSTITUTE(SUBSTITUTE(SUBSTITUTE(SUBSTITUTE(SUBSTITUTE(SUBSTITUTE(
        B949,""√©"",""é""),""√°"",""á""),""√±"",""ñ""),""√≥"",""ó""),""√â"",""é"&amp;"""),""√Å"",""á""),""√ç"",""í""),""√Ç"",""Í""),""√Â"",""é""),""√≠"",""í""),""√º"",""ú""),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49" s="28" t="str">
        <f>IFERROR(__xludf.DUMMYFUNCTION("SPLIT(
  TRIM(
    SUBSTITUTE(
      SUBSTITUTE(
        SUBSTITUTE(
          SUBSTITUTE(
            C949,
            ""√©"", ""é""
          ),
          ""√±"", ""ñ""
        ),
        ""√°"", ""á""
      ),
      ""√≥"", ""ó""
    )
  ),
  ""-""
)
"),"Tablet")</f>
        <v>Tablet</v>
      </c>
      <c r="O949" s="28" t="str">
        <f>IFERROR(__xludf.DUMMYFUNCTION("""COMPUTED_VALUE"""),"Pro")</f>
        <v>Pro</v>
      </c>
      <c r="P949" s="28" t="str">
        <f>IFERROR(__xludf.DUMMYFUNCTION("""COMPUTED_VALUE"""),"32GB")</f>
        <v>32GB</v>
      </c>
      <c r="Q949" s="29">
        <f t="shared" si="1"/>
        <v>1566.88</v>
      </c>
      <c r="R949" s="28">
        <f t="shared" si="2"/>
        <v>3</v>
      </c>
      <c r="S949" s="29">
        <f t="shared" si="3"/>
        <v>4700.64</v>
      </c>
      <c r="T949" s="28" t="str">
        <f>IFERROR(__xludf.DUMMYFUNCTION("PROPER(TRIM(
  LET(
    texto1, REGEXREPLACE(G949,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"),"Felix Pizarro")</f>
        <v>Felix Pizarro</v>
      </c>
      <c r="U949" s="28" t="str">
        <f t="shared" si="4"/>
        <v>eec053a4-5ae1-415f-b30f-845523ab472b</v>
      </c>
      <c r="V949" s="30" t="str">
        <f t="shared" si="5"/>
        <v>Tablet Pro 32GB</v>
      </c>
    </row>
    <row r="950" ht="15.75" customHeight="1">
      <c r="A950" s="6">
        <v>45620.0</v>
      </c>
      <c r="B950" s="2" t="s">
        <v>101</v>
      </c>
      <c r="C950" s="2" t="s">
        <v>33</v>
      </c>
      <c r="D950" s="7">
        <v>1880.14</v>
      </c>
      <c r="E950" s="2">
        <v>1.0</v>
      </c>
      <c r="F950" s="7">
        <v>1880.14</v>
      </c>
      <c r="G950" s="2" t="s">
        <v>3156</v>
      </c>
      <c r="H950" s="2" t="s">
        <v>3157</v>
      </c>
      <c r="I950" s="2" t="s">
        <v>3158</v>
      </c>
      <c r="K950" s="19" t="str">
        <f>IFERROR(__xludf.DUMMYFUNCTION("IF(ISBLANK(A950),
  """",
  IF(ISNUMBER(A950),
    TEXT(A950,""dd/mm/yyyy""),
    IF(
      REGEXMATCH(TRIM(A950),""^\d{1,2}/\d{1,2}/\d{4}$""),
      TRIM(A950),
      IFERROR(
        TEXT(DATEVALUE(SUBSTITUTE(SUBSTITUTE(TRIM(A950),""-"",""/""),""."",""/"&amp;""")),""dd/mm/yyyy""),
        TRIM(A950)
      )
    )
  )
)
"),"24/11/2024")</f>
        <v>24/11/2024</v>
      </c>
      <c r="L950" s="20">
        <v>45620.0</v>
      </c>
      <c r="M950" s="21" t="str">
        <f>IFERROR(__xludf.DUMMYFUNCTION("PROPER(TRIM(
  REGEXREPLACE(
    REGEXREPLACE(
      SUBSTITUTE(SUBSTITUTE(SUBSTITUTE(SUBSTITUTE(SUBSTITUTE(SUBSTITUTE(SUBSTITUTE(SUBSTITUTE(SUBSTITUTE(SUBSTITUTE(SUBSTITUTE(
        B950,""√©"",""é""),""√°"",""á""),""√±"",""ñ""),""√≥"",""ó""),""√â"",""é"&amp;"""),""√Å"",""á""),""√ç"",""í""),""√Ç"",""Í""),""√Â"",""é""),""√≠"",""í""),""√º"",""ú""),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50" s="22" t="str">
        <f>IFERROR(__xludf.DUMMYFUNCTION("SPLIT(
  TRIM(
    SUBSTITUTE(
      SUBSTITUTE(
        SUBSTITUTE(
          SUBSTITUTE(
            C950,
            ""√©"", ""é""
          ),
          ""√±"", ""ñ""
        ),
        ""√°"", ""á""
      ),
      ""√≥"", ""ó""
    )
  ),
  ""-""
)
"),"Teléfono")</f>
        <v>Teléfono</v>
      </c>
      <c r="O950" s="22" t="str">
        <f>IFERROR(__xludf.DUMMYFUNCTION("""COMPUTED_VALUE"""),"Gama alta")</f>
        <v>Gama alta</v>
      </c>
      <c r="P950" s="22" t="str">
        <f>IFERROR(__xludf.DUMMYFUNCTION("""COMPUTED_VALUE"""),"4GB")</f>
        <v>4GB</v>
      </c>
      <c r="Q950" s="23">
        <f t="shared" si="1"/>
        <v>1880.14</v>
      </c>
      <c r="R950" s="22">
        <f t="shared" si="2"/>
        <v>1</v>
      </c>
      <c r="S950" s="23">
        <f t="shared" si="3"/>
        <v>1880.14</v>
      </c>
      <c r="T950" s="22" t="str">
        <f>IFERROR(__xludf.DUMMYFUNCTION("PROPER(TRIM(
  LET(
    texto1, REGEXREPLACE(G950,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"),"Alonso Gutiérrez Gonzales")</f>
        <v>Alonso Gutiérrez Gonzales</v>
      </c>
      <c r="U950" s="22" t="str">
        <f t="shared" si="4"/>
        <v>8ea7037d-ea94-41a9-96b7-83c29d8264c3</v>
      </c>
      <c r="V950" s="24" t="str">
        <f t="shared" si="5"/>
        <v>Teléfono Gama alta 4GB</v>
      </c>
    </row>
    <row r="951" ht="15.75" customHeight="1">
      <c r="A951" s="6">
        <v>45580.0</v>
      </c>
      <c r="B951" s="2" t="s">
        <v>27</v>
      </c>
      <c r="C951" s="2" t="s">
        <v>135</v>
      </c>
      <c r="D951" s="7">
        <v>2377.34</v>
      </c>
      <c r="E951" s="2">
        <v>2.0</v>
      </c>
      <c r="F951" s="7">
        <v>4754.68</v>
      </c>
      <c r="G951" s="2" t="s">
        <v>3159</v>
      </c>
      <c r="H951" s="2" t="s">
        <v>3160</v>
      </c>
      <c r="I951" s="2" t="s">
        <v>3161</v>
      </c>
      <c r="K951" s="25" t="str">
        <f>IFERROR(__xludf.DUMMYFUNCTION("IF(ISBLANK(A951),
  """",
  IF(ISNUMBER(A951),
    TEXT(A951,""dd/mm/yyyy""),
    IF(
      REGEXMATCH(TRIM(A951),""^\d{1,2}/\d{1,2}/\d{4}$""),
      TRIM(A951),
      IFERROR(
        TEXT(DATEVALUE(SUBSTITUTE(SUBSTITUTE(TRIM(A951),""-"",""/""),""."",""/"&amp;""")),""dd/mm/yyyy""),
        TRIM(A951)
      )
    )
  )
)
"),"15/10/2024")</f>
        <v>15/10/2024</v>
      </c>
      <c r="L951" s="26">
        <v>45580.0</v>
      </c>
      <c r="M951" s="27" t="str">
        <f>IFERROR(__xludf.DUMMYFUNCTION("PROPER(TRIM(
  REGEXREPLACE(
    REGEXREPLACE(
      SUBSTITUTE(SUBSTITUTE(SUBSTITUTE(SUBSTITUTE(SUBSTITUTE(SUBSTITUTE(SUBSTITUTE(SUBSTITUTE(SUBSTITUTE(SUBSTITUTE(SUBSTITUTE(
        B951,""√©"",""é""),""√°"",""á""),""√±"",""ñ""),""√≥"",""ó""),""√â"",""é"&amp;"""),""√Å"",""á""),""√ç"",""í""),""√Ç"",""Í""),""√Â"",""é""),""√≠"",""í""),""√º"",""ú""),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51" s="28" t="str">
        <f>IFERROR(__xludf.DUMMYFUNCTION("SPLIT(
  TRIM(
    SUBSTITUTE(
      SUBSTITUTE(
        SUBSTITUTE(
          SUBSTITUTE(
            C951,
            ""√©"", ""é""
          ),
          ""√±"", ""ñ""
        ),
        ""√°"", ""á""
      ),
      ""√≥"", ""ó""
    )
  ),
  ""-""
)
"),"Laptop")</f>
        <v>Laptop</v>
      </c>
      <c r="O951" s="28" t="str">
        <f>IFERROR(__xludf.DUMMYFUNCTION("""COMPUTED_VALUE"""),"Ultraliviana")</f>
        <v>Ultraliviana</v>
      </c>
      <c r="P951" s="28" t="str">
        <f>IFERROR(__xludf.DUMMYFUNCTION("""COMPUTED_VALUE"""),"32GB")</f>
        <v>32GB</v>
      </c>
      <c r="Q951" s="29">
        <f t="shared" si="1"/>
        <v>2377.34</v>
      </c>
      <c r="R951" s="28">
        <f t="shared" si="2"/>
        <v>2</v>
      </c>
      <c r="S951" s="29">
        <f t="shared" si="3"/>
        <v>4754.68</v>
      </c>
      <c r="T951" s="28" t="str">
        <f>IFERROR(__xludf.DUMMYFUNCTION("PROPER(TRIM(
  LET(
    texto1, REGEXREPLACE(G951,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"),"Natividad Armenta Espino")</f>
        <v>Natividad Armenta Espino</v>
      </c>
      <c r="U951" s="28" t="str">
        <f t="shared" si="4"/>
        <v>a7a8f827-451d-439f-95ca-6682c5127351</v>
      </c>
      <c r="V951" s="30" t="str">
        <f t="shared" si="5"/>
        <v>Laptop Ultraliviana 32GB</v>
      </c>
    </row>
    <row r="952" ht="15.75" customHeight="1">
      <c r="A952" s="6">
        <v>45655.0</v>
      </c>
      <c r="B952" s="2" t="s">
        <v>101</v>
      </c>
      <c r="C952" s="2" t="s">
        <v>508</v>
      </c>
      <c r="D952" s="7">
        <v>1811.9</v>
      </c>
      <c r="E952" s="2">
        <v>1.0</v>
      </c>
      <c r="F952" s="7">
        <v>1811.9</v>
      </c>
      <c r="G952" s="2" t="s">
        <v>3162</v>
      </c>
      <c r="H952" s="2" t="s">
        <v>3163</v>
      </c>
      <c r="I952" s="2" t="s">
        <v>3164</v>
      </c>
      <c r="K952" s="19" t="str">
        <f>IFERROR(__xludf.DUMMYFUNCTION("IF(ISBLANK(A952),
  """",
  IF(ISNUMBER(A952),
    TEXT(A952,""dd/mm/yyyy""),
    IF(
      REGEXMATCH(TRIM(A952),""^\d{1,2}/\d{1,2}/\d{4}$""),
      TRIM(A952),
      IFERROR(
        TEXT(DATEVALUE(SUBSTITUTE(SUBSTITUTE(TRIM(A952),""-"",""/""),""."",""/"&amp;""")),""dd/mm/yyyy""),
        TRIM(A952)
      )
    )
  )
)
"),"29/12/2024")</f>
        <v>29/12/2024</v>
      </c>
      <c r="L952" s="20">
        <v>45655.0</v>
      </c>
      <c r="M952" s="21" t="str">
        <f>IFERROR(__xludf.DUMMYFUNCTION("PROPER(TRIM(
  REGEXREPLACE(
    REGEXREPLACE(
      SUBSTITUTE(SUBSTITUTE(SUBSTITUTE(SUBSTITUTE(SUBSTITUTE(SUBSTITUTE(SUBSTITUTE(SUBSTITUTE(SUBSTITUTE(SUBSTITUTE(SUBSTITUTE(
        B952,""√©"",""é""),""√°"",""á""),""√±"",""ñ""),""√≥"",""ó""),""√â"",""é"&amp;"""),""√Å"",""á""),""√ç"",""í""),""√Ç"",""Í""),""√Â"",""é""),""√≠"",""í""),""√º"",""ú""),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52" s="22" t="str">
        <f>IFERROR(__xludf.DUMMYFUNCTION("SPLIT(
  TRIM(
    SUBSTITUTE(
      SUBSTITUTE(
        SUBSTITUTE(
          SUBSTITUTE(
            C952,
            ""√©"", ""é""
          ),
          ""√±"", ""ñ""
        ),
        ""√°"", ""á""
      ),
      ""√≥"", ""ó""
    )
  ),
  ""-""
)
"),"Auriculares")</f>
        <v>Auriculares</v>
      </c>
      <c r="O952" s="22" t="str">
        <f>IFERROR(__xludf.DUMMYFUNCTION("""COMPUTED_VALUE"""),"Cancelación de ruido")</f>
        <v>Cancelación de ruido</v>
      </c>
      <c r="P952" s="22" t="str">
        <f>IFERROR(__xludf.DUMMYFUNCTION("""COMPUTED_VALUE"""),"16GB")</f>
        <v>16GB</v>
      </c>
      <c r="Q952" s="23">
        <f t="shared" si="1"/>
        <v>1811.9</v>
      </c>
      <c r="R952" s="22">
        <f t="shared" si="2"/>
        <v>1</v>
      </c>
      <c r="S952" s="23">
        <f t="shared" si="3"/>
        <v>1811.9</v>
      </c>
      <c r="T952" s="22" t="str">
        <f>IFERROR(__xludf.DUMMYFUNCTION("PROPER(TRIM(
  LET(
    texto1, REGEXREPLACE(G952,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"),"Diego Adame")</f>
        <v>Diego Adame</v>
      </c>
      <c r="U952" s="22" t="str">
        <f t="shared" si="4"/>
        <v>8dac1bb0-62a5-4b93-9f18-74bb64e1f8a8</v>
      </c>
      <c r="V952" s="24" t="str">
        <f t="shared" si="5"/>
        <v>Auriculares Cancelación de ruido 16GB</v>
      </c>
    </row>
    <row r="953" ht="15.75" customHeight="1">
      <c r="A953" s="6">
        <v>45617.0</v>
      </c>
      <c r="B953" s="2" t="s">
        <v>16</v>
      </c>
      <c r="C953" s="2" t="s">
        <v>96</v>
      </c>
      <c r="D953" s="7">
        <v>1160.21</v>
      </c>
      <c r="E953" s="2">
        <v>2.0</v>
      </c>
      <c r="F953" s="7">
        <v>2320.42</v>
      </c>
      <c r="G953" s="2" t="s">
        <v>3165</v>
      </c>
      <c r="H953" s="2" t="s">
        <v>3166</v>
      </c>
      <c r="I953" s="2" t="s">
        <v>3167</v>
      </c>
      <c r="K953" s="25" t="str">
        <f>IFERROR(__xludf.DUMMYFUNCTION("IF(ISBLANK(A953),
  """",
  IF(ISNUMBER(A953),
    TEXT(A953,""dd/mm/yyyy""),
    IF(
      REGEXMATCH(TRIM(A953),""^\d{1,2}/\d{1,2}/\d{4}$""),
      TRIM(A953),
      IFERROR(
        TEXT(DATEVALUE(SUBSTITUTE(SUBSTITUTE(TRIM(A953),""-"",""/""),""."",""/"&amp;""")),""dd/mm/yyyy""),
        TRIM(A953)
      )
    )
  )
)
"),"21/11/2024")</f>
        <v>21/11/2024</v>
      </c>
      <c r="L953" s="26">
        <v>45617.0</v>
      </c>
      <c r="M953" s="27" t="str">
        <f>IFERROR(__xludf.DUMMYFUNCTION("PROPER(TRIM(
  REGEXREPLACE(
    REGEXREPLACE(
      SUBSTITUTE(SUBSTITUTE(SUBSTITUTE(SUBSTITUTE(SUBSTITUTE(SUBSTITUTE(SUBSTITUTE(SUBSTITUTE(SUBSTITUTE(SUBSTITUTE(SUBSTITUTE(
        B953,""√©"",""é""),""√°"",""á""),""√±"",""ñ""),""√≥"",""ó""),""√â"",""é"&amp;"""),""√Å"",""á""),""√ç"",""í""),""√Ç"",""Í""),""√Â"",""é""),""√≠"",""í""),""√º"",""ú""),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53" s="28" t="str">
        <f>IFERROR(__xludf.DUMMYFUNCTION("SPLIT(
  TRIM(
    SUBSTITUTE(
      SUBSTITUTE(
        SUBSTITUTE(
          SUBSTITUTE(
            C953,
            ""√©"", ""é""
          ),
          ""√±"", ""ñ""
        ),
        ""√°"", ""á""
      ),
      ""√≥"", ""ó""
    )
  ),
  ""-""
)
"),"Auriculares")</f>
        <v>Auriculares</v>
      </c>
      <c r="O953" s="28" t="str">
        <f>IFERROR(__xludf.DUMMYFUNCTION("""COMPUTED_VALUE"""),"Cancelación de ruido")</f>
        <v>Cancelación de ruido</v>
      </c>
      <c r="P953" s="28" t="str">
        <f>IFERROR(__xludf.DUMMYFUNCTION("""COMPUTED_VALUE"""),"4GB")</f>
        <v>4GB</v>
      </c>
      <c r="Q953" s="29">
        <f t="shared" si="1"/>
        <v>1160.21</v>
      </c>
      <c r="R953" s="28">
        <f t="shared" si="2"/>
        <v>2</v>
      </c>
      <c r="S953" s="29">
        <f t="shared" si="3"/>
        <v>2320.42</v>
      </c>
      <c r="T953" s="28" t="str">
        <f>IFERROR(__xludf.DUMMYFUNCTION("PROPER(TRIM(
  LET(
    texto1, REGEXREPLACE(G953,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"),"Rosa Serrano")</f>
        <v>Rosa Serrano</v>
      </c>
      <c r="U953" s="28" t="str">
        <f t="shared" si="4"/>
        <v>01033810-39b1-401b-94e8-71a15ff61d49</v>
      </c>
      <c r="V953" s="30" t="str">
        <f t="shared" si="5"/>
        <v>Auriculares Cancelación de ruido 4GB</v>
      </c>
    </row>
    <row r="954" ht="15.75" customHeight="1">
      <c r="A954" s="6">
        <v>45589.0</v>
      </c>
      <c r="B954" s="2" t="s">
        <v>50</v>
      </c>
      <c r="C954" s="2" t="s">
        <v>360</v>
      </c>
      <c r="D954" s="32"/>
      <c r="E954" s="2">
        <v>5.0</v>
      </c>
      <c r="F954" s="7">
        <v>3716.95</v>
      </c>
      <c r="G954" s="2" t="s">
        <v>3168</v>
      </c>
      <c r="H954" s="2" t="s">
        <v>3169</v>
      </c>
      <c r="I954" s="2" t="s">
        <v>3170</v>
      </c>
      <c r="K954" s="19" t="str">
        <f>IFERROR(__xludf.DUMMYFUNCTION("IF(ISBLANK(A954),
  """",
  IF(ISNUMBER(A954),
    TEXT(A954,""dd/mm/yyyy""),
    IF(
      REGEXMATCH(TRIM(A954),""^\d{1,2}/\d{1,2}/\d{4}$""),
      TRIM(A954),
      IFERROR(
        TEXT(DATEVALUE(SUBSTITUTE(SUBSTITUTE(TRIM(A954),""-"",""/""),""."",""/"&amp;""")),""dd/mm/yyyy""),
        TRIM(A954)
      )
    )
  )
)
"),"24/10/2024")</f>
        <v>24/10/2024</v>
      </c>
      <c r="L954" s="20">
        <v>45589.0</v>
      </c>
      <c r="M954" s="21" t="str">
        <f>IFERROR(__xludf.DUMMYFUNCTION("PROPER(TRIM(
  REGEXREPLACE(
    REGEXREPLACE(
      SUBSTITUTE(SUBSTITUTE(SUBSTITUTE(SUBSTITUTE(SUBSTITUTE(SUBSTITUTE(SUBSTITUTE(SUBSTITUTE(SUBSTITUTE(SUBSTITUTE(SUBSTITUTE(
        B954,""√©"",""é""),""√°"",""á""),""√±"",""ñ""),""√≥"",""ó""),""√â"",""é"&amp;"""),""√Å"",""á""),""√ç"",""í""),""√Ç"",""Í""),""√Â"",""é""),""√≠"",""í""),""√º"",""ú""),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54" s="22" t="str">
        <f>IFERROR(__xludf.DUMMYFUNCTION("SPLIT(
  TRIM(
    SUBSTITUTE(
      SUBSTITUTE(
        SUBSTITUTE(
          SUBSTITUTE(
            C954,
            ""√©"", ""é""
          ),
          ""√±"", ""ñ""
        ),
        ""√°"", ""á""
      ),
      ""√≥"", ""ó""
    )
  ),
  ""-""
)
"),"Tablet")</f>
        <v>Tablet</v>
      </c>
      <c r="O954" s="22" t="str">
        <f>IFERROR(__xludf.DUMMYFUNCTION("""COMPUTED_VALUE"""),"Estándar")</f>
        <v>Estándar</v>
      </c>
      <c r="P954" s="22" t="str">
        <f>IFERROR(__xludf.DUMMYFUNCTION("""COMPUTED_VALUE"""),"8GB")</f>
        <v>8GB</v>
      </c>
      <c r="Q954" s="35" t="str">
        <f t="shared" si="1"/>
        <v>0</v>
      </c>
      <c r="R954" s="22">
        <f t="shared" si="2"/>
        <v>5</v>
      </c>
      <c r="S954" s="23">
        <f t="shared" si="3"/>
        <v>3716.95</v>
      </c>
      <c r="T954" s="22" t="str">
        <f>IFERROR(__xludf.DUMMYFUNCTION("PROPER(TRIM(
  LET(
    texto1, REGEXREPLACE(G954,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"),"Nancy Horacio Porras")</f>
        <v>Nancy Horacio Porras</v>
      </c>
      <c r="U954" s="22" t="str">
        <f t="shared" si="4"/>
        <v>6486d7e7-8b63-4036-a105-6f846c2be7ab</v>
      </c>
      <c r="V954" s="24" t="str">
        <f t="shared" si="5"/>
        <v>Tablet Estándar 8GB</v>
      </c>
    </row>
    <row r="955" ht="15.75" customHeight="1">
      <c r="A955" s="6">
        <v>45643.0</v>
      </c>
      <c r="B955" s="2" t="s">
        <v>16</v>
      </c>
      <c r="C955" s="2" t="s">
        <v>135</v>
      </c>
      <c r="D955" s="7">
        <v>1698.28</v>
      </c>
      <c r="E955" s="2">
        <v>3.0</v>
      </c>
      <c r="F955" s="7">
        <v>5094.84</v>
      </c>
      <c r="G955" s="2" t="s">
        <v>3171</v>
      </c>
      <c r="H955" s="2" t="s">
        <v>3172</v>
      </c>
      <c r="I955" s="2" t="s">
        <v>3173</v>
      </c>
      <c r="K955" s="25" t="str">
        <f>IFERROR(__xludf.DUMMYFUNCTION("IF(ISBLANK(A955),
  """",
  IF(ISNUMBER(A955),
    TEXT(A955,""dd/mm/yyyy""),
    IF(
      REGEXMATCH(TRIM(A955),""^\d{1,2}/\d{1,2}/\d{4}$""),
      TRIM(A955),
      IFERROR(
        TEXT(DATEVALUE(SUBSTITUTE(SUBSTITUTE(TRIM(A955),""-"",""/""),""."",""/"&amp;""")),""dd/mm/yyyy""),
        TRIM(A955)
      )
    )
  )
)
"),"17/12/2024")</f>
        <v>17/12/2024</v>
      </c>
      <c r="L955" s="26">
        <v>45643.0</v>
      </c>
      <c r="M955" s="27" t="str">
        <f>IFERROR(__xludf.DUMMYFUNCTION("PROPER(TRIM(
  REGEXREPLACE(
    REGEXREPLACE(
      SUBSTITUTE(SUBSTITUTE(SUBSTITUTE(SUBSTITUTE(SUBSTITUTE(SUBSTITUTE(SUBSTITUTE(SUBSTITUTE(SUBSTITUTE(SUBSTITUTE(SUBSTITUTE(
        B955,""√©"",""é""),""√°"",""á""),""√±"",""ñ""),""√≥"",""ó""),""√â"",""é"&amp;"""),""√Å"",""á""),""√ç"",""í""),""√Ç"",""Í""),""√Â"",""é""),""√≠"",""í""),""√º"",""ú""),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55" s="28" t="str">
        <f>IFERROR(__xludf.DUMMYFUNCTION("SPLIT(
  TRIM(
    SUBSTITUTE(
      SUBSTITUTE(
        SUBSTITUTE(
          SUBSTITUTE(
            C955,
            ""√©"", ""é""
          ),
          ""√±"", ""ñ""
        ),
        ""√°"", ""á""
      ),
      ""√≥"", ""ó""
    )
  ),
  ""-""
)
"),"Laptop")</f>
        <v>Laptop</v>
      </c>
      <c r="O955" s="28" t="str">
        <f>IFERROR(__xludf.DUMMYFUNCTION("""COMPUTED_VALUE"""),"Ultraliviana")</f>
        <v>Ultraliviana</v>
      </c>
      <c r="P955" s="28" t="str">
        <f>IFERROR(__xludf.DUMMYFUNCTION("""COMPUTED_VALUE"""),"32GB")</f>
        <v>32GB</v>
      </c>
      <c r="Q955" s="29">
        <f t="shared" si="1"/>
        <v>1698.28</v>
      </c>
      <c r="R955" s="28">
        <f t="shared" si="2"/>
        <v>3</v>
      </c>
      <c r="S955" s="29">
        <f t="shared" si="3"/>
        <v>5094.84</v>
      </c>
      <c r="T955" s="28" t="str">
        <f>IFERROR(__xludf.DUMMYFUNCTION("PROPER(TRIM(
  LET(
    texto1, REGEXREPLACE(G955,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"),"Hugo Polanco")</f>
        <v>Hugo Polanco</v>
      </c>
      <c r="U955" s="28" t="str">
        <f t="shared" si="4"/>
        <v>570e94ce-b053-46a5-8a1e-1a663553c880</v>
      </c>
      <c r="V955" s="30" t="str">
        <f t="shared" si="5"/>
        <v>Laptop Ultraliviana 32GB</v>
      </c>
    </row>
    <row r="956" ht="15.75" customHeight="1">
      <c r="A956" s="6">
        <v>45629.0</v>
      </c>
      <c r="B956" s="2" t="s">
        <v>38</v>
      </c>
      <c r="C956" s="2" t="s">
        <v>698</v>
      </c>
      <c r="D956" s="7">
        <v>690.26</v>
      </c>
      <c r="E956" s="2">
        <v>4.0</v>
      </c>
      <c r="F956" s="7">
        <v>2761.04</v>
      </c>
      <c r="G956" s="2" t="s">
        <v>3174</v>
      </c>
      <c r="H956" s="2" t="s">
        <v>3175</v>
      </c>
      <c r="I956" s="2" t="s">
        <v>3176</v>
      </c>
      <c r="K956" s="19" t="str">
        <f>IFERROR(__xludf.DUMMYFUNCTION("IF(ISBLANK(A956),
  """",
  IF(ISNUMBER(A956),
    TEXT(A956,""dd/mm/yyyy""),
    IF(
      REGEXMATCH(TRIM(A956),""^\d{1,2}/\d{1,2}/\d{4}$""),
      TRIM(A956),
      IFERROR(
        TEXT(DATEVALUE(SUBSTITUTE(SUBSTITUTE(TRIM(A956),""-"",""/""),""."",""/"&amp;""")),""dd/mm/yyyy""),
        TRIM(A956)
      )
    )
  )
)
"),"03/12/2024")</f>
        <v>03/12/2024</v>
      </c>
      <c r="L956" s="20">
        <v>45629.0</v>
      </c>
      <c r="M956" s="21" t="str">
        <f>IFERROR(__xludf.DUMMYFUNCTION("PROPER(TRIM(
  REGEXREPLACE(
    REGEXREPLACE(
      SUBSTITUTE(SUBSTITUTE(SUBSTITUTE(SUBSTITUTE(SUBSTITUTE(SUBSTITUTE(SUBSTITUTE(SUBSTITUTE(SUBSTITUTE(SUBSTITUTE(SUBSTITUTE(
        B956,""√©"",""é""),""√°"",""á""),""√±"",""ñ""),""√≥"",""ó""),""√â"",""é"&amp;"""),""√Å"",""á""),""√ç"",""í""),""√Ç"",""Í""),""√Â"",""é""),""√≠"",""í""),""√º"",""ú""),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56" s="22" t="str">
        <f>IFERROR(__xludf.DUMMYFUNCTION("SPLIT(
  TRIM(
    SUBSTITUTE(
      SUBSTITUTE(
        SUBSTITUTE(
          SUBSTITUTE(
            C956,
            ""√©"", ""é""
          ),
          ""√±"", ""ñ""
        ),
        ""√°"", ""á""
      ),
      ""√≥"", ""ó""
    )
  ),
  ""-""
)
"),"Laptop")</f>
        <v>Laptop</v>
      </c>
      <c r="O956" s="22" t="str">
        <f>IFERROR(__xludf.DUMMYFUNCTION("""COMPUTED_VALUE"""),"Ultraliviana")</f>
        <v>Ultraliviana</v>
      </c>
      <c r="P956" s="22" t="str">
        <f>IFERROR(__xludf.DUMMYFUNCTION("""COMPUTED_VALUE"""),"8GB")</f>
        <v>8GB</v>
      </c>
      <c r="Q956" s="23">
        <f t="shared" si="1"/>
        <v>690.26</v>
      </c>
      <c r="R956" s="22">
        <f t="shared" si="2"/>
        <v>4</v>
      </c>
      <c r="S956" s="23">
        <f t="shared" si="3"/>
        <v>2761.04</v>
      </c>
      <c r="T956" s="22" t="str">
        <f>IFERROR(__xludf.DUMMYFUNCTION("PROPER(TRIM(
  LET(
    texto1, REGEXREPLACE(G956,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"),"Alta Gracia Espino")</f>
        <v>Alta Gracia Espino</v>
      </c>
      <c r="U956" s="22" t="str">
        <f t="shared" si="4"/>
        <v>2c43e82b-a86a-44f0-a9c7-359db0ff3d83</v>
      </c>
      <c r="V956" s="24" t="str">
        <f t="shared" si="5"/>
        <v>Laptop Ultraliviana 8GB</v>
      </c>
    </row>
    <row r="957" ht="15.75" customHeight="1">
      <c r="A957" s="6">
        <v>45583.0</v>
      </c>
      <c r="B957" s="2" t="s">
        <v>27</v>
      </c>
      <c r="C957" s="2" t="s">
        <v>111</v>
      </c>
      <c r="D957" s="7">
        <v>1034.4</v>
      </c>
      <c r="E957" s="2">
        <v>1.0</v>
      </c>
      <c r="F957" s="7">
        <v>1034.4</v>
      </c>
      <c r="G957" s="2" t="s">
        <v>3177</v>
      </c>
      <c r="H957" s="2" t="s">
        <v>3178</v>
      </c>
      <c r="I957" s="2" t="s">
        <v>3179</v>
      </c>
      <c r="K957" s="25" t="str">
        <f>IFERROR(__xludf.DUMMYFUNCTION("IF(ISBLANK(A957),
  """",
  IF(ISNUMBER(A957),
    TEXT(A957,""dd/mm/yyyy""),
    IF(
      REGEXMATCH(TRIM(A957),""^\d{1,2}/\d{1,2}/\d{4}$""),
      TRIM(A957),
      IFERROR(
        TEXT(DATEVALUE(SUBSTITUTE(SUBSTITUTE(TRIM(A957),""-"",""/""),""."",""/"&amp;""")),""dd/mm/yyyy""),
        TRIM(A957)
      )
    )
  )
)
"),"18/10/2024")</f>
        <v>18/10/2024</v>
      </c>
      <c r="L957" s="26">
        <v>45583.0</v>
      </c>
      <c r="M957" s="27" t="str">
        <f>IFERROR(__xludf.DUMMYFUNCTION("PROPER(TRIM(
  REGEXREPLACE(
    REGEXREPLACE(
      SUBSTITUTE(SUBSTITUTE(SUBSTITUTE(SUBSTITUTE(SUBSTITUTE(SUBSTITUTE(SUBSTITUTE(SUBSTITUTE(SUBSTITUTE(SUBSTITUTE(SUBSTITUTE(
        B957,""√©"",""é""),""√°"",""á""),""√±"",""ñ""),""√≥"",""ó""),""√â"",""é"&amp;"""),""√Å"",""á""),""√ç"",""í""),""√Ç"",""Í""),""√Â"",""é""),""√≠"",""í""),""√º"",""ú""),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57" s="28" t="str">
        <f>IFERROR(__xludf.DUMMYFUNCTION("SPLIT(
  TRIM(
    SUBSTITUTE(
      SUBSTITUTE(
        SUBSTITUTE(
          SUBSTITUTE(
            C957,
            ""√©"", ""é""
          ),
          ""√±"", ""ñ""
        ),
        ""√°"", ""á""
      ),
      ""√≥"", ""ó""
    )
  ),
  ""-""
)
"),"Tablet")</f>
        <v>Tablet</v>
      </c>
      <c r="O957" s="28" t="str">
        <f>IFERROR(__xludf.DUMMYFUNCTION("""COMPUTED_VALUE"""),"Estándar")</f>
        <v>Estándar</v>
      </c>
      <c r="P957" s="28" t="str">
        <f>IFERROR(__xludf.DUMMYFUNCTION("""COMPUTED_VALUE"""),"16GB")</f>
        <v>16GB</v>
      </c>
      <c r="Q957" s="29">
        <f t="shared" si="1"/>
        <v>1034.4</v>
      </c>
      <c r="R957" s="28">
        <f t="shared" si="2"/>
        <v>1</v>
      </c>
      <c r="S957" s="29">
        <f t="shared" si="3"/>
        <v>1034.4</v>
      </c>
      <c r="T957" s="28" t="str">
        <f>IFERROR(__xludf.DUMMYFUNCTION("PROPER(TRIM(
  LET(
    texto1, REGEXREPLACE(G957,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"),"Verónica Jurado Gonzales")</f>
        <v>Verónica Jurado Gonzales</v>
      </c>
      <c r="U957" s="28" t="str">
        <f t="shared" si="4"/>
        <v>c959873c-5ee3-4647-bd0b-df86bd37e523</v>
      </c>
      <c r="V957" s="30" t="str">
        <f t="shared" si="5"/>
        <v>Tablet Estándar 16GB</v>
      </c>
    </row>
    <row r="958" ht="15.75" customHeight="1">
      <c r="A958" s="6">
        <v>45615.0</v>
      </c>
      <c r="B958" s="2" t="s">
        <v>50</v>
      </c>
      <c r="C958" s="2" t="s">
        <v>176</v>
      </c>
      <c r="D958" s="7">
        <v>1868.8</v>
      </c>
      <c r="E958" s="2">
        <v>2.0</v>
      </c>
      <c r="F958" s="7">
        <v>3737.6</v>
      </c>
      <c r="G958" s="2" t="s">
        <v>3180</v>
      </c>
      <c r="H958" s="2" t="s">
        <v>3181</v>
      </c>
      <c r="I958" s="2" t="s">
        <v>3182</v>
      </c>
      <c r="K958" s="19" t="str">
        <f>IFERROR(__xludf.DUMMYFUNCTION("IF(ISBLANK(A958),
  """",
  IF(ISNUMBER(A958),
    TEXT(A958,""dd/mm/yyyy""),
    IF(
      REGEXMATCH(TRIM(A958),""^\d{1,2}/\d{1,2}/\d{4}$""),
      TRIM(A958),
      IFERROR(
        TEXT(DATEVALUE(SUBSTITUTE(SUBSTITUTE(TRIM(A958),""-"",""/""),""."",""/"&amp;""")),""dd/mm/yyyy""),
        TRIM(A958)
      )
    )
  )
)
"),"19/11/2024")</f>
        <v>19/11/2024</v>
      </c>
      <c r="L958" s="20">
        <v>45615.0</v>
      </c>
      <c r="M958" s="21" t="str">
        <f>IFERROR(__xludf.DUMMYFUNCTION("PROPER(TRIM(
  REGEXREPLACE(
    REGEXREPLACE(
      SUBSTITUTE(SUBSTITUTE(SUBSTITUTE(SUBSTITUTE(SUBSTITUTE(SUBSTITUTE(SUBSTITUTE(SUBSTITUTE(SUBSTITUTE(SUBSTITUTE(SUBSTITUTE(
        B958,""√©"",""é""),""√°"",""á""),""√±"",""ñ""),""√≥"",""ó""),""√â"",""é"&amp;"""),""√Å"",""á""),""√ç"",""í""),""√Ç"",""Í""),""√Â"",""é""),""√≠"",""í""),""√º"",""ú""),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58" s="22" t="str">
        <f>IFERROR(__xludf.DUMMYFUNCTION("SPLIT(
  TRIM(
    SUBSTITUTE(
      SUBSTITUTE(
        SUBSTITUTE(
          SUBSTITUTE(
            C958,
            ""√©"", ""é""
          ),
          ""√±"", ""ñ""
        ),
        ""√°"", ""á""
      ),
      ""√≥"", ""ó""
    )
  ),
  ""-""
)
"),"Auriculares")</f>
        <v>Auriculares</v>
      </c>
      <c r="O958" s="22" t="str">
        <f>IFERROR(__xludf.DUMMYFUNCTION("""COMPUTED_VALUE"""),"Con cable")</f>
        <v>Con cable</v>
      </c>
      <c r="P958" s="22" t="str">
        <f>IFERROR(__xludf.DUMMYFUNCTION("""COMPUTED_VALUE"""),"8GB")</f>
        <v>8GB</v>
      </c>
      <c r="Q958" s="23">
        <f t="shared" si="1"/>
        <v>1868.8</v>
      </c>
      <c r="R958" s="22">
        <f t="shared" si="2"/>
        <v>2</v>
      </c>
      <c r="S958" s="23">
        <f t="shared" si="3"/>
        <v>3737.6</v>
      </c>
      <c r="T958" s="22" t="str">
        <f>IFERROR(__xludf.DUMMYFUNCTION("PROPER(TRIM(
  LET(
    texto1, REGEXREPLACE(G958,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"),"Carolina Cabán Urías")</f>
        <v>Carolina Cabán Urías</v>
      </c>
      <c r="U958" s="22" t="str">
        <f t="shared" si="4"/>
        <v>6df2b0ce-9ac0-4cf2-946a-557bf24c972f</v>
      </c>
      <c r="V958" s="24" t="str">
        <f t="shared" si="5"/>
        <v>Auriculares Con cable 8GB</v>
      </c>
    </row>
    <row r="959" ht="15.75" customHeight="1">
      <c r="A959" s="6">
        <v>45588.0</v>
      </c>
      <c r="B959" s="2" t="s">
        <v>16</v>
      </c>
      <c r="C959" s="2" t="s">
        <v>3183</v>
      </c>
      <c r="D959" s="7">
        <v>1817.8</v>
      </c>
      <c r="E959" s="2">
        <v>3.0</v>
      </c>
      <c r="F959" s="7">
        <v>5453.4</v>
      </c>
      <c r="G959" s="2" t="s">
        <v>3184</v>
      </c>
      <c r="H959" s="2" t="s">
        <v>3185</v>
      </c>
      <c r="I959" s="2" t="s">
        <v>3186</v>
      </c>
      <c r="K959" s="25" t="str">
        <f>IFERROR(__xludf.DUMMYFUNCTION("IF(ISBLANK(A959),
  """",
  IF(ISNUMBER(A959),
    TEXT(A959,""dd/mm/yyyy""),
    IF(
      REGEXMATCH(TRIM(A959),""^\d{1,2}/\d{1,2}/\d{4}$""),
      TRIM(A959),
      IFERROR(
        TEXT(DATEVALUE(SUBSTITUTE(SUBSTITUTE(TRIM(A959),""-"",""/""),""."",""/"&amp;""")),""dd/mm/yyyy""),
        TRIM(A959)
      )
    )
  )
)
"),"23/10/2024")</f>
        <v>23/10/2024</v>
      </c>
      <c r="L959" s="26">
        <v>45588.0</v>
      </c>
      <c r="M959" s="27" t="str">
        <f>IFERROR(__xludf.DUMMYFUNCTION("PROPER(TRIM(
  REGEXREPLACE(
    REGEXREPLACE(
      SUBSTITUTE(SUBSTITUTE(SUBSTITUTE(SUBSTITUTE(SUBSTITUTE(SUBSTITUTE(SUBSTITUTE(SUBSTITUTE(SUBSTITUTE(SUBSTITUTE(SUBSTITUTE(
        B959,""√©"",""é""),""√°"",""á""),""√±"",""ñ""),""√≥"",""ó""),""√â"",""é"&amp;"""),""√Å"",""á""),""√ç"",""í""),""√Ç"",""Í""),""√Â"",""é""),""√≠"",""í""),""√º"",""ú""),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59" s="28" t="str">
        <f>IFERROR(__xludf.DUMMYFUNCTION("SPLIT(
  TRIM(
    SUBSTITUTE(
      SUBSTITUTE(
        SUBSTITUTE(
          SUBSTITUTE(
            C959,
            ""√©"", ""é""
          ),
          ""√±"", ""ñ""
        ),
        ""√°"", ""á""
      ),
      ""√≥"", ""ó""
    )
  ),
  ""-""
)
"),"Tablet")</f>
        <v>Tablet</v>
      </c>
      <c r="O959" s="28" t="str">
        <f>IFERROR(__xludf.DUMMYFUNCTION("""COMPUTED_VALUE"""),"Mini")</f>
        <v>Mini</v>
      </c>
      <c r="P959" s="28" t="str">
        <f>IFERROR(__xludf.DUMMYFUNCTION("""COMPUTED_VALUE"""),"16GB")</f>
        <v>16GB</v>
      </c>
      <c r="Q959" s="29">
        <f t="shared" si="1"/>
        <v>1817.8</v>
      </c>
      <c r="R959" s="28">
        <f t="shared" si="2"/>
        <v>3</v>
      </c>
      <c r="S959" s="29">
        <f t="shared" si="3"/>
        <v>5453.4</v>
      </c>
      <c r="T959" s="28" t="str">
        <f>IFERROR(__xludf.DUMMYFUNCTION("PROPER(TRIM(
  LET(
    texto1, REGEXREPLACE(G959,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"),"Evelio Holguín Galarza")</f>
        <v>Evelio Holguín Galarza</v>
      </c>
      <c r="U959" s="28" t="str">
        <f t="shared" si="4"/>
        <v>2f004d71-2bd5-4fdb-a629-c4409dbaf7b8</v>
      </c>
      <c r="V959" s="30" t="str">
        <f t="shared" si="5"/>
        <v>Tablet Mini 16GB</v>
      </c>
    </row>
    <row r="960" ht="15.75" customHeight="1">
      <c r="A960" s="6">
        <v>45606.0</v>
      </c>
      <c r="B960" s="2" t="s">
        <v>101</v>
      </c>
      <c r="C960" s="2" t="s">
        <v>369</v>
      </c>
      <c r="D960" s="7">
        <v>1384.09</v>
      </c>
      <c r="E960" s="2">
        <v>2.0</v>
      </c>
      <c r="F960" s="7">
        <v>2768.18</v>
      </c>
      <c r="G960" s="2" t="s">
        <v>3187</v>
      </c>
      <c r="H960" s="2" t="s">
        <v>3188</v>
      </c>
      <c r="I960" s="2" t="s">
        <v>3189</v>
      </c>
      <c r="K960" s="19" t="str">
        <f>IFERROR(__xludf.DUMMYFUNCTION("IF(ISBLANK(A960),
  """",
  IF(ISNUMBER(A960),
    TEXT(A960,""dd/mm/yyyy""),
    IF(
      REGEXMATCH(TRIM(A960),""^\d{1,2}/\d{1,2}/\d{4}$""),
      TRIM(A960),
      IFERROR(
        TEXT(DATEVALUE(SUBSTITUTE(SUBSTITUTE(TRIM(A960),""-"",""/""),""."",""/"&amp;""")),""dd/mm/yyyy""),
        TRIM(A960)
      )
    )
  )
)
"),"10/11/2024")</f>
        <v>10/11/2024</v>
      </c>
      <c r="L960" s="20">
        <v>45606.0</v>
      </c>
      <c r="M960" s="21" t="str">
        <f>IFERROR(__xludf.DUMMYFUNCTION("PROPER(TRIM(
  REGEXREPLACE(
    REGEXREPLACE(
      SUBSTITUTE(SUBSTITUTE(SUBSTITUTE(SUBSTITUTE(SUBSTITUTE(SUBSTITUTE(SUBSTITUTE(SUBSTITUTE(SUBSTITUTE(SUBSTITUTE(SUBSTITUTE(
        B960,""√©"",""é""),""√°"",""á""),""√±"",""ñ""),""√≥"",""ó""),""√â"",""é"&amp;"""),""√Å"",""á""),""√ç"",""í""),""√Ç"",""Í""),""√Â"",""é""),""√≠"",""í""),""√º"",""ú""),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60" s="22" t="str">
        <f>IFERROR(__xludf.DUMMYFUNCTION("SPLIT(
  TRIM(
    SUBSTITUTE(
      SUBSTITUTE(
        SUBSTITUTE(
          SUBSTITUTE(
            C960,
            ""√©"", ""é""
          ),
          ""√±"", ""ñ""
        ),
        ""√°"", ""á""
      ),
      ""√≥"", ""ó""
    )
  ),
  ""-""
)
"),"Tablet")</f>
        <v>Tablet</v>
      </c>
      <c r="O960" s="22" t="str">
        <f>IFERROR(__xludf.DUMMYFUNCTION("""COMPUTED_VALUE"""),"Pro")</f>
        <v>Pro</v>
      </c>
      <c r="P960" s="22" t="str">
        <f>IFERROR(__xludf.DUMMYFUNCTION("""COMPUTED_VALUE"""),"16GB")</f>
        <v>16GB</v>
      </c>
      <c r="Q960" s="23">
        <f t="shared" si="1"/>
        <v>1384.09</v>
      </c>
      <c r="R960" s="22">
        <f t="shared" si="2"/>
        <v>2</v>
      </c>
      <c r="S960" s="23">
        <f t="shared" si="3"/>
        <v>2768.18</v>
      </c>
      <c r="T960" s="22" t="str">
        <f>IFERROR(__xludf.DUMMYFUNCTION("PROPER(TRIM(
  LET(
    texto1, REGEXREPLACE(G960,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"),"Oswaldo Jorge Mota")</f>
        <v>Oswaldo Jorge Mota</v>
      </c>
      <c r="U960" s="22" t="str">
        <f t="shared" si="4"/>
        <v>c6836bfa-f154-46e7-81fa-88577b4553a6</v>
      </c>
      <c r="V960" s="24" t="str">
        <f t="shared" si="5"/>
        <v>Tablet Pro 16GB</v>
      </c>
    </row>
    <row r="961" ht="15.75" customHeight="1">
      <c r="A961" s="6">
        <v>45581.0</v>
      </c>
      <c r="B961" s="2" t="s">
        <v>27</v>
      </c>
      <c r="C961" s="2" t="s">
        <v>698</v>
      </c>
      <c r="D961" s="7">
        <v>259.75</v>
      </c>
      <c r="E961" s="2">
        <v>4.0</v>
      </c>
      <c r="F961" s="7">
        <v>1039.0</v>
      </c>
      <c r="G961" s="2" t="s">
        <v>3190</v>
      </c>
      <c r="H961" s="2" t="s">
        <v>3191</v>
      </c>
      <c r="I961" s="2" t="s">
        <v>3192</v>
      </c>
      <c r="K961" s="25" t="str">
        <f>IFERROR(__xludf.DUMMYFUNCTION("IF(ISBLANK(A961),
  """",
  IF(ISNUMBER(A961),
    TEXT(A961,""dd/mm/yyyy""),
    IF(
      REGEXMATCH(TRIM(A961),""^\d{1,2}/\d{1,2}/\d{4}$""),
      TRIM(A961),
      IFERROR(
        TEXT(DATEVALUE(SUBSTITUTE(SUBSTITUTE(TRIM(A961),""-"",""/""),""."",""/"&amp;""")),""dd/mm/yyyy""),
        TRIM(A961)
      )
    )
  )
)
"),"16/10/2024")</f>
        <v>16/10/2024</v>
      </c>
      <c r="L961" s="26">
        <v>45581.0</v>
      </c>
      <c r="M961" s="27" t="str">
        <f>IFERROR(__xludf.DUMMYFUNCTION("PROPER(TRIM(
  REGEXREPLACE(
    REGEXREPLACE(
      SUBSTITUTE(SUBSTITUTE(SUBSTITUTE(SUBSTITUTE(SUBSTITUTE(SUBSTITUTE(SUBSTITUTE(SUBSTITUTE(SUBSTITUTE(SUBSTITUTE(SUBSTITUTE(
        B961,""√©"",""é""),""√°"",""á""),""√±"",""ñ""),""√≥"",""ó""),""√â"",""é"&amp;"""),""√Å"",""á""),""√ç"",""í""),""√Ç"",""Í""),""√Â"",""é""),""√≠"",""í""),""√º"",""ú""),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61" s="28" t="str">
        <f>IFERROR(__xludf.DUMMYFUNCTION("SPLIT(
  TRIM(
    SUBSTITUTE(
      SUBSTITUTE(
        SUBSTITUTE(
          SUBSTITUTE(
            C961,
            ""√©"", ""é""
          ),
          ""√±"", ""ñ""
        ),
        ""√°"", ""á""
      ),
      ""√≥"", ""ó""
    )
  ),
  ""-""
)
"),"Laptop")</f>
        <v>Laptop</v>
      </c>
      <c r="O961" s="28" t="str">
        <f>IFERROR(__xludf.DUMMYFUNCTION("""COMPUTED_VALUE"""),"Ultraliviana")</f>
        <v>Ultraliviana</v>
      </c>
      <c r="P961" s="28" t="str">
        <f>IFERROR(__xludf.DUMMYFUNCTION("""COMPUTED_VALUE"""),"8GB")</f>
        <v>8GB</v>
      </c>
      <c r="Q961" s="29">
        <f t="shared" si="1"/>
        <v>259.75</v>
      </c>
      <c r="R961" s="28">
        <f t="shared" si="2"/>
        <v>4</v>
      </c>
      <c r="S961" s="29">
        <f t="shared" si="3"/>
        <v>1039</v>
      </c>
      <c r="T961" s="28" t="str">
        <f>IFERROR(__xludf.DUMMYFUNCTION("PROPER(TRIM(
  LET(
    texto1, REGEXREPLACE(G961,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"),"Diana Olivas")</f>
        <v>Diana Olivas</v>
      </c>
      <c r="U961" s="28" t="str">
        <f t="shared" si="4"/>
        <v>f2f8a751-e6da-4e2b-b90b-7189fd4833ad</v>
      </c>
      <c r="V961" s="30" t="str">
        <f t="shared" si="5"/>
        <v>Laptop Ultraliviana 8GB</v>
      </c>
    </row>
    <row r="962" ht="15.75" customHeight="1">
      <c r="A962" s="6">
        <v>45650.0</v>
      </c>
      <c r="B962" s="2" t="s">
        <v>27</v>
      </c>
      <c r="C962" s="2" t="s">
        <v>226</v>
      </c>
      <c r="D962" s="7">
        <v>500.74</v>
      </c>
      <c r="E962" s="2">
        <v>4.0</v>
      </c>
      <c r="F962" s="7">
        <v>2002.96</v>
      </c>
      <c r="G962" s="2" t="s">
        <v>3193</v>
      </c>
      <c r="H962" s="2" t="s">
        <v>3194</v>
      </c>
      <c r="I962" s="2" t="s">
        <v>3195</v>
      </c>
      <c r="K962" s="19" t="str">
        <f>IFERROR(__xludf.DUMMYFUNCTION("IF(ISBLANK(A962),
  """",
  IF(ISNUMBER(A962),
    TEXT(A962,""dd/mm/yyyy""),
    IF(
      REGEXMATCH(TRIM(A962),""^\d{1,2}/\d{1,2}/\d{4}$""),
      TRIM(A962),
      IFERROR(
        TEXT(DATEVALUE(SUBSTITUTE(SUBSTITUTE(TRIM(A962),""-"",""/""),""."",""/"&amp;""")),""dd/mm/yyyy""),
        TRIM(A962)
      )
    )
  )
)
"),"24/12/2024")</f>
        <v>24/12/2024</v>
      </c>
      <c r="L962" s="20">
        <v>45650.0</v>
      </c>
      <c r="M962" s="21" t="str">
        <f>IFERROR(__xludf.DUMMYFUNCTION("PROPER(TRIM(
  REGEXREPLACE(
    REGEXREPLACE(
      SUBSTITUTE(SUBSTITUTE(SUBSTITUTE(SUBSTITUTE(SUBSTITUTE(SUBSTITUTE(SUBSTITUTE(SUBSTITUTE(SUBSTITUTE(SUBSTITUTE(SUBSTITUTE(
        B962,""√©"",""é""),""√°"",""á""),""√±"",""ñ""),""√≥"",""ó""),""√â"",""é"&amp;"""),""√Å"",""á""),""√ç"",""í""),""√Ç"",""Í""),""√Â"",""é""),""√≠"",""í""),""√º"",""ú""),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62" s="22" t="str">
        <f>IFERROR(__xludf.DUMMYFUNCTION("SPLIT(
  TRIM(
    SUBSTITUTE(
      SUBSTITUTE(
        SUBSTITUTE(
          SUBSTITUTE(
            C962,
            ""√©"", ""é""
          ),
          ""√±"", ""ñ""
        ),
        ""√°"", ""á""
      ),
      ""√≥"", ""ó""
    )
  ),
  ""-""
)
"),"Tablet")</f>
        <v>Tablet</v>
      </c>
      <c r="O962" s="22" t="str">
        <f>IFERROR(__xludf.DUMMYFUNCTION("""COMPUTED_VALUE"""),"Mini")</f>
        <v>Mini</v>
      </c>
      <c r="P962" s="22" t="str">
        <f>IFERROR(__xludf.DUMMYFUNCTION("""COMPUTED_VALUE"""),"16GB")</f>
        <v>16GB</v>
      </c>
      <c r="Q962" s="23">
        <f t="shared" si="1"/>
        <v>500.74</v>
      </c>
      <c r="R962" s="22">
        <f t="shared" si="2"/>
        <v>4</v>
      </c>
      <c r="S962" s="23">
        <f t="shared" si="3"/>
        <v>2002.96</v>
      </c>
      <c r="T962" s="22" t="str">
        <f>IFERROR(__xludf.DUMMYFUNCTION("PROPER(TRIM(
  LET(
    texto1, REGEXREPLACE(G962,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"),"Dolores Pablo Menéndez")</f>
        <v>Dolores Pablo Menéndez</v>
      </c>
      <c r="U962" s="22" t="str">
        <f t="shared" si="4"/>
        <v>2119f43d-1200-4439-ad32-eab189cb6475</v>
      </c>
      <c r="V962" s="24" t="str">
        <f t="shared" si="5"/>
        <v>Tablet Mini 16GB</v>
      </c>
    </row>
    <row r="963" ht="15.75" customHeight="1">
      <c r="A963" s="6">
        <v>45630.0</v>
      </c>
      <c r="B963" s="2" t="s">
        <v>161</v>
      </c>
      <c r="C963" s="2" t="s">
        <v>162</v>
      </c>
      <c r="D963" s="7">
        <v>1113.91</v>
      </c>
      <c r="E963" s="2">
        <v>2.0</v>
      </c>
      <c r="F963" s="7">
        <v>2227.82</v>
      </c>
      <c r="G963" s="2" t="s">
        <v>3196</v>
      </c>
      <c r="H963" s="2" t="s">
        <v>3197</v>
      </c>
      <c r="I963" s="2" t="s">
        <v>3198</v>
      </c>
      <c r="K963" s="25" t="str">
        <f>IFERROR(__xludf.DUMMYFUNCTION("IF(ISBLANK(A963),
  """",
  IF(ISNUMBER(A963),
    TEXT(A963,""dd/mm/yyyy""),
    IF(
      REGEXMATCH(TRIM(A963),""^\d{1,2}/\d{1,2}/\d{4}$""),
      TRIM(A963),
      IFERROR(
        TEXT(DATEVALUE(SUBSTITUTE(SUBSTITUTE(TRIM(A963),""-"",""/""),""."",""/"&amp;""")),""dd/mm/yyyy""),
        TRIM(A963)
      )
    )
  )
)
"),"04/12/2024")</f>
        <v>04/12/2024</v>
      </c>
      <c r="L963" s="26">
        <v>45630.0</v>
      </c>
      <c r="M963" s="27" t="str">
        <f>IFERROR(__xludf.DUMMYFUNCTION("PROPER(TRIM(
  REGEXREPLACE(
    REGEXREPLACE(
      SUBSTITUTE(SUBSTITUTE(SUBSTITUTE(SUBSTITUTE(SUBSTITUTE(SUBSTITUTE(SUBSTITUTE(SUBSTITUTE(SUBSTITUTE(SUBSTITUTE(SUBSTITUTE(
        B963,""√©"",""é""),""√°"",""á""),""√±"",""ñ""),""√≥"",""ó""),""√â"",""é"&amp;"""),""√Å"",""á""),""√ç"",""í""),""√Ç"",""Í""),""√Â"",""é""),""√≠"",""í""),""√º"",""ú""),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963" s="28" t="str">
        <f>IFERROR(__xludf.DUMMYFUNCTION("SPLIT(
  TRIM(
    SUBSTITUTE(
      SUBSTITUTE(
        SUBSTITUTE(
          SUBSTITUTE(
            C963,
            ""√©"", ""é""
          ),
          ""√±"", ""ñ""
        ),
        ""√°"", ""á""
      ),
      ""√≥"", ""ó""
    )
  ),
  ""-""
)
"),"Teléfono")</f>
        <v>Teléfono</v>
      </c>
      <c r="O963" s="28" t="str">
        <f>IFERROR(__xludf.DUMMYFUNCTION("""COMPUTED_VALUE"""),"Gama alta")</f>
        <v>Gama alta</v>
      </c>
      <c r="P963" s="28" t="str">
        <f>IFERROR(__xludf.DUMMYFUNCTION("""COMPUTED_VALUE"""),"16GB")</f>
        <v>16GB</v>
      </c>
      <c r="Q963" s="29">
        <f t="shared" si="1"/>
        <v>1113.91</v>
      </c>
      <c r="R963" s="28">
        <f t="shared" si="2"/>
        <v>2</v>
      </c>
      <c r="S963" s="29">
        <f t="shared" si="3"/>
        <v>2227.82</v>
      </c>
      <c r="T963" s="28" t="str">
        <f>IFERROR(__xludf.DUMMYFUNCTION("PROPER(TRIM(
  LET(
    texto1, REGEXREPLACE(G963,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"),"Abigail Castillo")</f>
        <v>Abigail Castillo</v>
      </c>
      <c r="U963" s="28" t="str">
        <f t="shared" si="4"/>
        <v>4d39c9a6-3193-454d-9981-2f01cdfb6409</v>
      </c>
      <c r="V963" s="30" t="str">
        <f t="shared" si="5"/>
        <v>Teléfono Gama alta 16GB</v>
      </c>
    </row>
    <row r="964" ht="15.75" customHeight="1">
      <c r="A964" s="6">
        <v>45610.0</v>
      </c>
      <c r="B964" s="2" t="s">
        <v>101</v>
      </c>
      <c r="C964" s="2" t="s">
        <v>3199</v>
      </c>
      <c r="D964" s="7">
        <v>2474.36</v>
      </c>
      <c r="E964" s="2">
        <v>2.0</v>
      </c>
      <c r="F964" s="7">
        <v>4948.72</v>
      </c>
      <c r="G964" s="2" t="s">
        <v>3200</v>
      </c>
      <c r="H964" s="2" t="s">
        <v>3201</v>
      </c>
      <c r="I964" s="2" t="s">
        <v>3202</v>
      </c>
      <c r="K964" s="19" t="str">
        <f>IFERROR(__xludf.DUMMYFUNCTION("IF(ISBLANK(A964),
  """",
  IF(ISNUMBER(A964),
    TEXT(A964,""dd/mm/yyyy""),
    IF(
      REGEXMATCH(TRIM(A964),""^\d{1,2}/\d{1,2}/\d{4}$""),
      TRIM(A964),
      IFERROR(
        TEXT(DATEVALUE(SUBSTITUTE(SUBSTITUTE(TRIM(A964),""-"",""/""),""."",""/"&amp;""")),""dd/mm/yyyy""),
        TRIM(A964)
      )
    )
  )
)
"),"14/11/2024")</f>
        <v>14/11/2024</v>
      </c>
      <c r="L964" s="20">
        <v>45610.0</v>
      </c>
      <c r="M964" s="21" t="str">
        <f>IFERROR(__xludf.DUMMYFUNCTION("PROPER(TRIM(
  REGEXREPLACE(
    REGEXREPLACE(
      SUBSTITUTE(SUBSTITUTE(SUBSTITUTE(SUBSTITUTE(SUBSTITUTE(SUBSTITUTE(SUBSTITUTE(SUBSTITUTE(SUBSTITUTE(SUBSTITUTE(SUBSTITUTE(
        B964,""√©"",""é""),""√°"",""á""),""√±"",""ñ""),""√≥"",""ó""),""√â"",""é"&amp;"""),""√Å"",""á""),""√ç"",""í""),""√Ç"",""Í""),""√Â"",""é""),""√≠"",""í""),""√º"",""ú""),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64" s="22" t="str">
        <f>IFERROR(__xludf.DUMMYFUNCTION("SPLIT(
  TRIM(
    SUBSTITUTE(
      SUBSTITUTE(
        SUBSTITUTE(
          SUBSTITUTE(
            C964,
            ""√©"", ""é""
          ),
          ""√±"", ""ñ""
        ),
        ""√°"", ""á""
      ),
      ""√≥"", ""ó""
    )
  ),
  ""-""
)
"),"Auriculares")</f>
        <v>Auriculares</v>
      </c>
      <c r="O964" s="22" t="str">
        <f>IFERROR(__xludf.DUMMYFUNCTION("""COMPUTED_VALUE"""),"Bluetooth")</f>
        <v>Bluetooth</v>
      </c>
      <c r="P964" s="22" t="str">
        <f>IFERROR(__xludf.DUMMYFUNCTION("""COMPUTED_VALUE"""),"8GB")</f>
        <v>8GB</v>
      </c>
      <c r="Q964" s="23">
        <f t="shared" si="1"/>
        <v>2474.36</v>
      </c>
      <c r="R964" s="22">
        <f t="shared" si="2"/>
        <v>2</v>
      </c>
      <c r="S964" s="23">
        <f t="shared" si="3"/>
        <v>4948.72</v>
      </c>
      <c r="T964" s="22" t="str">
        <f>IFERROR(__xludf.DUMMYFUNCTION("PROPER(TRIM(
  LET(
    texto1, REGEXREPLACE(G964,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"),"Ramón Miramontes")</f>
        <v>Ramón Miramontes</v>
      </c>
      <c r="U964" s="22" t="str">
        <f t="shared" si="4"/>
        <v>33b5cb0d-ba44-4160-8e1f-1175cb33b310</v>
      </c>
      <c r="V964" s="24" t="str">
        <f t="shared" si="5"/>
        <v>Auriculares Bluetooth 8GB</v>
      </c>
    </row>
    <row r="965" ht="15.75" customHeight="1">
      <c r="A965" s="6">
        <v>45632.0</v>
      </c>
      <c r="B965" s="2" t="s">
        <v>16</v>
      </c>
      <c r="C965" s="2" t="s">
        <v>807</v>
      </c>
      <c r="D965" s="7">
        <v>1440.56</v>
      </c>
      <c r="E965" s="2">
        <v>1.0</v>
      </c>
      <c r="F965" s="7">
        <v>1440.56</v>
      </c>
      <c r="G965" s="2" t="s">
        <v>3203</v>
      </c>
      <c r="H965" s="2" t="s">
        <v>3204</v>
      </c>
      <c r="I965" s="2" t="s">
        <v>3205</v>
      </c>
      <c r="K965" s="25" t="str">
        <f>IFERROR(__xludf.DUMMYFUNCTION("IF(ISBLANK(A965),
  """",
  IF(ISNUMBER(A965),
    TEXT(A965,""dd/mm/yyyy""),
    IF(
      REGEXMATCH(TRIM(A965),""^\d{1,2}/\d{1,2}/\d{4}$""),
      TRIM(A965),
      IFERROR(
        TEXT(DATEVALUE(SUBSTITUTE(SUBSTITUTE(TRIM(A965),""-"",""/""),""."",""/"&amp;""")),""dd/mm/yyyy""),
        TRIM(A965)
      )
    )
  )
)
"),"06/12/2024")</f>
        <v>06/12/2024</v>
      </c>
      <c r="L965" s="26">
        <v>45632.0</v>
      </c>
      <c r="M965" s="27" t="str">
        <f>IFERROR(__xludf.DUMMYFUNCTION("PROPER(TRIM(
  REGEXREPLACE(
    REGEXREPLACE(
      SUBSTITUTE(SUBSTITUTE(SUBSTITUTE(SUBSTITUTE(SUBSTITUTE(SUBSTITUTE(SUBSTITUTE(SUBSTITUTE(SUBSTITUTE(SUBSTITUTE(SUBSTITUTE(
        B965,""√©"",""é""),""√°"",""á""),""√±"",""ñ""),""√≥"",""ó""),""√â"",""é"&amp;"""),""√Å"",""á""),""√ç"",""í""),""√Ç"",""Í""),""√Â"",""é""),""√≠"",""í""),""√º"",""ú""),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65" s="28" t="str">
        <f>IFERROR(__xludf.DUMMYFUNCTION("SPLIT(
  TRIM(
    SUBSTITUTE(
      SUBSTITUTE(
        SUBSTITUTE(
          SUBSTITUTE(
            C965,
            ""√©"", ""é""
          ),
          ""√±"", ""ñ""
        ),
        ""√°"", ""á""
      ),
      ""√≥"", ""ó""
    )
  ),
  ""-""
)
"),"Auriculares")</f>
        <v>Auriculares</v>
      </c>
      <c r="O965" s="28" t="str">
        <f>IFERROR(__xludf.DUMMYFUNCTION("""COMPUTED_VALUE"""),"Con cable")</f>
        <v>Con cable</v>
      </c>
      <c r="P965" s="28" t="str">
        <f>IFERROR(__xludf.DUMMYFUNCTION("""COMPUTED_VALUE"""),"4GB")</f>
        <v>4GB</v>
      </c>
      <c r="Q965" s="29">
        <f t="shared" si="1"/>
        <v>1440.56</v>
      </c>
      <c r="R965" s="28">
        <f t="shared" si="2"/>
        <v>1</v>
      </c>
      <c r="S965" s="29">
        <f t="shared" si="3"/>
        <v>1440.56</v>
      </c>
      <c r="T965" s="28" t="str">
        <f>IFERROR(__xludf.DUMMYFUNCTION("PROPER(TRIM(
  LET(
    texto1, REGEXREPLACE(G965,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"),"Martín Sara Verduzco")</f>
        <v>Martín Sara Verduzco</v>
      </c>
      <c r="U965" s="28" t="str">
        <f t="shared" si="4"/>
        <v>b21c5672-3d61-481e-bd82-6e363e042060</v>
      </c>
      <c r="V965" s="30" t="str">
        <f t="shared" si="5"/>
        <v>Auriculares Con cable 4GB</v>
      </c>
    </row>
    <row r="966" ht="15.75" customHeight="1">
      <c r="A966" s="6">
        <v>45586.0</v>
      </c>
      <c r="B966" s="2" t="s">
        <v>27</v>
      </c>
      <c r="C966" s="2" t="s">
        <v>245</v>
      </c>
      <c r="D966" s="7">
        <v>72.75</v>
      </c>
      <c r="E966" s="2">
        <v>3.0</v>
      </c>
      <c r="F966" s="7">
        <v>218.25</v>
      </c>
      <c r="G966" s="2" t="s">
        <v>3206</v>
      </c>
      <c r="H966" s="2" t="s">
        <v>3207</v>
      </c>
      <c r="I966" s="2" t="s">
        <v>3208</v>
      </c>
      <c r="K966" s="19" t="str">
        <f>IFERROR(__xludf.DUMMYFUNCTION("IF(ISBLANK(A966),
  """",
  IF(ISNUMBER(A966),
    TEXT(A966,""dd/mm/yyyy""),
    IF(
      REGEXMATCH(TRIM(A966),""^\d{1,2}/\d{1,2}/\d{4}$""),
      TRIM(A966),
      IFERROR(
        TEXT(DATEVALUE(SUBSTITUTE(SUBSTITUTE(TRIM(A966),""-"",""/""),""."",""/"&amp;""")),""dd/mm/yyyy""),
        TRIM(A966)
      )
    )
  )
)
"),"21/10/2024")</f>
        <v>21/10/2024</v>
      </c>
      <c r="L966" s="20">
        <v>45586.0</v>
      </c>
      <c r="M966" s="21" t="str">
        <f>IFERROR(__xludf.DUMMYFUNCTION("PROPER(TRIM(
  REGEXREPLACE(
    REGEXREPLACE(
      SUBSTITUTE(SUBSTITUTE(SUBSTITUTE(SUBSTITUTE(SUBSTITUTE(SUBSTITUTE(SUBSTITUTE(SUBSTITUTE(SUBSTITUTE(SUBSTITUTE(SUBSTITUTE(
        B966,""√©"",""é""),""√°"",""á""),""√±"",""ñ""),""√≥"",""ó""),""√â"",""é"&amp;"""),""√Å"",""á""),""√ç"",""í""),""√Ç"",""Í""),""√Â"",""é""),""√≠"",""í""),""√º"",""ú""),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66" s="22" t="str">
        <f>IFERROR(__xludf.DUMMYFUNCTION("SPLIT(
  TRIM(
    SUBSTITUTE(
      SUBSTITUTE(
        SUBSTITUTE(
          SUBSTITUTE(
            C966,
            ""√©"", ""é""
          ),
          ""√±"", ""ñ""
        ),
        ""√°"", ""á""
      ),
      ""√≥"", ""ó""
    )
  ),
  ""-""
)
"),"Teléfono")</f>
        <v>Teléfono</v>
      </c>
      <c r="O966" s="22" t="str">
        <f>IFERROR(__xludf.DUMMYFUNCTION("""COMPUTED_VALUE"""),"Gama baja")</f>
        <v>Gama baja</v>
      </c>
      <c r="P966" s="22" t="str">
        <f>IFERROR(__xludf.DUMMYFUNCTION("""COMPUTED_VALUE"""),"32GB")</f>
        <v>32GB</v>
      </c>
      <c r="Q966" s="23">
        <f t="shared" si="1"/>
        <v>72.75</v>
      </c>
      <c r="R966" s="22">
        <f t="shared" si="2"/>
        <v>3</v>
      </c>
      <c r="S966" s="23">
        <f t="shared" si="3"/>
        <v>218.25</v>
      </c>
      <c r="T966" s="22" t="str">
        <f>IFERROR(__xludf.DUMMYFUNCTION("PROPER(TRIM(
  LET(
    texto1, REGEXREPLACE(G966,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"),"Omar Irene Corral")</f>
        <v>Omar Irene Corral</v>
      </c>
      <c r="U966" s="22" t="str">
        <f t="shared" si="4"/>
        <v>41fe435e-4e1c-498f-8112-8a52ebd37db7</v>
      </c>
      <c r="V966" s="24" t="str">
        <f t="shared" si="5"/>
        <v>Teléfono Gama baja 32GB</v>
      </c>
    </row>
    <row r="967" ht="15.75" customHeight="1">
      <c r="A967" s="6">
        <v>45618.0</v>
      </c>
      <c r="B967" s="2" t="s">
        <v>16</v>
      </c>
      <c r="C967" s="2" t="s">
        <v>360</v>
      </c>
      <c r="D967" s="7">
        <v>776.93</v>
      </c>
      <c r="E967" s="2">
        <v>1.0</v>
      </c>
      <c r="F967" s="7">
        <v>776.93</v>
      </c>
      <c r="G967" s="2" t="s">
        <v>3209</v>
      </c>
      <c r="H967" s="2" t="s">
        <v>3210</v>
      </c>
      <c r="I967" s="2" t="s">
        <v>3211</v>
      </c>
      <c r="K967" s="25" t="str">
        <f>IFERROR(__xludf.DUMMYFUNCTION("IF(ISBLANK(A967),
  """",
  IF(ISNUMBER(A967),
    TEXT(A967,""dd/mm/yyyy""),
    IF(
      REGEXMATCH(TRIM(A967),""^\d{1,2}/\d{1,2}/\d{4}$""),
      TRIM(A967),
      IFERROR(
        TEXT(DATEVALUE(SUBSTITUTE(SUBSTITUTE(TRIM(A967),""-"",""/""),""."",""/"&amp;""")),""dd/mm/yyyy""),
        TRIM(A967)
      )
    )
  )
)
"),"22/11/2024")</f>
        <v>22/11/2024</v>
      </c>
      <c r="L967" s="26">
        <v>45618.0</v>
      </c>
      <c r="M967" s="27" t="str">
        <f>IFERROR(__xludf.DUMMYFUNCTION("PROPER(TRIM(
  REGEXREPLACE(
    REGEXREPLACE(
      SUBSTITUTE(SUBSTITUTE(SUBSTITUTE(SUBSTITUTE(SUBSTITUTE(SUBSTITUTE(SUBSTITUTE(SUBSTITUTE(SUBSTITUTE(SUBSTITUTE(SUBSTITUTE(
        B967,""√©"",""é""),""√°"",""á""),""√±"",""ñ""),""√≥"",""ó""),""√â"",""é"&amp;"""),""√Å"",""á""),""√ç"",""í""),""√Ç"",""Í""),""√Â"",""é""),""√≠"",""í""),""√º"",""ú""),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67" s="28" t="str">
        <f>IFERROR(__xludf.DUMMYFUNCTION("SPLIT(
  TRIM(
    SUBSTITUTE(
      SUBSTITUTE(
        SUBSTITUTE(
          SUBSTITUTE(
            C967,
            ""√©"", ""é""
          ),
          ""√±"", ""ñ""
        ),
        ""√°"", ""á""
      ),
      ""√≥"", ""ó""
    )
  ),
  ""-""
)
"),"Tablet")</f>
        <v>Tablet</v>
      </c>
      <c r="O967" s="28" t="str">
        <f>IFERROR(__xludf.DUMMYFUNCTION("""COMPUTED_VALUE"""),"Estándar")</f>
        <v>Estándar</v>
      </c>
      <c r="P967" s="28" t="str">
        <f>IFERROR(__xludf.DUMMYFUNCTION("""COMPUTED_VALUE"""),"8GB")</f>
        <v>8GB</v>
      </c>
      <c r="Q967" s="29">
        <f t="shared" si="1"/>
        <v>776.93</v>
      </c>
      <c r="R967" s="28">
        <f t="shared" si="2"/>
        <v>1</v>
      </c>
      <c r="S967" s="29">
        <f t="shared" si="3"/>
        <v>776.93</v>
      </c>
      <c r="T967" s="28" t="str">
        <f>IFERROR(__xludf.DUMMYFUNCTION("PROPER(TRIM(
  LET(
    texto1, REGEXREPLACE(G967,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"),"Irene Saldivar")</f>
        <v>Irene Saldivar</v>
      </c>
      <c r="U967" s="28" t="str">
        <f t="shared" si="4"/>
        <v>df7beeeb-1466-45c0-b687-7861cff4c459</v>
      </c>
      <c r="V967" s="30" t="str">
        <f t="shared" si="5"/>
        <v>Tablet Estándar 8GB</v>
      </c>
    </row>
    <row r="968" ht="15.75" customHeight="1">
      <c r="A968" s="6">
        <v>45640.0</v>
      </c>
      <c r="B968" s="2" t="s">
        <v>85</v>
      </c>
      <c r="C968" s="2" t="s">
        <v>201</v>
      </c>
      <c r="D968" s="7">
        <v>997.09</v>
      </c>
      <c r="E968" s="2">
        <v>2.0</v>
      </c>
      <c r="F968" s="7">
        <v>1994.18</v>
      </c>
      <c r="G968" s="2" t="s">
        <v>3212</v>
      </c>
      <c r="H968" s="2" t="s">
        <v>3213</v>
      </c>
      <c r="I968" s="2" t="s">
        <v>3214</v>
      </c>
      <c r="K968" s="19" t="str">
        <f>IFERROR(__xludf.DUMMYFUNCTION("IF(ISBLANK(A968),
  """",
  IF(ISNUMBER(A968),
    TEXT(A968,""dd/mm/yyyy""),
    IF(
      REGEXMATCH(TRIM(A968),""^\d{1,2}/\d{1,2}/\d{4}$""),
      TRIM(A968),
      IFERROR(
        TEXT(DATEVALUE(SUBSTITUTE(SUBSTITUTE(TRIM(A968),""-"",""/""),""."",""/"&amp;""")),""dd/mm/yyyy""),
        TRIM(A968)
      )
    )
  )
)
"),"14/12/2024")</f>
        <v>14/12/2024</v>
      </c>
      <c r="L968" s="20">
        <v>45640.0</v>
      </c>
      <c r="M968" s="21" t="str">
        <f>IFERROR(__xludf.DUMMYFUNCTION("PROPER(TRIM(
  REGEXREPLACE(
    REGEXREPLACE(
      SUBSTITUTE(SUBSTITUTE(SUBSTITUTE(SUBSTITUTE(SUBSTITUTE(SUBSTITUTE(SUBSTITUTE(SUBSTITUTE(SUBSTITUTE(SUBSTITUTE(SUBSTITUTE(
        B968,""√©"",""é""),""√°"",""á""),""√±"",""ñ""),""√≥"",""ó""),""√â"",""é"&amp;"""),""√Å"",""á""),""√ç"",""í""),""√Ç"",""Í""),""√Â"",""é""),""√≠"",""í""),""√º"",""ú""),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68" s="22" t="str">
        <f>IFERROR(__xludf.DUMMYFUNCTION("SPLIT(
  TRIM(
    SUBSTITUTE(
      SUBSTITUTE(
        SUBSTITUTE(
          SUBSTITUTE(
            C968,
            ""√©"", ""é""
          ),
          ""√±"", ""ñ""
        ),
        ""√°"", ""á""
      ),
      ""√≥"", ""ó""
    )
  ),
  ""-""
)
"),"Laptop")</f>
        <v>Laptop</v>
      </c>
      <c r="O968" s="22" t="str">
        <f>IFERROR(__xludf.DUMMYFUNCTION("""COMPUTED_VALUE"""),"Gaming")</f>
        <v>Gaming</v>
      </c>
      <c r="P968" s="22" t="str">
        <f>IFERROR(__xludf.DUMMYFUNCTION("""COMPUTED_VALUE"""),"4GB")</f>
        <v>4GB</v>
      </c>
      <c r="Q968" s="23">
        <f t="shared" si="1"/>
        <v>997.09</v>
      </c>
      <c r="R968" s="22">
        <f t="shared" si="2"/>
        <v>2</v>
      </c>
      <c r="S968" s="23">
        <f t="shared" si="3"/>
        <v>1994.18</v>
      </c>
      <c r="T968" s="22" t="str">
        <f>IFERROR(__xludf.DUMMYFUNCTION("PROPER(TRIM(
  LET(
    texto1, REGEXREPLACE(G968,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"),"Raquel Crespo Carrión")</f>
        <v>Raquel Crespo Carrión</v>
      </c>
      <c r="U968" s="22" t="str">
        <f t="shared" si="4"/>
        <v>7896d226-252e-4fbf-902d-719da7aaaf24</v>
      </c>
      <c r="V968" s="24" t="str">
        <f t="shared" si="5"/>
        <v>Laptop Gaming 4GB</v>
      </c>
    </row>
    <row r="969" ht="15.75" customHeight="1">
      <c r="A969" s="6">
        <v>45642.0</v>
      </c>
      <c r="B969" s="2" t="s">
        <v>101</v>
      </c>
      <c r="C969" s="2" t="s">
        <v>22</v>
      </c>
      <c r="D969" s="7">
        <v>842.36</v>
      </c>
      <c r="E969" s="2">
        <v>5.0</v>
      </c>
      <c r="F969" s="7">
        <v>4211.8</v>
      </c>
      <c r="G969" s="2" t="s">
        <v>3215</v>
      </c>
      <c r="H969" s="2" t="s">
        <v>3216</v>
      </c>
      <c r="I969" s="2" t="s">
        <v>3217</v>
      </c>
      <c r="K969" s="25" t="str">
        <f>IFERROR(__xludf.DUMMYFUNCTION("IF(ISBLANK(A969),
  """",
  IF(ISNUMBER(A969),
    TEXT(A969,""dd/mm/yyyy""),
    IF(
      REGEXMATCH(TRIM(A969),""^\d{1,2}/\d{1,2}/\d{4}$""),
      TRIM(A969),
      IFERROR(
        TEXT(DATEVALUE(SUBSTITUTE(SUBSTITUTE(TRIM(A969),""-"",""/""),""."",""/"&amp;""")),""dd/mm/yyyy""),
        TRIM(A969)
      )
    )
  )
)
"),"16/12/2024")</f>
        <v>16/12/2024</v>
      </c>
      <c r="L969" s="26">
        <v>45642.0</v>
      </c>
      <c r="M969" s="27" t="str">
        <f>IFERROR(__xludf.DUMMYFUNCTION("PROPER(TRIM(
  REGEXREPLACE(
    REGEXREPLACE(
      SUBSTITUTE(SUBSTITUTE(SUBSTITUTE(SUBSTITUTE(SUBSTITUTE(SUBSTITUTE(SUBSTITUTE(SUBSTITUTE(SUBSTITUTE(SUBSTITUTE(SUBSTITUTE(
        B969,""√©"",""é""),""√°"",""á""),""√±"",""ñ""),""√≥"",""ó""),""√â"",""é"&amp;"""),""√Å"",""á""),""√ç"",""í""),""√Ç"",""Í""),""√Â"",""é""),""√≠"",""í""),""√º"",""ú""),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69" s="28" t="str">
        <f>IFERROR(__xludf.DUMMYFUNCTION("SPLIT(
  TRIM(
    SUBSTITUTE(
      SUBSTITUTE(
        SUBSTITUTE(
          SUBSTITUTE(
            C969,
            ""√©"", ""é""
          ),
          ""√±"", ""ñ""
        ),
        ""√°"", ""á""
      ),
      ""√≥"", ""ó""
    )
  ),
  ""-""
)
"),"Laptop")</f>
        <v>Laptop</v>
      </c>
      <c r="O969" s="28" t="str">
        <f>IFERROR(__xludf.DUMMYFUNCTION("""COMPUTED_VALUE"""),"Gaming")</f>
        <v>Gaming</v>
      </c>
      <c r="P969" s="28" t="str">
        <f>IFERROR(__xludf.DUMMYFUNCTION("""COMPUTED_VALUE"""),"32GB")</f>
        <v>32GB</v>
      </c>
      <c r="Q969" s="29">
        <f t="shared" si="1"/>
        <v>842.36</v>
      </c>
      <c r="R969" s="28">
        <f t="shared" si="2"/>
        <v>5</v>
      </c>
      <c r="S969" s="29">
        <f t="shared" si="3"/>
        <v>4211.8</v>
      </c>
      <c r="T969" s="28" t="str">
        <f>IFERROR(__xludf.DUMMYFUNCTION("PROPER(TRIM(
  LET(
    texto1, REGEXREPLACE(G969,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"),"Raquel Domínguez Vanegas")</f>
        <v>Raquel Domínguez Vanegas</v>
      </c>
      <c r="U969" s="28" t="str">
        <f t="shared" si="4"/>
        <v>732de4a4-0325-4391-a400-19ffb39fdec9</v>
      </c>
      <c r="V969" s="30" t="str">
        <f t="shared" si="5"/>
        <v>Laptop Gaming 32GB</v>
      </c>
    </row>
    <row r="970" ht="15.75" customHeight="1">
      <c r="A970" s="6">
        <v>45582.0</v>
      </c>
      <c r="B970" s="2" t="s">
        <v>38</v>
      </c>
      <c r="C970" s="2" t="s">
        <v>86</v>
      </c>
      <c r="D970" s="7">
        <v>228.78</v>
      </c>
      <c r="E970" s="2">
        <v>1.0</v>
      </c>
      <c r="F970" s="7">
        <v>228.78</v>
      </c>
      <c r="G970" s="2" t="s">
        <v>3218</v>
      </c>
      <c r="H970" s="2" t="s">
        <v>3219</v>
      </c>
      <c r="I970" s="2" t="s">
        <v>3220</v>
      </c>
      <c r="K970" s="19" t="str">
        <f>IFERROR(__xludf.DUMMYFUNCTION("IF(ISBLANK(A970),
  """",
  IF(ISNUMBER(A970),
    TEXT(A970,""dd/mm/yyyy""),
    IF(
      REGEXMATCH(TRIM(A970),""^\d{1,2}/\d{1,2}/\d{4}$""),
      TRIM(A970),
      IFERROR(
        TEXT(DATEVALUE(SUBSTITUTE(SUBSTITUTE(TRIM(A970),""-"",""/""),""."",""/"&amp;""")),""dd/mm/yyyy""),
        TRIM(A970)
      )
    )
  )
)
"),"17/10/2024")</f>
        <v>17/10/2024</v>
      </c>
      <c r="L970" s="20">
        <v>45582.0</v>
      </c>
      <c r="M970" s="21" t="str">
        <f>IFERROR(__xludf.DUMMYFUNCTION("PROPER(TRIM(
  REGEXREPLACE(
    REGEXREPLACE(
      SUBSTITUTE(SUBSTITUTE(SUBSTITUTE(SUBSTITUTE(SUBSTITUTE(SUBSTITUTE(SUBSTITUTE(SUBSTITUTE(SUBSTITUTE(SUBSTITUTE(SUBSTITUTE(
        B970,""√©"",""é""),""√°"",""á""),""√±"",""ñ""),""√≥"",""ó""),""√â"",""é"&amp;"""),""√Å"",""á""),""√ç"",""í""),""√Ç"",""Í""),""√Â"",""é""),""√≠"",""í""),""√º"",""ú""),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70" s="22" t="str">
        <f>IFERROR(__xludf.DUMMYFUNCTION("SPLIT(
  TRIM(
    SUBSTITUTE(
      SUBSTITUTE(
        SUBSTITUTE(
          SUBSTITUTE(
            C970,
            ""√©"", ""é""
          ),
          ""√±"", ""ñ""
        ),
        ""√°"", ""á""
      ),
      ""√≥"", ""ó""
    )
  ),
  ""-""
)
"),"Tablet")</f>
        <v>Tablet</v>
      </c>
      <c r="O970" s="22" t="str">
        <f>IFERROR(__xludf.DUMMYFUNCTION("""COMPUTED_VALUE"""),"Pro")</f>
        <v>Pro</v>
      </c>
      <c r="P970" s="22" t="str">
        <f>IFERROR(__xludf.DUMMYFUNCTION("""COMPUTED_VALUE"""),"32GB")</f>
        <v>32GB</v>
      </c>
      <c r="Q970" s="23">
        <f t="shared" si="1"/>
        <v>228.78</v>
      </c>
      <c r="R970" s="22">
        <f t="shared" si="2"/>
        <v>1</v>
      </c>
      <c r="S970" s="23">
        <f t="shared" si="3"/>
        <v>228.78</v>
      </c>
      <c r="T970" s="22" t="str">
        <f>IFERROR(__xludf.DUMMYFUNCTION("PROPER(TRIM(
  LET(
    texto1, REGEXREPLACE(G970,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"),"Antonio Jess Vallejo Bravo")</f>
        <v>Antonio Jess Vallejo Bravo</v>
      </c>
      <c r="U970" s="22" t="str">
        <f t="shared" si="4"/>
        <v>3a57b856-992a-4aa3-a497-f62acef32235</v>
      </c>
      <c r="V970" s="24" t="str">
        <f t="shared" si="5"/>
        <v>Tablet Pro 32GB</v>
      </c>
    </row>
    <row r="971" ht="15.75" customHeight="1">
      <c r="A971" s="6">
        <v>45590.0</v>
      </c>
      <c r="B971" s="2" t="s">
        <v>85</v>
      </c>
      <c r="C971" s="2" t="s">
        <v>206</v>
      </c>
      <c r="D971" s="7">
        <v>2382.64</v>
      </c>
      <c r="E971" s="2">
        <v>4.0</v>
      </c>
      <c r="F971" s="7">
        <v>9530.56</v>
      </c>
      <c r="G971" s="2" t="s">
        <v>3221</v>
      </c>
      <c r="H971" s="2" t="s">
        <v>3222</v>
      </c>
      <c r="I971" s="2" t="s">
        <v>3223</v>
      </c>
      <c r="K971" s="25" t="str">
        <f>IFERROR(__xludf.DUMMYFUNCTION("IF(ISBLANK(A971),
  """",
  IF(ISNUMBER(A971),
    TEXT(A971,""dd/mm/yyyy""),
    IF(
      REGEXMATCH(TRIM(A971),""^\d{1,2}/\d{1,2}/\d{4}$""),
      TRIM(A971),
      IFERROR(
        TEXT(DATEVALUE(SUBSTITUTE(SUBSTITUTE(TRIM(A971),""-"",""/""),""."",""/"&amp;""")),""dd/mm/yyyy""),
        TRIM(A971)
      )
    )
  )
)
"),"25/10/2024")</f>
        <v>25/10/2024</v>
      </c>
      <c r="L971" s="26">
        <v>45590.0</v>
      </c>
      <c r="M971" s="27" t="str">
        <f>IFERROR(__xludf.DUMMYFUNCTION("PROPER(TRIM(
  REGEXREPLACE(
    REGEXREPLACE(
      SUBSTITUTE(SUBSTITUTE(SUBSTITUTE(SUBSTITUTE(SUBSTITUTE(SUBSTITUTE(SUBSTITUTE(SUBSTITUTE(SUBSTITUTE(SUBSTITUTE(SUBSTITUTE(
        B971,""√©"",""é""),""√°"",""á""),""√±"",""ñ""),""√≥"",""ó""),""√â"",""é"&amp;"""),""√Å"",""á""),""√ç"",""í""),""√Ç"",""Í""),""√Â"",""é""),""√≠"",""í""),""√º"",""ú""),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71" s="28" t="str">
        <f>IFERROR(__xludf.DUMMYFUNCTION("SPLIT(
  TRIM(
    SUBSTITUTE(
      SUBSTITUTE(
        SUBSTITUTE(
          SUBSTITUTE(
            C971,
            ""√©"", ""é""
          ),
          ""√±"", ""ñ""
        ),
        ""√°"", ""á""
      ),
      ""√≥"", ""ó""
    )
  ),
  ""-""
)
"),"Auriculares")</f>
        <v>Auriculares</v>
      </c>
      <c r="O971" s="28" t="str">
        <f>IFERROR(__xludf.DUMMYFUNCTION("""COMPUTED_VALUE"""),"Bluetooth")</f>
        <v>Bluetooth</v>
      </c>
      <c r="P971" s="28" t="str">
        <f>IFERROR(__xludf.DUMMYFUNCTION("""COMPUTED_VALUE"""),"4GB")</f>
        <v>4GB</v>
      </c>
      <c r="Q971" s="29">
        <f t="shared" si="1"/>
        <v>2382.64</v>
      </c>
      <c r="R971" s="28">
        <f t="shared" si="2"/>
        <v>4</v>
      </c>
      <c r="S971" s="29">
        <f t="shared" si="3"/>
        <v>9530.56</v>
      </c>
      <c r="T971" s="28" t="str">
        <f>IFERROR(__xludf.DUMMYFUNCTION("PROPER(TRIM(
  LET(
    texto1, REGEXREPLACE(G971,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"),"Barbara Perla Godínez")</f>
        <v>Barbara Perla Godínez</v>
      </c>
      <c r="U971" s="28" t="str">
        <f t="shared" si="4"/>
        <v>1dada63c-2f5a-48d7-8e04-d26aacd30687</v>
      </c>
      <c r="V971" s="30" t="str">
        <f t="shared" si="5"/>
        <v>Auriculares Bluetooth 4GB</v>
      </c>
    </row>
    <row r="972" ht="15.75" customHeight="1">
      <c r="A972" s="6">
        <v>45605.0</v>
      </c>
      <c r="B972" s="2" t="s">
        <v>161</v>
      </c>
      <c r="C972" s="2" t="s">
        <v>96</v>
      </c>
      <c r="D972" s="7">
        <v>1111.98</v>
      </c>
      <c r="E972" s="2">
        <v>4.0</v>
      </c>
      <c r="F972" s="7">
        <v>4447.92</v>
      </c>
      <c r="G972" s="2" t="s">
        <v>3224</v>
      </c>
      <c r="H972" s="2" t="s">
        <v>3225</v>
      </c>
      <c r="I972" s="2" t="s">
        <v>3226</v>
      </c>
      <c r="K972" s="19" t="str">
        <f>IFERROR(__xludf.DUMMYFUNCTION("IF(ISBLANK(A972),
  """",
  IF(ISNUMBER(A972),
    TEXT(A972,""dd/mm/yyyy""),
    IF(
      REGEXMATCH(TRIM(A972),""^\d{1,2}/\d{1,2}/\d{4}$""),
      TRIM(A972),
      IFERROR(
        TEXT(DATEVALUE(SUBSTITUTE(SUBSTITUTE(TRIM(A972),""-"",""/""),""."",""/"&amp;""")),""dd/mm/yyyy""),
        TRIM(A972)
      )
    )
  )
)
"),"09/11/2024")</f>
        <v>09/11/2024</v>
      </c>
      <c r="L972" s="20">
        <v>45605.0</v>
      </c>
      <c r="M972" s="21" t="str">
        <f>IFERROR(__xludf.DUMMYFUNCTION("PROPER(TRIM(
  REGEXREPLACE(
    REGEXREPLACE(
      SUBSTITUTE(SUBSTITUTE(SUBSTITUTE(SUBSTITUTE(SUBSTITUTE(SUBSTITUTE(SUBSTITUTE(SUBSTITUTE(SUBSTITUTE(SUBSTITUTE(SUBSTITUTE(
        B972,""√©"",""é""),""√°"",""á""),""√±"",""ñ""),""√≥"",""ó""),""√â"",""é"&amp;"""),""√Å"",""á""),""√ç"",""í""),""√Ç"",""Í""),""√Â"",""é""),""√≠"",""í""),""√º"",""ú""),
      ""[,\\.√]"",""""),
    ""\\s+"","" "")
))
"),"Tulum")</f>
        <v>Tulum</v>
      </c>
      <c r="N972" s="22" t="str">
        <f>IFERROR(__xludf.DUMMYFUNCTION("SPLIT(
  TRIM(
    SUBSTITUTE(
      SUBSTITUTE(
        SUBSTITUTE(
          SUBSTITUTE(
            C972,
            ""√©"", ""é""
          ),
          ""√±"", ""ñ""
        ),
        ""√°"", ""á""
      ),
      ""√≥"", ""ó""
    )
  ),
  ""-""
)
"),"Auriculares")</f>
        <v>Auriculares</v>
      </c>
      <c r="O972" s="22" t="str">
        <f>IFERROR(__xludf.DUMMYFUNCTION("""COMPUTED_VALUE"""),"Cancelación de ruido")</f>
        <v>Cancelación de ruido</v>
      </c>
      <c r="P972" s="22" t="str">
        <f>IFERROR(__xludf.DUMMYFUNCTION("""COMPUTED_VALUE"""),"4GB")</f>
        <v>4GB</v>
      </c>
      <c r="Q972" s="23">
        <f t="shared" si="1"/>
        <v>1111.98</v>
      </c>
      <c r="R972" s="22">
        <f t="shared" si="2"/>
        <v>4</v>
      </c>
      <c r="S972" s="23">
        <f t="shared" si="3"/>
        <v>4447.92</v>
      </c>
      <c r="T972" s="22" t="str">
        <f>IFERROR(__xludf.DUMMYFUNCTION("PROPER(TRIM(
  LET(
    texto1, REGEXREPLACE(G972,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"),"Salvador Barela")</f>
        <v>Salvador Barela</v>
      </c>
      <c r="U972" s="22" t="str">
        <f t="shared" si="4"/>
        <v>11a0323a-7513-4fd6-84cf-79c923b2e72e</v>
      </c>
      <c r="V972" s="24" t="str">
        <f t="shared" si="5"/>
        <v>Auriculares Cancelación de ruido 4GB</v>
      </c>
    </row>
    <row r="973" ht="15.75" customHeight="1">
      <c r="A973" s="6">
        <v>45649.0</v>
      </c>
      <c r="B973" s="2" t="s">
        <v>101</v>
      </c>
      <c r="C973" s="2" t="s">
        <v>86</v>
      </c>
      <c r="D973" s="7">
        <v>1148.92</v>
      </c>
      <c r="E973" s="2">
        <v>4.0</v>
      </c>
      <c r="F973" s="7">
        <v>4595.68</v>
      </c>
      <c r="G973" s="2" t="s">
        <v>3227</v>
      </c>
      <c r="H973" s="2" t="s">
        <v>3228</v>
      </c>
      <c r="I973" s="2" t="s">
        <v>3229</v>
      </c>
      <c r="K973" s="25" t="str">
        <f>IFERROR(__xludf.DUMMYFUNCTION("IF(ISBLANK(A973),
  """",
  IF(ISNUMBER(A973),
    TEXT(A973,""dd/mm/yyyy""),
    IF(
      REGEXMATCH(TRIM(A973),""^\d{1,2}/\d{1,2}/\d{4}$""),
      TRIM(A973),
      IFERROR(
        TEXT(DATEVALUE(SUBSTITUTE(SUBSTITUTE(TRIM(A973),""-"",""/""),""."",""/"&amp;""")),""dd/mm/yyyy""),
        TRIM(A973)
      )
    )
  )
)
"),"23/12/2024")</f>
        <v>23/12/2024</v>
      </c>
      <c r="L973" s="26">
        <v>45649.0</v>
      </c>
      <c r="M973" s="27" t="str">
        <f>IFERROR(__xludf.DUMMYFUNCTION("PROPER(TRIM(
  REGEXREPLACE(
    REGEXREPLACE(
      SUBSTITUTE(SUBSTITUTE(SUBSTITUTE(SUBSTITUTE(SUBSTITUTE(SUBSTITUTE(SUBSTITUTE(SUBSTITUTE(SUBSTITUTE(SUBSTITUTE(SUBSTITUTE(
        B973,""√©"",""é""),""√°"",""á""),""√±"",""ñ""),""√≥"",""ó""),""√â"",""é"&amp;"""),""√Å"",""á""),""√ç"",""í""),""√Ç"",""Í""),""√Â"",""é""),""√≠"",""í""),""√º"",""ú""),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73" s="28" t="str">
        <f>IFERROR(__xludf.DUMMYFUNCTION("SPLIT(
  TRIM(
    SUBSTITUTE(
      SUBSTITUTE(
        SUBSTITUTE(
          SUBSTITUTE(
            C973,
            ""√©"", ""é""
          ),
          ""√±"", ""ñ""
        ),
        ""√°"", ""á""
      ),
      ""√≥"", ""ó""
    )
  ),
  ""-""
)
"),"Tablet")</f>
        <v>Tablet</v>
      </c>
      <c r="O973" s="28" t="str">
        <f>IFERROR(__xludf.DUMMYFUNCTION("""COMPUTED_VALUE"""),"Pro")</f>
        <v>Pro</v>
      </c>
      <c r="P973" s="28" t="str">
        <f>IFERROR(__xludf.DUMMYFUNCTION("""COMPUTED_VALUE"""),"32GB")</f>
        <v>32GB</v>
      </c>
      <c r="Q973" s="29">
        <f t="shared" si="1"/>
        <v>1148.92</v>
      </c>
      <c r="R973" s="28">
        <f t="shared" si="2"/>
        <v>4</v>
      </c>
      <c r="S973" s="29">
        <f t="shared" si="3"/>
        <v>4595.68</v>
      </c>
      <c r="T973" s="28" t="str">
        <f>IFERROR(__xludf.DUMMYFUNCTION("PROPER(TRIM(
  LET(
    texto1, REGEXREPLACE(G973,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"),"Mayte Acevedo Viera")</f>
        <v>Mayte Acevedo Viera</v>
      </c>
      <c r="U973" s="28" t="str">
        <f t="shared" si="4"/>
        <v>c7da08b2-c581-41ed-8398-757d407a24ef</v>
      </c>
      <c r="V973" s="30" t="str">
        <f t="shared" si="5"/>
        <v>Tablet Pro 32GB</v>
      </c>
    </row>
    <row r="974" ht="15.75" customHeight="1">
      <c r="A974" s="6">
        <v>45584.0</v>
      </c>
      <c r="B974" s="2" t="s">
        <v>85</v>
      </c>
      <c r="C974" s="2" t="s">
        <v>75</v>
      </c>
      <c r="D974" s="7">
        <v>1279.5</v>
      </c>
      <c r="E974" s="2">
        <v>2.0</v>
      </c>
      <c r="F974" s="7">
        <v>2559.0</v>
      </c>
      <c r="G974" s="2" t="s">
        <v>3230</v>
      </c>
      <c r="H974" s="2" t="s">
        <v>3231</v>
      </c>
      <c r="I974" s="2" t="s">
        <v>3232</v>
      </c>
      <c r="K974" s="19" t="str">
        <f>IFERROR(__xludf.DUMMYFUNCTION("IF(ISBLANK(A974),
  """",
  IF(ISNUMBER(A974),
    TEXT(A974,""dd/mm/yyyy""),
    IF(
      REGEXMATCH(TRIM(A974),""^\d{1,2}/\d{1,2}/\d{4}$""),
      TRIM(A974),
      IFERROR(
        TEXT(DATEVALUE(SUBSTITUTE(SUBSTITUTE(TRIM(A974),""-"",""/""),""."",""/"&amp;""")),""dd/mm/yyyy""),
        TRIM(A974)
      )
    )
  )
)
"),"19/10/2024")</f>
        <v>19/10/2024</v>
      </c>
      <c r="L974" s="20">
        <v>45584.0</v>
      </c>
      <c r="M974" s="21" t="str">
        <f>IFERROR(__xludf.DUMMYFUNCTION("PROPER(TRIM(
  REGEXREPLACE(
    REGEXREPLACE(
      SUBSTITUTE(SUBSTITUTE(SUBSTITUTE(SUBSTITUTE(SUBSTITUTE(SUBSTITUTE(SUBSTITUTE(SUBSTITUTE(SUBSTITUTE(SUBSTITUTE(SUBSTITUTE(
        B974,""√©"",""é""),""√°"",""á""),""√±"",""ñ""),""√≥"",""ó""),""√â"",""é"&amp;"""),""√Å"",""á""),""√ç"",""í""),""√Ç"",""Í""),""√Â"",""é""),""√≠"",""í""),""√º"",""ú""),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74" s="22" t="str">
        <f>IFERROR(__xludf.DUMMYFUNCTION("SPLIT(
  TRIM(
    SUBSTITUTE(
      SUBSTITUTE(
        SUBSTITUTE(
          SUBSTITUTE(
            C974,
            ""√©"", ""é""
          ),
          ""√±"", ""ñ""
        ),
        ""√°"", ""á""
      ),
      ""√≥"", ""ó""
    )
  ),
  ""-""
)
"),"Tablet")</f>
        <v>Tablet</v>
      </c>
      <c r="O974" s="22" t="str">
        <f>IFERROR(__xludf.DUMMYFUNCTION("""COMPUTED_VALUE"""),"Pro")</f>
        <v>Pro</v>
      </c>
      <c r="P974" s="22" t="str">
        <f>IFERROR(__xludf.DUMMYFUNCTION("""COMPUTED_VALUE"""),"4GB")</f>
        <v>4GB</v>
      </c>
      <c r="Q974" s="23">
        <f t="shared" si="1"/>
        <v>1279.5</v>
      </c>
      <c r="R974" s="22">
        <f t="shared" si="2"/>
        <v>2</v>
      </c>
      <c r="S974" s="23">
        <f t="shared" si="3"/>
        <v>2559</v>
      </c>
      <c r="T974" s="22" t="str">
        <f>IFERROR(__xludf.DUMMYFUNCTION("PROPER(TRIM(
  LET(
    texto1, REGEXREPLACE(G974,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Macías")</f>
        <v>Carmen Macías</v>
      </c>
      <c r="U974" s="22" t="str">
        <f t="shared" si="4"/>
        <v>d9c044d0-2d9f-4974-b4ef-0cbae299e695</v>
      </c>
      <c r="V974" s="24" t="str">
        <f t="shared" si="5"/>
        <v>Tablet Pro 4GB</v>
      </c>
    </row>
    <row r="975" ht="15.75" customHeight="1">
      <c r="A975" s="6">
        <v>45608.0</v>
      </c>
      <c r="B975" s="2" t="s">
        <v>85</v>
      </c>
      <c r="C975" s="2" t="s">
        <v>111</v>
      </c>
      <c r="D975" s="7">
        <v>424.12</v>
      </c>
      <c r="E975" s="2">
        <v>2.0</v>
      </c>
      <c r="F975" s="7">
        <v>848.24</v>
      </c>
      <c r="G975" s="2" t="s">
        <v>3233</v>
      </c>
      <c r="H975" s="2" t="s">
        <v>3234</v>
      </c>
      <c r="I975" s="2" t="s">
        <v>3235</v>
      </c>
      <c r="K975" s="25" t="str">
        <f>IFERROR(__xludf.DUMMYFUNCTION("IF(ISBLANK(A975),
  """",
  IF(ISNUMBER(A975),
    TEXT(A975,""dd/mm/yyyy""),
    IF(
      REGEXMATCH(TRIM(A975),""^\d{1,2}/\d{1,2}/\d{4}$""),
      TRIM(A975),
      IFERROR(
        TEXT(DATEVALUE(SUBSTITUTE(SUBSTITUTE(TRIM(A975),""-"",""/""),""."",""/"&amp;""")),""dd/mm/yyyy""),
        TRIM(A975)
      )
    )
  )
)
"),"12/11/2024")</f>
        <v>12/11/2024</v>
      </c>
      <c r="L975" s="26">
        <v>45608.0</v>
      </c>
      <c r="M975" s="27" t="str">
        <f>IFERROR(__xludf.DUMMYFUNCTION("PROPER(TRIM(
  REGEXREPLACE(
    REGEXREPLACE(
      SUBSTITUTE(SUBSTITUTE(SUBSTITUTE(SUBSTITUTE(SUBSTITUTE(SUBSTITUTE(SUBSTITUTE(SUBSTITUTE(SUBSTITUTE(SUBSTITUTE(SUBSTITUTE(
        B975,""√©"",""é""),""√°"",""á""),""√±"",""ñ""),""√≥"",""ó""),""√â"",""é"&amp;"""),""√Å"",""á""),""√ç"",""í""),""√Ç"",""Í""),""√Â"",""é""),""√≠"",""í""),""√º"",""ú""),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75" s="28" t="str">
        <f>IFERROR(__xludf.DUMMYFUNCTION("SPLIT(
  TRIM(
    SUBSTITUTE(
      SUBSTITUTE(
        SUBSTITUTE(
          SUBSTITUTE(
            C975,
            ""√©"", ""é""
          ),
          ""√±"", ""ñ""
        ),
        ""√°"", ""á""
      ),
      ""√≥"", ""ó""
    )
  ),
  ""-""
)
"),"Tablet")</f>
        <v>Tablet</v>
      </c>
      <c r="O975" s="28" t="str">
        <f>IFERROR(__xludf.DUMMYFUNCTION("""COMPUTED_VALUE"""),"Estándar")</f>
        <v>Estándar</v>
      </c>
      <c r="P975" s="28" t="str">
        <f>IFERROR(__xludf.DUMMYFUNCTION("""COMPUTED_VALUE"""),"16GB")</f>
        <v>16GB</v>
      </c>
      <c r="Q975" s="29">
        <f t="shared" si="1"/>
        <v>424.12</v>
      </c>
      <c r="R975" s="28">
        <f t="shared" si="2"/>
        <v>2</v>
      </c>
      <c r="S975" s="29">
        <f t="shared" si="3"/>
        <v>848.24</v>
      </c>
      <c r="T975" s="28" t="str">
        <f>IFERROR(__xludf.DUMMYFUNCTION("PROPER(TRIM(
  LET(
    texto1, REGEXREPLACE(G975,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"),"Lucía Montoya")</f>
        <v>Lucía Montoya</v>
      </c>
      <c r="U975" s="28" t="str">
        <f t="shared" si="4"/>
        <v>c048f440-4471-4f5b-8f49-4805f745f284</v>
      </c>
      <c r="V975" s="30" t="str">
        <f t="shared" si="5"/>
        <v>Tablet Estándar 16GB</v>
      </c>
    </row>
    <row r="976" ht="15.75" customHeight="1">
      <c r="A976" s="6">
        <v>45654.0</v>
      </c>
      <c r="B976" s="2" t="s">
        <v>85</v>
      </c>
      <c r="C976" s="2" t="s">
        <v>1015</v>
      </c>
      <c r="D976" s="7">
        <v>1088.66</v>
      </c>
      <c r="E976" s="2">
        <v>4.0</v>
      </c>
      <c r="F976" s="7">
        <v>4354.64</v>
      </c>
      <c r="G976" s="2" t="s">
        <v>3236</v>
      </c>
      <c r="H976" s="2" t="s">
        <v>3237</v>
      </c>
      <c r="I976" s="2" t="s">
        <v>3238</v>
      </c>
      <c r="K976" s="19" t="str">
        <f>IFERROR(__xludf.DUMMYFUNCTION("IF(ISBLANK(A976),
  """",
  IF(ISNUMBER(A976),
    TEXT(A976,""dd/mm/yyyy""),
    IF(
      REGEXMATCH(TRIM(A976),""^\d{1,2}/\d{1,2}/\d{4}$""),
      TRIM(A976),
      IFERROR(
        TEXT(DATEVALUE(SUBSTITUTE(SUBSTITUTE(TRIM(A976),""-"",""/""),""."",""/"&amp;""")),""dd/mm/yyyy""),
        TRIM(A976)
      )
    )
  )
)
"),"28/12/2024")</f>
        <v>28/12/2024</v>
      </c>
      <c r="L976" s="20">
        <v>45654.0</v>
      </c>
      <c r="M976" s="21" t="str">
        <f>IFERROR(__xludf.DUMMYFUNCTION("PROPER(TRIM(
  REGEXREPLACE(
    REGEXREPLACE(
      SUBSTITUTE(SUBSTITUTE(SUBSTITUTE(SUBSTITUTE(SUBSTITUTE(SUBSTITUTE(SUBSTITUTE(SUBSTITUTE(SUBSTITUTE(SUBSTITUTE(SUBSTITUTE(
        B976,""√©"",""é""),""√°"",""á""),""√±"",""ñ""),""√≥"",""ó""),""√â"",""é"&amp;"""),""√Å"",""á""),""√ç"",""í""),""√Ç"",""Í""),""√Â"",""é""),""√≠"",""í""),""√º"",""ú""),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76" s="22" t="str">
        <f>IFERROR(__xludf.DUMMYFUNCTION("SPLIT(
  TRIM(
    SUBSTITUTE(
      SUBSTITUTE(
        SUBSTITUTE(
          SUBSTITUTE(
            C976,
            ""√©"", ""é""
          ),
          ""√±"", ""ñ""
        ),
        ""√°"", ""á""
      ),
      ""√≥"", ""ó""
    )
  ),
  ""-""
)
"),"Auriculares")</f>
        <v>Auriculares</v>
      </c>
      <c r="O976" s="22" t="str">
        <f>IFERROR(__xludf.DUMMYFUNCTION("""COMPUTED_VALUE"""),"Bluetooth")</f>
        <v>Bluetooth</v>
      </c>
      <c r="P976" s="22" t="str">
        <f>IFERROR(__xludf.DUMMYFUNCTION("""COMPUTED_VALUE"""),"32GB")</f>
        <v>32GB</v>
      </c>
      <c r="Q976" s="23">
        <f t="shared" si="1"/>
        <v>1088.66</v>
      </c>
      <c r="R976" s="22">
        <f t="shared" si="2"/>
        <v>4</v>
      </c>
      <c r="S976" s="23">
        <f t="shared" si="3"/>
        <v>4354.64</v>
      </c>
      <c r="T976" s="22" t="str">
        <f>IFERROR(__xludf.DUMMYFUNCTION("PROPER(TRIM(
  LET(
    texto1, REGEXREPLACE(G976,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"),"Eugenio Fernando Delgado")</f>
        <v>Eugenio Fernando Delgado</v>
      </c>
      <c r="U976" s="22" t="str">
        <f t="shared" si="4"/>
        <v>983f661d-1d5c-478c-aef5-611a679c13a6</v>
      </c>
      <c r="V976" s="24" t="str">
        <f t="shared" si="5"/>
        <v>Auriculares Bluetooth 32GB</v>
      </c>
    </row>
    <row r="977" ht="15.75" customHeight="1">
      <c r="A977" s="6">
        <v>45578.0</v>
      </c>
      <c r="B977" s="2" t="s">
        <v>16</v>
      </c>
      <c r="C977" s="2" t="s">
        <v>28</v>
      </c>
      <c r="D977" s="32"/>
      <c r="E977" s="2">
        <v>2.0</v>
      </c>
      <c r="F977" s="7">
        <v>4429.96</v>
      </c>
      <c r="G977" s="2" t="s">
        <v>3239</v>
      </c>
      <c r="H977" s="2" t="s">
        <v>3240</v>
      </c>
      <c r="I977" s="2" t="s">
        <v>3241</v>
      </c>
      <c r="K977" s="25" t="str">
        <f>IFERROR(__xludf.DUMMYFUNCTION("IF(ISBLANK(A977),
  """",
  IF(ISNUMBER(A977),
    TEXT(A977,""dd/mm/yyyy""),
    IF(
      REGEXMATCH(TRIM(A977),""^\d{1,2}/\d{1,2}/\d{4}$""),
      TRIM(A977),
      IFERROR(
        TEXT(DATEVALUE(SUBSTITUTE(SUBSTITUTE(TRIM(A977),""-"",""/""),""."",""/"&amp;""")),""dd/mm/yyyy""),
        TRIM(A977)
      )
    )
  )
)
"),"13/10/2024")</f>
        <v>13/10/2024</v>
      </c>
      <c r="L977" s="26">
        <v>45578.0</v>
      </c>
      <c r="M977" s="27" t="str">
        <f>IFERROR(__xludf.DUMMYFUNCTION("PROPER(TRIM(
  REGEXREPLACE(
    REGEXREPLACE(
      SUBSTITUTE(SUBSTITUTE(SUBSTITUTE(SUBSTITUTE(SUBSTITUTE(SUBSTITUTE(SUBSTITUTE(SUBSTITUTE(SUBSTITUTE(SUBSTITUTE(SUBSTITUTE(
        B977,""√©"",""é""),""√°"",""á""),""√±"",""ñ""),""√≥"",""ó""),""√â"",""é"&amp;"""),""√Å"",""á""),""√ç"",""í""),""√Ç"",""Í""),""√Â"",""é""),""√≠"",""í""),""√º"",""ú""),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77" s="28" t="str">
        <f>IFERROR(__xludf.DUMMYFUNCTION("SPLIT(
  TRIM(
    SUBSTITUTE(
      SUBSTITUTE(
        SUBSTITUTE(
          SUBSTITUTE(
            C977,
            ""√©"", ""é""
          ),
          ""√±"", ""ñ""
        ),
        ""√°"", ""á""
      ),
      ""√≥"", ""ó""
    )
  ),
  ""-""
)
"),"Tablet")</f>
        <v>Tablet</v>
      </c>
      <c r="O977" s="28" t="str">
        <f>IFERROR(__xludf.DUMMYFUNCTION("""COMPUTED_VALUE"""),"Pro")</f>
        <v>Pro</v>
      </c>
      <c r="P977" s="28" t="str">
        <f>IFERROR(__xludf.DUMMYFUNCTION("""COMPUTED_VALUE"""),"8GB")</f>
        <v>8GB</v>
      </c>
      <c r="Q977" s="34" t="str">
        <f t="shared" si="1"/>
        <v>0</v>
      </c>
      <c r="R977" s="28">
        <f t="shared" si="2"/>
        <v>2</v>
      </c>
      <c r="S977" s="29">
        <f t="shared" si="3"/>
        <v>4429.96</v>
      </c>
      <c r="T977" s="28" t="str">
        <f>IFERROR(__xludf.DUMMYFUNCTION("PROPER(TRIM(
  LET(
    texto1, REGEXREPLACE(G977,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"),"Alta Gracia Marrero Ocasio")</f>
        <v>Alta Gracia Marrero Ocasio</v>
      </c>
      <c r="U977" s="28" t="str">
        <f t="shared" si="4"/>
        <v>fad038ce-1b32-4c25-85bc-38c2262677ee</v>
      </c>
      <c r="V977" s="30" t="str">
        <f t="shared" si="5"/>
        <v>Tablet Pro 8GB</v>
      </c>
    </row>
    <row r="978" ht="15.75" customHeight="1">
      <c r="A978" s="6">
        <v>45652.0</v>
      </c>
      <c r="B978" s="2" t="s">
        <v>85</v>
      </c>
      <c r="C978" s="2" t="s">
        <v>452</v>
      </c>
      <c r="D978" s="7">
        <v>173.36</v>
      </c>
      <c r="E978" s="2">
        <v>2.0</v>
      </c>
      <c r="F978" s="7">
        <v>346.72</v>
      </c>
      <c r="G978" s="2" t="s">
        <v>3242</v>
      </c>
      <c r="H978" s="2" t="s">
        <v>3243</v>
      </c>
      <c r="I978" s="2" t="s">
        <v>3244</v>
      </c>
      <c r="K978" s="19" t="str">
        <f>IFERROR(__xludf.DUMMYFUNCTION("IF(ISBLANK(A978),
  """",
  IF(ISNUMBER(A978),
    TEXT(A978,""dd/mm/yyyy""),
    IF(
      REGEXMATCH(TRIM(A978),""^\d{1,2}/\d{1,2}/\d{4}$""),
      TRIM(A978),
      IFERROR(
        TEXT(DATEVALUE(SUBSTITUTE(SUBSTITUTE(TRIM(A978),""-"",""/""),""."",""/"&amp;""")),""dd/mm/yyyy""),
        TRIM(A978)
      )
    )
  )
)
"),"26/12/2024")</f>
        <v>26/12/2024</v>
      </c>
      <c r="L978" s="20">
        <v>45652.0</v>
      </c>
      <c r="M978" s="21" t="str">
        <f>IFERROR(__xludf.DUMMYFUNCTION("PROPER(TRIM(
  REGEXREPLACE(
    REGEXREPLACE(
      SUBSTITUTE(SUBSTITUTE(SUBSTITUTE(SUBSTITUTE(SUBSTITUTE(SUBSTITUTE(SUBSTITUTE(SUBSTITUTE(SUBSTITUTE(SUBSTITUTE(SUBSTITUTE(
        B978,""√©"",""é""),""√°"",""á""),""√±"",""ñ""),""√≥"",""ó""),""√â"",""é"&amp;"""),""√Å"",""á""),""√ç"",""í""),""√Ç"",""Í""),""√Â"",""é""),""√≠"",""í""),""√º"",""ú""),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78" s="22" t="str">
        <f>IFERROR(__xludf.DUMMYFUNCTION("SPLIT(
  TRIM(
    SUBSTITUTE(
      SUBSTITUTE(
        SUBSTITUTE(
          SUBSTITUTE(
            C978,
            ""√©"", ""é""
          ),
          ""√±"", ""ñ""
        ),
        ""√°"", ""á""
      ),
      ""√≥"", ""ó""
    )
  ),
  ""-""
)
"),"Teléfono")</f>
        <v>Teléfono</v>
      </c>
      <c r="O978" s="22" t="str">
        <f>IFERROR(__xludf.DUMMYFUNCTION("""COMPUTED_VALUE"""),"Gama media")</f>
        <v>Gama media</v>
      </c>
      <c r="P978" s="22" t="str">
        <f>IFERROR(__xludf.DUMMYFUNCTION("""COMPUTED_VALUE"""),"16GB")</f>
        <v>16GB</v>
      </c>
      <c r="Q978" s="23">
        <f t="shared" si="1"/>
        <v>173.36</v>
      </c>
      <c r="R978" s="22">
        <f t="shared" si="2"/>
        <v>2</v>
      </c>
      <c r="S978" s="23">
        <f t="shared" si="3"/>
        <v>346.72</v>
      </c>
      <c r="T978" s="22" t="str">
        <f>IFERROR(__xludf.DUMMYFUNCTION("PROPER(TRIM(
  LET(
    texto1, REGEXREPLACE(G978,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"),"Conchita Calvillo Alba")</f>
        <v>Conchita Calvillo Alba</v>
      </c>
      <c r="U978" s="22" t="str">
        <f t="shared" si="4"/>
        <v>257f5799-af41-462b-b2f9-acae82ba412c</v>
      </c>
      <c r="V978" s="24" t="str">
        <f t="shared" si="5"/>
        <v>Teléfono Gama media 16GB</v>
      </c>
    </row>
    <row r="979" ht="15.75" customHeight="1">
      <c r="A979" s="6">
        <v>45626.0</v>
      </c>
      <c r="B979" s="2" t="s">
        <v>27</v>
      </c>
      <c r="C979" s="2" t="s">
        <v>311</v>
      </c>
      <c r="D979" s="7">
        <v>1560.05</v>
      </c>
      <c r="E979" s="2">
        <v>1.0</v>
      </c>
      <c r="F979" s="7">
        <v>1560.05</v>
      </c>
      <c r="G979" s="2" t="s">
        <v>3245</v>
      </c>
      <c r="H979" s="2" t="s">
        <v>3246</v>
      </c>
      <c r="I979" s="2" t="s">
        <v>3247</v>
      </c>
      <c r="K979" s="25" t="str">
        <f>IFERROR(__xludf.DUMMYFUNCTION("IF(ISBLANK(A979),
  """",
  IF(ISNUMBER(A979),
    TEXT(A979,""dd/mm/yyyy""),
    IF(
      REGEXMATCH(TRIM(A979),""^\d{1,2}/\d{1,2}/\d{4}$""),
      TRIM(A979),
      IFERROR(
        TEXT(DATEVALUE(SUBSTITUTE(SUBSTITUTE(TRIM(A979),""-"",""/""),""."",""/"&amp;""")),""dd/mm/yyyy""),
        TRIM(A979)
      )
    )
  )
)
"),"30/11/2024")</f>
        <v>30/11/2024</v>
      </c>
      <c r="L979" s="26">
        <v>45626.0</v>
      </c>
      <c r="M979" s="27" t="str">
        <f>IFERROR(__xludf.DUMMYFUNCTION("PROPER(TRIM(
  REGEXREPLACE(
    REGEXREPLACE(
      SUBSTITUTE(SUBSTITUTE(SUBSTITUTE(SUBSTITUTE(SUBSTITUTE(SUBSTITUTE(SUBSTITUTE(SUBSTITUTE(SUBSTITUTE(SUBSTITUTE(SUBSTITUTE(
        B979,""√©"",""é""),""√°"",""á""),""√±"",""ñ""),""√≥"",""ó""),""√â"",""é"&amp;"""),""√Å"",""á""),""√ç"",""í""),""√Ç"",""Í""),""√Â"",""é""),""√≠"",""í""),""√º"",""ú""),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79" s="28" t="str">
        <f>IFERROR(__xludf.DUMMYFUNCTION("SPLIT(
  TRIM(
    SUBSTITUTE(
      SUBSTITUTE(
        SUBSTITUTE(
          SUBSTITUTE(
            C979,
            ""√©"", ""é""
          ),
          ""√±"", ""ñ""
        ),
        ""√°"", ""á""
      ),
      ""√≥"", ""ó""
    )
  ),
  ""-""
)
"),"Laptop")</f>
        <v>Laptop</v>
      </c>
      <c r="O979" s="28" t="str">
        <f>IFERROR(__xludf.DUMMYFUNCTION("""COMPUTED_VALUE"""),"Oficina")</f>
        <v>Oficina</v>
      </c>
      <c r="P979" s="28" t="str">
        <f>IFERROR(__xludf.DUMMYFUNCTION("""COMPUTED_VALUE"""),"4GB")</f>
        <v>4GB</v>
      </c>
      <c r="Q979" s="29">
        <f t="shared" si="1"/>
        <v>1560.05</v>
      </c>
      <c r="R979" s="28">
        <f t="shared" si="2"/>
        <v>1</v>
      </c>
      <c r="S979" s="29">
        <f t="shared" si="3"/>
        <v>1560.05</v>
      </c>
      <c r="T979" s="28" t="str">
        <f>IFERROR(__xludf.DUMMYFUNCTION("PROPER(TRIM(
  LET(
    texto1, REGEXREPLACE(G979,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"),"Alicia Agustín Piña")</f>
        <v>Alicia Agustín Piña</v>
      </c>
      <c r="U979" s="28" t="str">
        <f t="shared" si="4"/>
        <v>586df37b-bacf-4952-94e8-20049c50d537</v>
      </c>
      <c r="V979" s="30" t="str">
        <f t="shared" si="5"/>
        <v>Laptop Oficina 4GB</v>
      </c>
    </row>
    <row r="980" ht="15.75" customHeight="1">
      <c r="A980" s="6">
        <v>45646.0</v>
      </c>
      <c r="B980" s="2" t="s">
        <v>85</v>
      </c>
      <c r="C980" s="2" t="s">
        <v>70</v>
      </c>
      <c r="D980" s="7">
        <v>2114.97</v>
      </c>
      <c r="E980" s="2">
        <v>1.0</v>
      </c>
      <c r="F980" s="7">
        <v>2114.97</v>
      </c>
      <c r="G980" s="2" t="s">
        <v>3248</v>
      </c>
      <c r="H980" s="2" t="s">
        <v>3249</v>
      </c>
      <c r="I980" s="2" t="s">
        <v>3250</v>
      </c>
      <c r="K980" s="19" t="str">
        <f>IFERROR(__xludf.DUMMYFUNCTION("IF(ISBLANK(A980),
  """",
  IF(ISNUMBER(A980),
    TEXT(A980,""dd/mm/yyyy""),
    IF(
      REGEXMATCH(TRIM(A980),""^\d{1,2}/\d{1,2}/\d{4}$""),
      TRIM(A980),
      IFERROR(
        TEXT(DATEVALUE(SUBSTITUTE(SUBSTITUTE(TRIM(A980),""-"",""/""),""."",""/"&amp;""")),""dd/mm/yyyy""),
        TRIM(A980)
      )
    )
  )
)
"),"20/12/2024")</f>
        <v>20/12/2024</v>
      </c>
      <c r="L980" s="20">
        <v>45646.0</v>
      </c>
      <c r="M980" s="21" t="str">
        <f>IFERROR(__xludf.DUMMYFUNCTION("PROPER(TRIM(
  REGEXREPLACE(
    REGEXREPLACE(
      SUBSTITUTE(SUBSTITUTE(SUBSTITUTE(SUBSTITUTE(SUBSTITUTE(SUBSTITUTE(SUBSTITUTE(SUBSTITUTE(SUBSTITUTE(SUBSTITUTE(SUBSTITUTE(
        B980,""√©"",""é""),""√°"",""á""),""√±"",""ñ""),""√≥"",""ó""),""√â"",""é"&amp;"""),""√Å"",""á""),""√ç"",""í""),""√Ç"",""Í""),""√Â"",""é""),""√≠"",""í""),""√º"",""ú""),
      ""[,\\.√]"",""""),
    ""\\s+"","" "")
))
"),"Guadalajara")</f>
        <v>Guadalajara</v>
      </c>
      <c r="N980" s="22" t="str">
        <f>IFERROR(__xludf.DUMMYFUNCTION("SPLIT(
  TRIM(
    SUBSTITUTE(
      SUBSTITUTE(
        SUBSTITUTE(
          SUBSTITUTE(
            C980,
            ""√©"", ""é""
          ),
          ""√±"", ""ñ""
        ),
        ""√°"", ""á""
      ),
      ""√≥"", ""ó""
    )
  ),
  ""-""
)
"),"Auriculares")</f>
        <v>Auriculares</v>
      </c>
      <c r="O980" s="22" t="str">
        <f>IFERROR(__xludf.DUMMYFUNCTION("""COMPUTED_VALUE"""),"Con cable")</f>
        <v>Con cable</v>
      </c>
      <c r="P980" s="22" t="str">
        <f>IFERROR(__xludf.DUMMYFUNCTION("""COMPUTED_VALUE"""),"16GB")</f>
        <v>16GB</v>
      </c>
      <c r="Q980" s="23">
        <f t="shared" si="1"/>
        <v>2114.97</v>
      </c>
      <c r="R980" s="22">
        <f t="shared" si="2"/>
        <v>1</v>
      </c>
      <c r="S980" s="23">
        <f t="shared" si="3"/>
        <v>2114.97</v>
      </c>
      <c r="T980" s="22" t="str">
        <f>IFERROR(__xludf.DUMMYFUNCTION("PROPER(TRIM(
  LET(
    texto1, REGEXREPLACE(G980,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"),"Cristian Mercedes Rubio Medrano")</f>
        <v>Cristian Mercedes Rubio Medrano</v>
      </c>
      <c r="U980" s="22" t="str">
        <f t="shared" si="4"/>
        <v>9e9a947c-796d-4653-bc4d-b777a5aa5e38</v>
      </c>
      <c r="V980" s="24" t="str">
        <f t="shared" si="5"/>
        <v>Auriculares Con cable 16GB</v>
      </c>
    </row>
    <row r="981" ht="15.75" customHeight="1">
      <c r="A981" s="6">
        <v>45576.0</v>
      </c>
      <c r="B981" s="2" t="s">
        <v>38</v>
      </c>
      <c r="C981" s="2" t="s">
        <v>91</v>
      </c>
      <c r="D981" s="7">
        <v>1578.34</v>
      </c>
      <c r="E981" s="2">
        <v>3.0</v>
      </c>
      <c r="F981" s="7">
        <v>4735.02</v>
      </c>
      <c r="G981" s="2" t="s">
        <v>3251</v>
      </c>
      <c r="H981" s="2" t="s">
        <v>3252</v>
      </c>
      <c r="I981" s="2" t="s">
        <v>3253</v>
      </c>
      <c r="K981" s="25" t="str">
        <f>IFERROR(__xludf.DUMMYFUNCTION("IF(ISBLANK(A981),
  """",
  IF(ISNUMBER(A981),
    TEXT(A981,""dd/mm/yyyy""),
    IF(
      REGEXMATCH(TRIM(A981),""^\d{1,2}/\d{1,2}/\d{4}$""),
      TRIM(A981),
      IFERROR(
        TEXT(DATEVALUE(SUBSTITUTE(SUBSTITUTE(TRIM(A981),""-"",""/""),""."",""/"&amp;""")),""dd/mm/yyyy""),
        TRIM(A981)
      )
    )
  )
)
"),"11/10/2024")</f>
        <v>11/10/2024</v>
      </c>
      <c r="L981" s="26">
        <v>45576.0</v>
      </c>
      <c r="M981" s="27" t="str">
        <f>IFERROR(__xludf.DUMMYFUNCTION("PROPER(TRIM(
  REGEXREPLACE(
    REGEXREPLACE(
      SUBSTITUTE(SUBSTITUTE(SUBSTITUTE(SUBSTITUTE(SUBSTITUTE(SUBSTITUTE(SUBSTITUTE(SUBSTITUTE(SUBSTITUTE(SUBSTITUTE(SUBSTITUTE(
        B981,""√©"",""é""),""√°"",""á""),""√±"",""ñ""),""√≥"",""ó""),""√â"",""é"&amp;"""),""√Å"",""á""),""√ç"",""í""),""√Ç"",""Í""),""√Â"",""é""),""√≠"",""í""),""√º"",""ú""),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81" s="28" t="str">
        <f>IFERROR(__xludf.DUMMYFUNCTION("SPLIT(
  TRIM(
    SUBSTITUTE(
      SUBSTITUTE(
        SUBSTITUTE(
          SUBSTITUTE(
            C981,
            ""√©"", ""é""
          ),
          ""√±"", ""ñ""
        ),
        ""√°"", ""á""
      ),
      ""√≥"", ""ó""
    )
  ),
  ""-""
)
"),"Tablet")</f>
        <v>Tablet</v>
      </c>
      <c r="O981" s="28" t="str">
        <f>IFERROR(__xludf.DUMMYFUNCTION("""COMPUTED_VALUE"""),"Mini")</f>
        <v>Mini</v>
      </c>
      <c r="P981" s="28" t="str">
        <f>IFERROR(__xludf.DUMMYFUNCTION("""COMPUTED_VALUE"""),"32GB")</f>
        <v>32GB</v>
      </c>
      <c r="Q981" s="29">
        <f t="shared" si="1"/>
        <v>1578.34</v>
      </c>
      <c r="R981" s="28">
        <f t="shared" si="2"/>
        <v>3</v>
      </c>
      <c r="S981" s="29">
        <f t="shared" si="3"/>
        <v>4735.02</v>
      </c>
      <c r="T981" s="28" t="str">
        <f>IFERROR(__xludf.DUMMYFUNCTION("PROPER(TRIM(
  LET(
    texto1, REGEXREPLACE(G981,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"),"Gustavo Berta Aragón")</f>
        <v>Gustavo Berta Aragón</v>
      </c>
      <c r="U981" s="28" t="str">
        <f t="shared" si="4"/>
        <v>afc92f17-61fe-4e4e-84c2-09515ccc8e07</v>
      </c>
      <c r="V981" s="30" t="str">
        <f t="shared" si="5"/>
        <v>Tablet Mini 32GB</v>
      </c>
    </row>
    <row r="982" ht="15.75" customHeight="1">
      <c r="A982" s="6">
        <v>45604.0</v>
      </c>
      <c r="B982" s="2" t="s">
        <v>27</v>
      </c>
      <c r="C982" s="2" t="s">
        <v>245</v>
      </c>
      <c r="D982" s="7">
        <v>427.92</v>
      </c>
      <c r="E982" s="2">
        <v>2.0</v>
      </c>
      <c r="F982" s="7">
        <v>855.84</v>
      </c>
      <c r="G982" s="2" t="s">
        <v>3254</v>
      </c>
      <c r="H982" s="2" t="s">
        <v>3255</v>
      </c>
      <c r="I982" s="2" t="s">
        <v>3256</v>
      </c>
      <c r="K982" s="19" t="str">
        <f>IFERROR(__xludf.DUMMYFUNCTION("IF(ISBLANK(A982),
  """",
  IF(ISNUMBER(A982),
    TEXT(A982,""dd/mm/yyyy""),
    IF(
      REGEXMATCH(TRIM(A982),""^\d{1,2}/\d{1,2}/\d{4}$""),
      TRIM(A982),
      IFERROR(
        TEXT(DATEVALUE(SUBSTITUTE(SUBSTITUTE(TRIM(A982),""-"",""/""),""."",""/"&amp;""")),""dd/mm/yyyy""),
        TRIM(A982)
      )
    )
  )
)
"),"08/11/2024")</f>
        <v>08/11/2024</v>
      </c>
      <c r="L982" s="20">
        <v>45604.0</v>
      </c>
      <c r="M982" s="21" t="str">
        <f>IFERROR(__xludf.DUMMYFUNCTION("PROPER(TRIM(
  REGEXREPLACE(
    REGEXREPLACE(
      SUBSTITUTE(SUBSTITUTE(SUBSTITUTE(SUBSTITUTE(SUBSTITUTE(SUBSTITUTE(SUBSTITUTE(SUBSTITUTE(SUBSTITUTE(SUBSTITUTE(SUBSTITUTE(
        B982,""√©"",""é""),""√°"",""á""),""√±"",""ñ""),""√≥"",""ó""),""√â"",""é"&amp;"""),""√Å"",""á""),""√ç"",""í""),""√Ç"",""Í""),""√Â"",""é""),""√≠"",""í""),""√º"",""ú""),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82" s="22" t="str">
        <f>IFERROR(__xludf.DUMMYFUNCTION("SPLIT(
  TRIM(
    SUBSTITUTE(
      SUBSTITUTE(
        SUBSTITUTE(
          SUBSTITUTE(
            C982,
            ""√©"", ""é""
          ),
          ""√±"", ""ñ""
        ),
        ""√°"", ""á""
      ),
      ""√≥"", ""ó""
    )
  ),
  ""-""
)
"),"Teléfono")</f>
        <v>Teléfono</v>
      </c>
      <c r="O982" s="22" t="str">
        <f>IFERROR(__xludf.DUMMYFUNCTION("""COMPUTED_VALUE"""),"Gama baja")</f>
        <v>Gama baja</v>
      </c>
      <c r="P982" s="22" t="str">
        <f>IFERROR(__xludf.DUMMYFUNCTION("""COMPUTED_VALUE"""),"32GB")</f>
        <v>32GB</v>
      </c>
      <c r="Q982" s="23">
        <f t="shared" si="1"/>
        <v>427.92</v>
      </c>
      <c r="R982" s="22">
        <f t="shared" si="2"/>
        <v>2</v>
      </c>
      <c r="S982" s="23">
        <f t="shared" si="3"/>
        <v>855.84</v>
      </c>
      <c r="T982" s="22" t="str">
        <f>IFERROR(__xludf.DUMMYFUNCTION("PROPER(TRIM(
  LET(
    texto1, REGEXREPLACE(G982,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"),"Liver Ulloa")</f>
        <v>Liver Ulloa</v>
      </c>
      <c r="U982" s="22" t="str">
        <f t="shared" si="4"/>
        <v>0d9c3f44-a748-478b-8652-36bac0fde7f7</v>
      </c>
      <c r="V982" s="24" t="str">
        <f t="shared" si="5"/>
        <v>Teléfono Gama baja 32GB</v>
      </c>
    </row>
    <row r="983" ht="15.75" customHeight="1">
      <c r="A983" s="6">
        <v>45631.0</v>
      </c>
      <c r="B983" s="2" t="s">
        <v>38</v>
      </c>
      <c r="C983" s="2" t="s">
        <v>369</v>
      </c>
      <c r="D983" s="7">
        <v>1742.12</v>
      </c>
      <c r="E983" s="2">
        <v>4.0</v>
      </c>
      <c r="F983" s="7">
        <v>6968.48</v>
      </c>
      <c r="G983" s="2" t="s">
        <v>3257</v>
      </c>
      <c r="H983" s="2" t="s">
        <v>3258</v>
      </c>
      <c r="I983" s="2" t="s">
        <v>3259</v>
      </c>
      <c r="K983" s="25" t="str">
        <f>IFERROR(__xludf.DUMMYFUNCTION("IF(ISBLANK(A983),
  """",
  IF(ISNUMBER(A983),
    TEXT(A983,""dd/mm/yyyy""),
    IF(
      REGEXMATCH(TRIM(A983),""^\d{1,2}/\d{1,2}/\d{4}$""),
      TRIM(A983),
      IFERROR(
        TEXT(DATEVALUE(SUBSTITUTE(SUBSTITUTE(TRIM(A983),""-"",""/""),""."",""/"&amp;""")),""dd/mm/yyyy""),
        TRIM(A983)
      )
    )
  )
)
"),"05/12/2024")</f>
        <v>05/12/2024</v>
      </c>
      <c r="L983" s="26">
        <v>45631.0</v>
      </c>
      <c r="M983" s="27" t="str">
        <f>IFERROR(__xludf.DUMMYFUNCTION("PROPER(TRIM(
  REGEXREPLACE(
    REGEXREPLACE(
      SUBSTITUTE(SUBSTITUTE(SUBSTITUTE(SUBSTITUTE(SUBSTITUTE(SUBSTITUTE(SUBSTITUTE(SUBSTITUTE(SUBSTITUTE(SUBSTITUTE(SUBSTITUTE(
        B983,""√©"",""é""),""√°"",""á""),""√±"",""ñ""),""√≥"",""ó""),""√â"",""é"&amp;"""),""√Å"",""á""),""√ç"",""í""),""√Ç"",""Í""),""√Â"",""é""),""√≠"",""í""),""√º"",""ú""),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83" s="28" t="str">
        <f>IFERROR(__xludf.DUMMYFUNCTION("SPLIT(
  TRIM(
    SUBSTITUTE(
      SUBSTITUTE(
        SUBSTITUTE(
          SUBSTITUTE(
            C983,
            ""√©"", ""é""
          ),
          ""√±"", ""ñ""
        ),
        ""√°"", ""á""
      ),
      ""√≥"", ""ó""
    )
  ),
  ""-""
)
"),"Tablet")</f>
        <v>Tablet</v>
      </c>
      <c r="O983" s="28" t="str">
        <f>IFERROR(__xludf.DUMMYFUNCTION("""COMPUTED_VALUE"""),"Pro")</f>
        <v>Pro</v>
      </c>
      <c r="P983" s="28" t="str">
        <f>IFERROR(__xludf.DUMMYFUNCTION("""COMPUTED_VALUE"""),"16GB")</f>
        <v>16GB</v>
      </c>
      <c r="Q983" s="29">
        <f t="shared" si="1"/>
        <v>1742.12</v>
      </c>
      <c r="R983" s="28">
        <f t="shared" si="2"/>
        <v>4</v>
      </c>
      <c r="S983" s="29">
        <f t="shared" si="3"/>
        <v>6968.48</v>
      </c>
      <c r="T983" s="28" t="str">
        <f>IFERROR(__xludf.DUMMYFUNCTION("PROPER(TRIM(
  LET(
    texto1, REGEXREPLACE(G983,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"),"Lourdes Reyes Valladares")</f>
        <v>Lourdes Reyes Valladares</v>
      </c>
      <c r="U983" s="28" t="str">
        <f t="shared" si="4"/>
        <v>32a2277a-2bbc-47d0-9874-fcd6195b5e16</v>
      </c>
      <c r="V983" s="30" t="str">
        <f t="shared" si="5"/>
        <v>Tablet Pro 16GB</v>
      </c>
    </row>
    <row r="984" ht="15.75" customHeight="1">
      <c r="A984" s="6">
        <v>45603.0</v>
      </c>
      <c r="B984" s="2" t="s">
        <v>16</v>
      </c>
      <c r="C984" s="2" t="s">
        <v>206</v>
      </c>
      <c r="D984" s="7">
        <v>841.48</v>
      </c>
      <c r="E984" s="2">
        <v>2.0</v>
      </c>
      <c r="F984" s="7">
        <v>1682.96</v>
      </c>
      <c r="G984" s="2" t="s">
        <v>3260</v>
      </c>
      <c r="H984" s="2" t="s">
        <v>3261</v>
      </c>
      <c r="I984" s="2" t="s">
        <v>3262</v>
      </c>
      <c r="K984" s="19" t="str">
        <f>IFERROR(__xludf.DUMMYFUNCTION("IF(ISBLANK(A984),
  """",
  IF(ISNUMBER(A984),
    TEXT(A984,""dd/mm/yyyy""),
    IF(
      REGEXMATCH(TRIM(A984),""^\d{1,2}/\d{1,2}/\d{4}$""),
      TRIM(A984),
      IFERROR(
        TEXT(DATEVALUE(SUBSTITUTE(SUBSTITUTE(TRIM(A984),""-"",""/""),""."",""/"&amp;""")),""dd/mm/yyyy""),
        TRIM(A984)
      )
    )
  )
)
"),"07/11/2024")</f>
        <v>07/11/2024</v>
      </c>
      <c r="L984" s="20">
        <v>45603.0</v>
      </c>
      <c r="M984" s="21" t="str">
        <f>IFERROR(__xludf.DUMMYFUNCTION("PROPER(TRIM(
  REGEXREPLACE(
    REGEXREPLACE(
      SUBSTITUTE(SUBSTITUTE(SUBSTITUTE(SUBSTITUTE(SUBSTITUTE(SUBSTITUTE(SUBSTITUTE(SUBSTITUTE(SUBSTITUTE(SUBSTITUTE(SUBSTITUTE(
        B984,""√©"",""é""),""√°"",""á""),""√±"",""ñ""),""√≥"",""ó""),""√â"",""é"&amp;"""),""√Å"",""á""),""√ç"",""í""),""√Ç"",""Í""),""√Â"",""é""),""√≠"",""í""),""√º"",""ú""),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84" s="22" t="str">
        <f>IFERROR(__xludf.DUMMYFUNCTION("SPLIT(
  TRIM(
    SUBSTITUTE(
      SUBSTITUTE(
        SUBSTITUTE(
          SUBSTITUTE(
            C984,
            ""√©"", ""é""
          ),
          ""√±"", ""ñ""
        ),
        ""√°"", ""á""
      ),
      ""√≥"", ""ó""
    )
  ),
  ""-""
)
"),"Auriculares")</f>
        <v>Auriculares</v>
      </c>
      <c r="O984" s="22" t="str">
        <f>IFERROR(__xludf.DUMMYFUNCTION("""COMPUTED_VALUE"""),"Bluetooth")</f>
        <v>Bluetooth</v>
      </c>
      <c r="P984" s="22" t="str">
        <f>IFERROR(__xludf.DUMMYFUNCTION("""COMPUTED_VALUE"""),"4GB")</f>
        <v>4GB</v>
      </c>
      <c r="Q984" s="23">
        <f t="shared" si="1"/>
        <v>841.48</v>
      </c>
      <c r="R984" s="22">
        <f t="shared" si="2"/>
        <v>2</v>
      </c>
      <c r="S984" s="23">
        <f t="shared" si="3"/>
        <v>1682.96</v>
      </c>
      <c r="T984" s="22" t="str">
        <f>IFERROR(__xludf.DUMMYFUNCTION("PROPER(TRIM(
  LET(
    texto1, REGEXREPLACE(G984,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"),"Humberto Rosas")</f>
        <v>Humberto Rosas</v>
      </c>
      <c r="U984" s="22" t="str">
        <f t="shared" si="4"/>
        <v>98bc06e4-82c3-4589-93d7-e941e1ae7c85</v>
      </c>
      <c r="V984" s="24" t="str">
        <f t="shared" si="5"/>
        <v>Auriculares Bluetooth 4GB</v>
      </c>
    </row>
    <row r="985" ht="15.75" customHeight="1">
      <c r="A985" s="6">
        <v>45636.0</v>
      </c>
      <c r="B985" s="2" t="s">
        <v>50</v>
      </c>
      <c r="C985" s="2" t="s">
        <v>152</v>
      </c>
      <c r="D985" s="7">
        <v>173.92</v>
      </c>
      <c r="E985" s="2">
        <v>3.0</v>
      </c>
      <c r="F985" s="7">
        <v>521.76</v>
      </c>
      <c r="G985" s="2" t="s">
        <v>3263</v>
      </c>
      <c r="H985" s="2" t="s">
        <v>3264</v>
      </c>
      <c r="I985" s="2" t="s">
        <v>3265</v>
      </c>
      <c r="K985" s="25" t="str">
        <f>IFERROR(__xludf.DUMMYFUNCTION("IF(ISBLANK(A985),
  """",
  IF(ISNUMBER(A985),
    TEXT(A985,""dd/mm/yyyy""),
    IF(
      REGEXMATCH(TRIM(A985),""^\d{1,2}/\d{1,2}/\d{4}$""),
      TRIM(A985),
      IFERROR(
        TEXT(DATEVALUE(SUBSTITUTE(SUBSTITUTE(TRIM(A985),""-"",""/""),""."",""/"&amp;""")),""dd/mm/yyyy""),
        TRIM(A985)
      )
    )
  )
)
"),"10/12/2024")</f>
        <v>10/12/2024</v>
      </c>
      <c r="L985" s="26">
        <v>45636.0</v>
      </c>
      <c r="M985" s="27" t="str">
        <f>IFERROR(__xludf.DUMMYFUNCTION("PROPER(TRIM(
  REGEXREPLACE(
    REGEXREPLACE(
      SUBSTITUTE(SUBSTITUTE(SUBSTITUTE(SUBSTITUTE(SUBSTITUTE(SUBSTITUTE(SUBSTITUTE(SUBSTITUTE(SUBSTITUTE(SUBSTITUTE(SUBSTITUTE(
        B985,""√©"",""é""),""√°"",""á""),""√±"",""ñ""),""√≥"",""ó""),""√â"",""é"&amp;"""),""√Å"",""á""),""√ç"",""í""),""√Ç"",""Í""),""√Â"",""é""),""√≠"",""í""),""√º"",""ú""),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85" s="28" t="str">
        <f>IFERROR(__xludf.DUMMYFUNCTION("SPLIT(
  TRIM(
    SUBSTITUTE(
      SUBSTITUTE(
        SUBSTITUTE(
          SUBSTITUTE(
            C985,
            ""√©"", ""é""
          ),
          ""√±"", ""ñ""
        ),
        ""√°"", ""á""
      ),
      ""√≥"", ""ó""
    )
  ),
  ""-""
)
"),"Teléfono")</f>
        <v>Teléfono</v>
      </c>
      <c r="O985" s="28" t="str">
        <f>IFERROR(__xludf.DUMMYFUNCTION("""COMPUTED_VALUE"""),"Gama baja")</f>
        <v>Gama baja</v>
      </c>
      <c r="P985" s="28" t="str">
        <f>IFERROR(__xludf.DUMMYFUNCTION("""COMPUTED_VALUE"""),"4GB")</f>
        <v>4GB</v>
      </c>
      <c r="Q985" s="29">
        <f t="shared" si="1"/>
        <v>173.92</v>
      </c>
      <c r="R985" s="28">
        <f t="shared" si="2"/>
        <v>3</v>
      </c>
      <c r="S985" s="29">
        <f t="shared" si="3"/>
        <v>521.76</v>
      </c>
      <c r="T985" s="28" t="str">
        <f>IFERROR(__xludf.DUMMYFUNCTION("PROPER(TRIM(
  LET(
    texto1, REGEXREPLACE(G985,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"),"Jerónimo Palomino Lozano")</f>
        <v>Jerónimo Palomino Lozano</v>
      </c>
      <c r="U985" s="28" t="str">
        <f t="shared" si="4"/>
        <v>2d00fa46-ed9d-4a83-8d4f-00268740aa20</v>
      </c>
      <c r="V985" s="30" t="str">
        <f t="shared" si="5"/>
        <v>Teléfono Gama baja 4GB</v>
      </c>
    </row>
    <row r="986" ht="15.75" customHeight="1">
      <c r="A986" s="6">
        <v>45579.0</v>
      </c>
      <c r="B986" s="2" t="s">
        <v>27</v>
      </c>
      <c r="C986" s="2" t="s">
        <v>45</v>
      </c>
      <c r="D986" s="7">
        <v>796.49</v>
      </c>
      <c r="E986" s="2">
        <v>3.0</v>
      </c>
      <c r="F986" s="7">
        <v>2389.47</v>
      </c>
      <c r="G986" s="2" t="s">
        <v>3266</v>
      </c>
      <c r="H986" s="2" t="s">
        <v>3267</v>
      </c>
      <c r="I986" s="2" t="s">
        <v>3268</v>
      </c>
      <c r="K986" s="19" t="str">
        <f>IFERROR(__xludf.DUMMYFUNCTION("IF(ISBLANK(A986),
  """",
  IF(ISNUMBER(A986),
    TEXT(A986,""dd/mm/yyyy""),
    IF(
      REGEXMATCH(TRIM(A986),""^\d{1,2}/\d{1,2}/\d{4}$""),
      TRIM(A986),
      IFERROR(
        TEXT(DATEVALUE(SUBSTITUTE(SUBSTITUTE(TRIM(A986),""-"",""/""),""."",""/"&amp;""")),""dd/mm/yyyy""),
        TRIM(A986)
      )
    )
  )
)
"),"14/10/2024")</f>
        <v>14/10/2024</v>
      </c>
      <c r="L986" s="20">
        <v>45579.0</v>
      </c>
      <c r="M986" s="21" t="str">
        <f>IFERROR(__xludf.DUMMYFUNCTION("PROPER(TRIM(
  REGEXREPLACE(
    REGEXREPLACE(
      SUBSTITUTE(SUBSTITUTE(SUBSTITUTE(SUBSTITUTE(SUBSTITUTE(SUBSTITUTE(SUBSTITUTE(SUBSTITUTE(SUBSTITUTE(SUBSTITUTE(SUBSTITUTE(
        B986,""√©"",""é""),""√°"",""á""),""√±"",""ñ""),""√≥"",""ó""),""√â"",""é"&amp;"""),""√Å"",""á""),""√ç"",""í""),""√Ç"",""Í""),""√Â"",""é""),""√≠"",""í""),""√º"",""ú""),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86" s="22" t="str">
        <f>IFERROR(__xludf.DUMMYFUNCTION("SPLIT(
  TRIM(
    SUBSTITUTE(
      SUBSTITUTE(
        SUBSTITUTE(
          SUBSTITUTE(
            C986,
            ""√©"", ""é""
          ),
          ""√±"", ""ñ""
        ),
        ""√°"", ""á""
      ),
      ""√≥"", ""ó""
    )
  ),
  ""-""
)
"),"Tablet")</f>
        <v>Tablet</v>
      </c>
      <c r="O986" s="22" t="str">
        <f>IFERROR(__xludf.DUMMYFUNCTION("""COMPUTED_VALUE"""),"Mini")</f>
        <v>Mini</v>
      </c>
      <c r="P986" s="22" t="str">
        <f>IFERROR(__xludf.DUMMYFUNCTION("""COMPUTED_VALUE"""),"4GB")</f>
        <v>4GB</v>
      </c>
      <c r="Q986" s="23">
        <f t="shared" si="1"/>
        <v>796.49</v>
      </c>
      <c r="R986" s="22">
        <f t="shared" si="2"/>
        <v>3</v>
      </c>
      <c r="S986" s="23">
        <f t="shared" si="3"/>
        <v>2389.47</v>
      </c>
      <c r="T986" s="22" t="str">
        <f>IFERROR(__xludf.DUMMYFUNCTION("PROPER(TRIM(
  LET(
    texto1, REGEXREPLACE(G986,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"),"Carmen Rufino Téllez Benavides")</f>
        <v>Carmen Rufino Téllez Benavides</v>
      </c>
      <c r="U986" s="22" t="str">
        <f t="shared" si="4"/>
        <v>dac843fc-5bc0-475f-a01e-8c48a965a9c2</v>
      </c>
      <c r="V986" s="24" t="str">
        <f t="shared" si="5"/>
        <v>Tablet Mini 4GB</v>
      </c>
    </row>
    <row r="987" ht="15.75" customHeight="1">
      <c r="A987" s="6">
        <v>45616.0</v>
      </c>
      <c r="B987" s="2" t="s">
        <v>101</v>
      </c>
      <c r="C987" s="2" t="s">
        <v>593</v>
      </c>
      <c r="D987" s="7">
        <v>2469.75</v>
      </c>
      <c r="E987" s="2">
        <v>3.0</v>
      </c>
      <c r="F987" s="7">
        <v>7409.25</v>
      </c>
      <c r="G987" s="2" t="s">
        <v>3269</v>
      </c>
      <c r="H987" s="2" t="s">
        <v>3270</v>
      </c>
      <c r="I987" s="2" t="s">
        <v>3271</v>
      </c>
      <c r="K987" s="25" t="str">
        <f>IFERROR(__xludf.DUMMYFUNCTION("IF(ISBLANK(A987),
  """",
  IF(ISNUMBER(A987),
    TEXT(A987,""dd/mm/yyyy""),
    IF(
      REGEXMATCH(TRIM(A987),""^\d{1,2}/\d{1,2}/\d{4}$""),
      TRIM(A987),
      IFERROR(
        TEXT(DATEVALUE(SUBSTITUTE(SUBSTITUTE(TRIM(A987),""-"",""/""),""."",""/"&amp;""")),""dd/mm/yyyy""),
        TRIM(A987)
      )
    )
  )
)
"),"20/11/2024")</f>
        <v>20/11/2024</v>
      </c>
      <c r="L987" s="26">
        <v>45616.0</v>
      </c>
      <c r="M987" s="27" t="str">
        <f>IFERROR(__xludf.DUMMYFUNCTION("PROPER(TRIM(
  REGEXREPLACE(
    REGEXREPLACE(
      SUBSTITUTE(SUBSTITUTE(SUBSTITUTE(SUBSTITUTE(SUBSTITUTE(SUBSTITUTE(SUBSTITUTE(SUBSTITUTE(SUBSTITUTE(SUBSTITUTE(SUBSTITUTE(
        B987,""√©"",""é""),""√°"",""á""),""√±"",""ñ""),""√≥"",""ó""),""√â"",""é"&amp;"""),""√Å"",""á""),""√ç"",""í""),""√Ç"",""Í""),""√Â"",""é""),""√≠"",""í""),""√º"",""ú""),
      ""[,\\.√]"",""""),
    ""\\s+"","" "")
))
"),"Monterrey")</f>
        <v>Monterrey</v>
      </c>
      <c r="N987" s="28" t="str">
        <f>IFERROR(__xludf.DUMMYFUNCTION("SPLIT(
  TRIM(
    SUBSTITUTE(
      SUBSTITUTE(
        SUBSTITUTE(
          SUBSTITUTE(
            C987,
            ""√©"", ""é""
          ),
          ""√±"", ""ñ""
        ),
        ""√°"", ""á""
      ),
      ""√≥"", ""ó""
    )
  ),
  ""-""
)
"),"Laptop")</f>
        <v>Laptop</v>
      </c>
      <c r="O987" s="28" t="str">
        <f>IFERROR(__xludf.DUMMYFUNCTION("""COMPUTED_VALUE"""),"Gaming")</f>
        <v>Gaming</v>
      </c>
      <c r="P987" s="28" t="str">
        <f>IFERROR(__xludf.DUMMYFUNCTION("""COMPUTED_VALUE"""),"16GB")</f>
        <v>16GB</v>
      </c>
      <c r="Q987" s="29">
        <f t="shared" si="1"/>
        <v>2469.75</v>
      </c>
      <c r="R987" s="28">
        <f t="shared" si="2"/>
        <v>3</v>
      </c>
      <c r="S987" s="29">
        <f t="shared" si="3"/>
        <v>7409.25</v>
      </c>
      <c r="T987" s="28" t="str">
        <f>IFERROR(__xludf.DUMMYFUNCTION("PROPER(TRIM(
  LET(
    texto1, REGEXREPLACE(G987,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"),"Anel Marco Antonio Patiño")</f>
        <v>Anel Marco Antonio Patiño</v>
      </c>
      <c r="U987" s="28" t="str">
        <f t="shared" si="4"/>
        <v>8faa345b-0095-4a30-b89a-79a7b53e217a</v>
      </c>
      <c r="V987" s="30" t="str">
        <f t="shared" si="5"/>
        <v>Laptop Gaming 16GB</v>
      </c>
    </row>
    <row r="988" ht="15.75" customHeight="1">
      <c r="A988" s="36">
        <v>45575.0</v>
      </c>
      <c r="B988" s="2" t="s">
        <v>38</v>
      </c>
      <c r="C988" s="2" t="s">
        <v>500</v>
      </c>
      <c r="D988" s="7">
        <v>1420.28</v>
      </c>
      <c r="E988" s="2">
        <v>4.0</v>
      </c>
      <c r="F988" s="7">
        <v>5681.12</v>
      </c>
      <c r="G988" s="2" t="s">
        <v>3272</v>
      </c>
      <c r="H988" s="2" t="s">
        <v>3273</v>
      </c>
      <c r="I988" s="2" t="s">
        <v>3274</v>
      </c>
      <c r="K988" s="19" t="str">
        <f>IFERROR(__xludf.DUMMYFUNCTION("IF(ISBLANK(A988),
  """",
  IF(ISNUMBER(A988),
    TEXT(A988,""dd/mm/yyyy""),
    IF(
      REGEXMATCH(TRIM(A988),""^\d{1,2}/\d{1,2}/\d{4}$""),
      TRIM(A988),
      IFERROR(
        TEXT(DATEVALUE(SUBSTITUTE(SUBSTITUTE(TRIM(A988),""-"",""/""),""."",""/"&amp;""")),""dd/mm/yyyy""),
        TRIM(A988)
      )
    )
  )
)
"),"10/10/2024")</f>
        <v>10/10/2024</v>
      </c>
      <c r="L988" s="20">
        <v>45575.0</v>
      </c>
      <c r="M988" s="21" t="str">
        <f>IFERROR(__xludf.DUMMYFUNCTION("PROPER(TRIM(
  REGEXREPLACE(
    REGEXREPLACE(
      SUBSTITUTE(SUBSTITUTE(SUBSTITUTE(SUBSTITUTE(SUBSTITUTE(SUBSTITUTE(SUBSTITUTE(SUBSTITUTE(SUBSTITUTE(SUBSTITUTE(SUBSTITUTE(
        B988,""√©"",""é""),""√°"",""á""),""√±"",""ñ""),""√≥"",""ó""),""√â"",""é"&amp;"""),""√Å"",""á""),""√ç"",""í""),""√Ç"",""Í""),""√Â"",""é""),""√≠"",""í""),""√º"",""ú""),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88" s="22" t="str">
        <f>IFERROR(__xludf.DUMMYFUNCTION("SPLIT(
  TRIM(
    SUBSTITUTE(
      SUBSTITUTE(
        SUBSTITUTE(
          SUBSTITUTE(
            C988,
            ""√©"", ""é""
          ),
          ""√±"", ""ñ""
        ),
        ""√°"", ""á""
      ),
      ""√≥"", ""ó""
    )
  ),
  ""-""
)
"),"Teléfono")</f>
        <v>Teléfono</v>
      </c>
      <c r="O988" s="22" t="str">
        <f>IFERROR(__xludf.DUMMYFUNCTION("""COMPUTED_VALUE"""),"Gama alta")</f>
        <v>Gama alta</v>
      </c>
      <c r="P988" s="22" t="str">
        <f>IFERROR(__xludf.DUMMYFUNCTION("""COMPUTED_VALUE"""),"32GB")</f>
        <v>32GB</v>
      </c>
      <c r="Q988" s="23">
        <f t="shared" si="1"/>
        <v>1420.28</v>
      </c>
      <c r="R988" s="22">
        <f t="shared" si="2"/>
        <v>4</v>
      </c>
      <c r="S988" s="23">
        <f t="shared" si="3"/>
        <v>5681.12</v>
      </c>
      <c r="T988" s="22" t="str">
        <f>IFERROR(__xludf.DUMMYFUNCTION("PROPER(TRIM(
  LET(
    texto1, REGEXREPLACE(G988,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"),"Alejandra Nájera Miramontes")</f>
        <v>Alejandra Nájera Miramontes</v>
      </c>
      <c r="U988" s="22" t="str">
        <f t="shared" si="4"/>
        <v>38daf333-0f89-435f-9b2d-a6d639ff33df</v>
      </c>
      <c r="V988" s="24" t="str">
        <f t="shared" si="5"/>
        <v>Teléfono Gama alta 32GB</v>
      </c>
    </row>
    <row r="989" ht="15.75" customHeight="1">
      <c r="A989" s="6">
        <v>45640.0</v>
      </c>
      <c r="B989" s="2" t="s">
        <v>50</v>
      </c>
      <c r="C989" s="2" t="s">
        <v>226</v>
      </c>
      <c r="D989" s="7">
        <v>1939.56</v>
      </c>
      <c r="E989" s="2">
        <v>5.0</v>
      </c>
      <c r="F989" s="7">
        <v>9697.8</v>
      </c>
      <c r="G989" s="2" t="s">
        <v>3275</v>
      </c>
      <c r="H989" s="2" t="s">
        <v>3276</v>
      </c>
      <c r="I989" s="2" t="s">
        <v>3277</v>
      </c>
      <c r="K989" s="25" t="str">
        <f>IFERROR(__xludf.DUMMYFUNCTION("IF(ISBLANK(A989),
  """",
  IF(ISNUMBER(A989),
    TEXT(A989,""dd/mm/yyyy""),
    IF(
      REGEXMATCH(TRIM(A989),""^\d{1,2}/\d{1,2}/\d{4}$""),
      TRIM(A989),
      IFERROR(
        TEXT(DATEVALUE(SUBSTITUTE(SUBSTITUTE(TRIM(A989),""-"",""/""),""."",""/"&amp;""")),""dd/mm/yyyy""),
        TRIM(A989)
      )
    )
  )
)
"),"14/12/2024")</f>
        <v>14/12/2024</v>
      </c>
      <c r="L989" s="26">
        <v>45640.0</v>
      </c>
      <c r="M989" s="27" t="str">
        <f>IFERROR(__xludf.DUMMYFUNCTION("PROPER(TRIM(
  REGEXREPLACE(
    REGEXREPLACE(
      SUBSTITUTE(SUBSTITUTE(SUBSTITUTE(SUBSTITUTE(SUBSTITUTE(SUBSTITUTE(SUBSTITUTE(SUBSTITUTE(SUBSTITUTE(SUBSTITUTE(SUBSTITUTE(
        B989,""√©"",""é""),""√°"",""á""),""√±"",""ñ""),""√≥"",""ó""),""√â"",""é"&amp;"""),""√Å"",""á""),""√ç"",""í""),""√Ç"",""Í""),""√Â"",""é""),""√≠"",""í""),""√º"",""ú""),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89" s="28" t="str">
        <f>IFERROR(__xludf.DUMMYFUNCTION("SPLIT(
  TRIM(
    SUBSTITUTE(
      SUBSTITUTE(
        SUBSTITUTE(
          SUBSTITUTE(
            C989,
            ""√©"", ""é""
          ),
          ""√±"", ""ñ""
        ),
        ""√°"", ""á""
      ),
      ""√≥"", ""ó""
    )
  ),
  ""-""
)
"),"Tablet")</f>
        <v>Tablet</v>
      </c>
      <c r="O989" s="28" t="str">
        <f>IFERROR(__xludf.DUMMYFUNCTION("""COMPUTED_VALUE"""),"Mini")</f>
        <v>Mini</v>
      </c>
      <c r="P989" s="28" t="str">
        <f>IFERROR(__xludf.DUMMYFUNCTION("""COMPUTED_VALUE"""),"16GB")</f>
        <v>16GB</v>
      </c>
      <c r="Q989" s="29">
        <f t="shared" si="1"/>
        <v>1939.56</v>
      </c>
      <c r="R989" s="28">
        <f t="shared" si="2"/>
        <v>5</v>
      </c>
      <c r="S989" s="29">
        <f t="shared" si="3"/>
        <v>9697.8</v>
      </c>
      <c r="T989" s="28" t="str">
        <f>IFERROR(__xludf.DUMMYFUNCTION("PROPER(TRIM(
  LET(
    texto1, REGEXREPLACE(G989,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"),"Jonás Peña")</f>
        <v>Jonás Peña</v>
      </c>
      <c r="U989" s="28" t="str">
        <f t="shared" si="4"/>
        <v>71b6157e-f3ed-4bd0-83ed-fc382c96bff0</v>
      </c>
      <c r="V989" s="30" t="str">
        <f t="shared" si="5"/>
        <v>Tablet Mini 16GB</v>
      </c>
    </row>
    <row r="990" ht="15.75" customHeight="1">
      <c r="A990" s="6">
        <v>45621.0</v>
      </c>
      <c r="B990" s="2" t="s">
        <v>50</v>
      </c>
      <c r="C990" s="2" t="s">
        <v>17</v>
      </c>
      <c r="D990" s="7">
        <v>1438.41</v>
      </c>
      <c r="E990" s="2">
        <v>4.0</v>
      </c>
      <c r="F990" s="7">
        <v>5753.64</v>
      </c>
      <c r="G990" s="2" t="s">
        <v>3278</v>
      </c>
      <c r="H990" s="2" t="s">
        <v>3279</v>
      </c>
      <c r="I990" s="2" t="s">
        <v>3280</v>
      </c>
      <c r="K990" s="19" t="str">
        <f>IFERROR(__xludf.DUMMYFUNCTION("IF(ISBLANK(A990),
  """",
  IF(ISNUMBER(A990),
    TEXT(A990,""dd/mm/yyyy""),
    IF(
      REGEXMATCH(TRIM(A990),""^\d{1,2}/\d{1,2}/\d{4}$""),
      TRIM(A990),
      IFERROR(
        TEXT(DATEVALUE(SUBSTITUTE(SUBSTITUTE(TRIM(A990),""-"",""/""),""."",""/"&amp;""")),""dd/mm/yyyy""),
        TRIM(A990)
      )
    )
  )
)
"),"25/11/2024")</f>
        <v>25/11/2024</v>
      </c>
      <c r="L990" s="20">
        <v>45621.0</v>
      </c>
      <c r="M990" s="21" t="str">
        <f>IFERROR(__xludf.DUMMYFUNCTION("PROPER(TRIM(
  REGEXREPLACE(
    REGEXREPLACE(
      SUBSTITUTE(SUBSTITUTE(SUBSTITUTE(SUBSTITUTE(SUBSTITUTE(SUBSTITUTE(SUBSTITUTE(SUBSTITUTE(SUBSTITUTE(SUBSTITUTE(SUBSTITUTE(
        B990,""√©"",""é""),""√°"",""á""),""√±"",""ñ""),""√≥"",""ó""),""√â"",""é"&amp;"""),""√Å"",""á""),""√ç"",""í""),""√Ç"",""Í""),""√Â"",""é""),""√≠"",""í""),""√º"",""ú""),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90" s="22" t="str">
        <f>IFERROR(__xludf.DUMMYFUNCTION("SPLIT(
  TRIM(
    SUBSTITUTE(
      SUBSTITUTE(
        SUBSTITUTE(
          SUBSTITUTE(
            C990,
            ""√©"", ""é""
          ),
          ""√±"", ""ñ""
        ),
        ""√°"", ""á""
      ),
      ""√≥"", ""ó""
    )
  ),
  ""-""
)
"),"Auriculares")</f>
        <v>Auriculares</v>
      </c>
      <c r="O990" s="22" t="str">
        <f>IFERROR(__xludf.DUMMYFUNCTION("""COMPUTED_VALUE"""),"Bluetooth")</f>
        <v>Bluetooth</v>
      </c>
      <c r="P990" s="22" t="str">
        <f>IFERROR(__xludf.DUMMYFUNCTION("""COMPUTED_VALUE"""),"8GB")</f>
        <v>8GB</v>
      </c>
      <c r="Q990" s="23">
        <f t="shared" si="1"/>
        <v>1438.41</v>
      </c>
      <c r="R990" s="22">
        <f t="shared" si="2"/>
        <v>4</v>
      </c>
      <c r="S990" s="23">
        <f t="shared" si="3"/>
        <v>5753.64</v>
      </c>
      <c r="T990" s="22" t="str">
        <f>IFERROR(__xludf.DUMMYFUNCTION("PROPER(TRIM(
  LET(
    texto1, REGEXREPLACE(G990,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"),"Abril Rolando Cardona")</f>
        <v>Abril Rolando Cardona</v>
      </c>
      <c r="U990" s="22" t="str">
        <f t="shared" si="4"/>
        <v>1e7c8a1d-abaf-4fac-be1b-22c8312a6026</v>
      </c>
      <c r="V990" s="24" t="str">
        <f t="shared" si="5"/>
        <v>Auriculares Bluetooth 8GB</v>
      </c>
    </row>
    <row r="991" ht="15.75" customHeight="1">
      <c r="A991" s="6">
        <v>45641.0</v>
      </c>
      <c r="B991" s="2" t="s">
        <v>50</v>
      </c>
      <c r="C991" s="2" t="s">
        <v>500</v>
      </c>
      <c r="D991" s="7">
        <v>1423.68</v>
      </c>
      <c r="E991" s="2">
        <v>1.0</v>
      </c>
      <c r="F991" s="7">
        <v>1423.68</v>
      </c>
      <c r="G991" s="2" t="s">
        <v>3281</v>
      </c>
      <c r="H991" s="2" t="s">
        <v>3282</v>
      </c>
      <c r="I991" s="2" t="s">
        <v>3283</v>
      </c>
      <c r="K991" s="25" t="str">
        <f>IFERROR(__xludf.DUMMYFUNCTION("IF(ISBLANK(A991),
  """",
  IF(ISNUMBER(A991),
    TEXT(A991,""dd/mm/yyyy""),
    IF(
      REGEXMATCH(TRIM(A991),""^\d{1,2}/\d{1,2}/\d{4}$""),
      TRIM(A991),
      IFERROR(
        TEXT(DATEVALUE(SUBSTITUTE(SUBSTITUTE(TRIM(A991),""-"",""/""),""."",""/"&amp;""")),""dd/mm/yyyy""),
        TRIM(A991)
      )
    )
  )
)
"),"15/12/2024")</f>
        <v>15/12/2024</v>
      </c>
      <c r="L991" s="26">
        <v>45641.0</v>
      </c>
      <c r="M991" s="27" t="str">
        <f>IFERROR(__xludf.DUMMYFUNCTION("PROPER(TRIM(
  REGEXREPLACE(
    REGEXREPLACE(
      SUBSTITUTE(SUBSTITUTE(SUBSTITUTE(SUBSTITUTE(SUBSTITUTE(SUBSTITUTE(SUBSTITUTE(SUBSTITUTE(SUBSTITUTE(SUBSTITUTE(SUBSTITUTE(
        B991,""√©"",""é""),""√°"",""á""),""√±"",""ñ""),""√≥"",""ó""),""√â"",""é"&amp;"""),""√Å"",""á""),""√ç"",""í""),""√Ç"",""Í""),""√Â"",""é""),""√≠"",""í""),""√º"",""ú""),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91" s="28" t="str">
        <f>IFERROR(__xludf.DUMMYFUNCTION("SPLIT(
  TRIM(
    SUBSTITUTE(
      SUBSTITUTE(
        SUBSTITUTE(
          SUBSTITUTE(
            C991,
            ""√©"", ""é""
          ),
          ""√±"", ""ñ""
        ),
        ""√°"", ""á""
      ),
      ""√≥"", ""ó""
    )
  ),
  ""-""
)
"),"Teléfono")</f>
        <v>Teléfono</v>
      </c>
      <c r="O991" s="28" t="str">
        <f>IFERROR(__xludf.DUMMYFUNCTION("""COMPUTED_VALUE"""),"Gama alta")</f>
        <v>Gama alta</v>
      </c>
      <c r="P991" s="28" t="str">
        <f>IFERROR(__xludf.DUMMYFUNCTION("""COMPUTED_VALUE"""),"32GB")</f>
        <v>32GB</v>
      </c>
      <c r="Q991" s="29">
        <f t="shared" si="1"/>
        <v>1423.68</v>
      </c>
      <c r="R991" s="28">
        <f t="shared" si="2"/>
        <v>1</v>
      </c>
      <c r="S991" s="29">
        <f t="shared" si="3"/>
        <v>1423.68</v>
      </c>
      <c r="T991" s="28" t="str">
        <f>IFERROR(__xludf.DUMMYFUNCTION("PROPER(TRIM(
  LET(
    texto1, REGEXREPLACE(G991,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"),"Gabriela Aida Chapa")</f>
        <v>Gabriela Aida Chapa</v>
      </c>
      <c r="U991" s="28" t="str">
        <f t="shared" si="4"/>
        <v>b343399a-8398-43c0-a157-92dd7a44f5c7</v>
      </c>
      <c r="V991" s="30" t="str">
        <f t="shared" si="5"/>
        <v>Teléfono Gama alta 32GB</v>
      </c>
    </row>
    <row r="992" ht="15.75" customHeight="1">
      <c r="A992" s="36">
        <v>45485.0</v>
      </c>
      <c r="B992" s="2" t="s">
        <v>16</v>
      </c>
      <c r="C992" s="2" t="s">
        <v>508</v>
      </c>
      <c r="D992" s="7">
        <v>419.85</v>
      </c>
      <c r="E992" s="2">
        <v>1.0</v>
      </c>
      <c r="F992" s="7">
        <v>419.85</v>
      </c>
      <c r="G992" s="2" t="s">
        <v>3284</v>
      </c>
      <c r="H992" s="2" t="s">
        <v>3285</v>
      </c>
      <c r="I992" s="2" t="s">
        <v>3286</v>
      </c>
      <c r="K992" s="19" t="str">
        <f>IFERROR(__xludf.DUMMYFUNCTION("IF(ISBLANK(A992),
  """",
  IF(ISNUMBER(A992),
    TEXT(A992,""dd/mm/yyyy""),
    IF(
      REGEXMATCH(TRIM(A992),""^\d{1,2}/\d{1,2}/\d{4}$""),
      TRIM(A992),
      IFERROR(
        TEXT(DATEVALUE(SUBSTITUTE(SUBSTITUTE(TRIM(A992),""-"",""/""),""."",""/"&amp;""")),""dd/mm/yyyy""),
        TRIM(A992)
      )
    )
  )
)
"),"12/07/2024")</f>
        <v>12/07/2024</v>
      </c>
      <c r="L992" s="20">
        <v>45485.0</v>
      </c>
      <c r="M992" s="21" t="str">
        <f>IFERROR(__xludf.DUMMYFUNCTION("PROPER(TRIM(
  REGEXREPLACE(
    REGEXREPLACE(
      SUBSTITUTE(SUBSTITUTE(SUBSTITUTE(SUBSTITUTE(SUBSTITUTE(SUBSTITUTE(SUBSTITUTE(SUBSTITUTE(SUBSTITUTE(SUBSTITUTE(SUBSTITUTE(
        B992,""√©"",""é""),""√°"",""á""),""√±"",""ñ""),""√≥"",""ó""),""√â"",""é"&amp;"""),""√Å"",""á""),""√ç"",""í""),""√Ç"",""Í""),""√Â"",""é""),""√≠"",""í""),""√º"",""ú""),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92" s="22" t="str">
        <f>IFERROR(__xludf.DUMMYFUNCTION("SPLIT(
  TRIM(
    SUBSTITUTE(
      SUBSTITUTE(
        SUBSTITUTE(
          SUBSTITUTE(
            C992,
            ""√©"", ""é""
          ),
          ""√±"", ""ñ""
        ),
        ""√°"", ""á""
      ),
      ""√≥"", ""ó""
    )
  ),
  ""-""
)
"),"Auriculares")</f>
        <v>Auriculares</v>
      </c>
      <c r="O992" s="22" t="str">
        <f>IFERROR(__xludf.DUMMYFUNCTION("""COMPUTED_VALUE"""),"Cancelación de ruido")</f>
        <v>Cancelación de ruido</v>
      </c>
      <c r="P992" s="22" t="str">
        <f>IFERROR(__xludf.DUMMYFUNCTION("""COMPUTED_VALUE"""),"16GB")</f>
        <v>16GB</v>
      </c>
      <c r="Q992" s="23">
        <f t="shared" si="1"/>
        <v>419.85</v>
      </c>
      <c r="R992" s="22">
        <f t="shared" si="2"/>
        <v>1</v>
      </c>
      <c r="S992" s="23">
        <f t="shared" si="3"/>
        <v>419.85</v>
      </c>
      <c r="T992" s="22" t="str">
        <f>IFERROR(__xludf.DUMMYFUNCTION("PROPER(TRIM(
  LET(
    texto1, REGEXREPLACE(G992,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"),"Guillermina Guajardo Griego")</f>
        <v>Guillermina Guajardo Griego</v>
      </c>
      <c r="U992" s="22" t="str">
        <f t="shared" si="4"/>
        <v>0df64a43-b0b9-4928-8b22-58438782855d</v>
      </c>
      <c r="V992" s="24" t="str">
        <f t="shared" si="5"/>
        <v>Auriculares Cancelación de ruido 16GB</v>
      </c>
    </row>
    <row r="993" ht="15.75" customHeight="1">
      <c r="A993" s="6">
        <v>45613.0</v>
      </c>
      <c r="B993" s="2" t="s">
        <v>50</v>
      </c>
      <c r="C993" s="2" t="s">
        <v>201</v>
      </c>
      <c r="D993" s="7">
        <v>877.11</v>
      </c>
      <c r="E993" s="2">
        <v>1.0</v>
      </c>
      <c r="F993" s="7">
        <v>877.11</v>
      </c>
      <c r="G993" s="2" t="s">
        <v>3287</v>
      </c>
      <c r="H993" s="2" t="s">
        <v>3288</v>
      </c>
      <c r="I993" s="2" t="s">
        <v>3289</v>
      </c>
      <c r="K993" s="25" t="str">
        <f>IFERROR(__xludf.DUMMYFUNCTION("IF(ISBLANK(A993),
  """",
  IF(ISNUMBER(A993),
    TEXT(A993,""dd/mm/yyyy""),
    IF(
      REGEXMATCH(TRIM(A993),""^\d{1,2}/\d{1,2}/\d{4}$""),
      TRIM(A993),
      IFERROR(
        TEXT(DATEVALUE(SUBSTITUTE(SUBSTITUTE(TRIM(A993),""-"",""/""),""."",""/"&amp;""")),""dd/mm/yyyy""),
        TRIM(A993)
      )
    )
  )
)
"),"17/11/2024")</f>
        <v>17/11/2024</v>
      </c>
      <c r="L993" s="26">
        <v>45613.0</v>
      </c>
      <c r="M993" s="27" t="str">
        <f>IFERROR(__xludf.DUMMYFUNCTION("PROPER(TRIM(
  REGEXREPLACE(
    REGEXREPLACE(
      SUBSTITUTE(SUBSTITUTE(SUBSTITUTE(SUBSTITUTE(SUBSTITUTE(SUBSTITUTE(SUBSTITUTE(SUBSTITUTE(SUBSTITUTE(SUBSTITUTE(SUBSTITUTE(
        B993,""√©"",""é""),""√°"",""á""),""√±"",""ñ""),""√≥"",""ó""),""√â"",""é"&amp;"""),""√Å"",""á""),""√ç"",""í""),""√Ç"",""Í""),""√Â"",""é""),""√≠"",""í""),""√º"",""ú""),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93" s="28" t="str">
        <f>IFERROR(__xludf.DUMMYFUNCTION("SPLIT(
  TRIM(
    SUBSTITUTE(
      SUBSTITUTE(
        SUBSTITUTE(
          SUBSTITUTE(
            C993,
            ""√©"", ""é""
          ),
          ""√±"", ""ñ""
        ),
        ""√°"", ""á""
      ),
      ""√≥"", ""ó""
    )
  ),
  ""-""
)
"),"Laptop")</f>
        <v>Laptop</v>
      </c>
      <c r="O993" s="28" t="str">
        <f>IFERROR(__xludf.DUMMYFUNCTION("""COMPUTED_VALUE"""),"Gaming")</f>
        <v>Gaming</v>
      </c>
      <c r="P993" s="28" t="str">
        <f>IFERROR(__xludf.DUMMYFUNCTION("""COMPUTED_VALUE"""),"4GB")</f>
        <v>4GB</v>
      </c>
      <c r="Q993" s="29">
        <f t="shared" si="1"/>
        <v>877.11</v>
      </c>
      <c r="R993" s="28">
        <f t="shared" si="2"/>
        <v>1</v>
      </c>
      <c r="S993" s="29">
        <f t="shared" si="3"/>
        <v>877.11</v>
      </c>
      <c r="T993" s="28" t="str">
        <f>IFERROR(__xludf.DUMMYFUNCTION("PROPER(TRIM(
  LET(
    texto1, REGEXREPLACE(G993,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"),"Olga Merino Benavides")</f>
        <v>Olga Merino Benavides</v>
      </c>
      <c r="U993" s="28" t="str">
        <f t="shared" si="4"/>
        <v>3d80365e-3ca4-4c40-b7b5-8655955878bf</v>
      </c>
      <c r="V993" s="30" t="str">
        <f t="shared" si="5"/>
        <v>Laptop Gaming 4GB</v>
      </c>
    </row>
    <row r="994" ht="15.75" customHeight="1">
      <c r="A994" s="6" t="s">
        <v>3290</v>
      </c>
      <c r="B994" s="2" t="s">
        <v>16</v>
      </c>
      <c r="C994" s="2" t="s">
        <v>385</v>
      </c>
      <c r="D994" s="7">
        <v>2260.99</v>
      </c>
      <c r="E994" s="2">
        <v>2.0</v>
      </c>
      <c r="F994" s="7">
        <v>4521.98</v>
      </c>
      <c r="G994" s="2" t="s">
        <v>3291</v>
      </c>
      <c r="H994" s="2" t="s">
        <v>3292</v>
      </c>
      <c r="I994" s="2" t="s">
        <v>3293</v>
      </c>
      <c r="K994" s="19" t="str">
        <f>IFERROR(__xludf.DUMMYFUNCTION("IF(ISBLANK(A994),
  """",
  IF(ISNUMBER(A994),
    TEXT(A994,""dd/mm/yyyy""),
    IF(
      REGEXMATCH(TRIM(A994),""^\d{1,2}/\d{1,2}/\d{4}$""),
      TRIM(A994),
      IFERROR(
        TEXT(DATEVALUE(SUBSTITUTE(SUBSTITUTE(TRIM(A994),""-"",""/""),""."",""/"&amp;""")),""dd/mm/yyyy""),
        TRIM(A994)
      )
    )
  )
)
"),"16/16/2024")</f>
        <v>16/16/2024</v>
      </c>
      <c r="L994" s="20" t="s">
        <v>3290</v>
      </c>
      <c r="M994" s="21" t="str">
        <f>IFERROR(__xludf.DUMMYFUNCTION("PROPER(TRIM(
  REGEXREPLACE(
    REGEXREPLACE(
      SUBSTITUTE(SUBSTITUTE(SUBSTITUTE(SUBSTITUTE(SUBSTITUTE(SUBSTITUTE(SUBSTITUTE(SUBSTITUTE(SUBSTITUTE(SUBSTITUTE(SUBSTITUTE(
        B994,""√©"",""é""),""√°"",""á""),""√±"",""ñ""),""√≥"",""ó""),""√â"",""é"&amp;"""),""√Å"",""á""),""√ç"",""í""),""√Ç"",""Í""),""√Â"",""é""),""√≠"",""í""),""√º"",""ú""),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94" s="22" t="str">
        <f>IFERROR(__xludf.DUMMYFUNCTION("SPLIT(
  TRIM(
    SUBSTITUTE(
      SUBSTITUTE(
        SUBSTITUTE(
          SUBSTITUTE(
            C994,
            ""√©"", ""é""
          ),
          ""√±"", ""ñ""
        ),
        ""√°"", ""á""
      ),
      ""√≥"", ""ó""
    )
  ),
  ""-""
)
"),"Tablet")</f>
        <v>Tablet</v>
      </c>
      <c r="O994" s="22" t="str">
        <f>IFERROR(__xludf.DUMMYFUNCTION("""COMPUTED_VALUE"""),"Estándar")</f>
        <v>Estándar</v>
      </c>
      <c r="P994" s="22" t="str">
        <f>IFERROR(__xludf.DUMMYFUNCTION("""COMPUTED_VALUE"""),"32GB")</f>
        <v>32GB</v>
      </c>
      <c r="Q994" s="23">
        <f t="shared" si="1"/>
        <v>2260.99</v>
      </c>
      <c r="R994" s="22">
        <f t="shared" si="2"/>
        <v>2</v>
      </c>
      <c r="S994" s="23">
        <f t="shared" si="3"/>
        <v>4521.98</v>
      </c>
      <c r="T994" s="22" t="str">
        <f>IFERROR(__xludf.DUMMYFUNCTION("PROPER(TRIM(
  LET(
    texto1, REGEXREPLACE(G994,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"),"Florencia Jaramillo")</f>
        <v>Florencia Jaramillo</v>
      </c>
      <c r="U994" s="22" t="str">
        <f t="shared" si="4"/>
        <v>8f0f8ae1-20a3-4c9d-b76d-f1ebaf765b63</v>
      </c>
      <c r="V994" s="24" t="str">
        <f t="shared" si="5"/>
        <v>Tablet Estándar 32GB</v>
      </c>
    </row>
    <row r="995" ht="15.75" customHeight="1">
      <c r="A995" s="6">
        <v>45596.0</v>
      </c>
      <c r="B995" s="2" t="s">
        <v>27</v>
      </c>
      <c r="C995" s="2" t="s">
        <v>70</v>
      </c>
      <c r="D995" s="7">
        <v>273.01</v>
      </c>
      <c r="E995" s="2">
        <v>1.0</v>
      </c>
      <c r="F995" s="7">
        <v>273.01</v>
      </c>
      <c r="G995" s="2" t="s">
        <v>3294</v>
      </c>
      <c r="H995" s="2" t="s">
        <v>3295</v>
      </c>
      <c r="I995" s="2" t="s">
        <v>3296</v>
      </c>
      <c r="K995" s="25" t="str">
        <f>IFERROR(__xludf.DUMMYFUNCTION("IF(ISBLANK(A995),
  """",
  IF(ISNUMBER(A995),
    TEXT(A995,""dd/mm/yyyy""),
    IF(
      REGEXMATCH(TRIM(A995),""^\d{1,2}/\d{1,2}/\d{4}$""),
      TRIM(A995),
      IFERROR(
        TEXT(DATEVALUE(SUBSTITUTE(SUBSTITUTE(TRIM(A995),""-"",""/""),""."",""/"&amp;""")),""dd/mm/yyyy""),
        TRIM(A995)
      )
    )
  )
)
"),"31/10/2024")</f>
        <v>31/10/2024</v>
      </c>
      <c r="L995" s="26">
        <v>45596.0</v>
      </c>
      <c r="M995" s="27" t="str">
        <f>IFERROR(__xludf.DUMMYFUNCTION("PROPER(TRIM(
  REGEXREPLACE(
    REGEXREPLACE(
      SUBSTITUTE(SUBSTITUTE(SUBSTITUTE(SUBSTITUTE(SUBSTITUTE(SUBSTITUTE(SUBSTITUTE(SUBSTITUTE(SUBSTITUTE(SUBSTITUTE(SUBSTITUTE(
        B995,""√©"",""é""),""√°"",""á""),""√±"",""ñ""),""√≥"",""ó""),""√â"",""é"&amp;"""),""√Å"",""á""),""√ç"",""í""),""√Ç"",""Í""),""√Â"",""é""),""√≠"",""í""),""√º"",""ú""),
      ""[,\\.√]"",""""),
    ""\\s+"","" "")
))
"),"Medellín")</f>
        <v>Medellín</v>
      </c>
      <c r="N995" s="28" t="str">
        <f>IFERROR(__xludf.DUMMYFUNCTION("SPLIT(
  TRIM(
    SUBSTITUTE(
      SUBSTITUTE(
        SUBSTITUTE(
          SUBSTITUTE(
            C995,
            ""√©"", ""é""
          ),
          ""√±"", ""ñ""
        ),
        ""√°"", ""á""
      ),
      ""√≥"", ""ó""
    )
  ),
  ""-""
)
"),"Auriculares")</f>
        <v>Auriculares</v>
      </c>
      <c r="O995" s="28" t="str">
        <f>IFERROR(__xludf.DUMMYFUNCTION("""COMPUTED_VALUE"""),"Con cable")</f>
        <v>Con cable</v>
      </c>
      <c r="P995" s="28" t="str">
        <f>IFERROR(__xludf.DUMMYFUNCTION("""COMPUTED_VALUE"""),"16GB")</f>
        <v>16GB</v>
      </c>
      <c r="Q995" s="29">
        <f t="shared" si="1"/>
        <v>273.01</v>
      </c>
      <c r="R995" s="28">
        <f t="shared" si="2"/>
        <v>1</v>
      </c>
      <c r="S995" s="29">
        <f t="shared" si="3"/>
        <v>273.01</v>
      </c>
      <c r="T995" s="28" t="str">
        <f>IFERROR(__xludf.DUMMYFUNCTION("PROPER(TRIM(
  LET(
    texto1, REGEXREPLACE(G995,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"),"Ángel Aldo Tello Noriega")</f>
        <v>Ángel Aldo Tello Noriega</v>
      </c>
      <c r="U995" s="28" t="str">
        <f t="shared" si="4"/>
        <v>60961cdf-09a7-4a32-8c6c-2d05f517439d</v>
      </c>
      <c r="V995" s="30" t="str">
        <f t="shared" si="5"/>
        <v>Auriculares Con cable 16GB</v>
      </c>
    </row>
    <row r="996" ht="15.75" customHeight="1">
      <c r="A996" s="36">
        <v>45334.0</v>
      </c>
      <c r="B996" s="2" t="s">
        <v>38</v>
      </c>
      <c r="C996" s="2" t="s">
        <v>96</v>
      </c>
      <c r="D996" s="7">
        <v>1919.62</v>
      </c>
      <c r="E996" s="2">
        <v>2.0</v>
      </c>
      <c r="F996" s="7">
        <v>3839.24</v>
      </c>
      <c r="G996" s="2" t="s">
        <v>3297</v>
      </c>
      <c r="H996" s="2" t="s">
        <v>3298</v>
      </c>
      <c r="I996" s="2" t="s">
        <v>3299</v>
      </c>
      <c r="K996" s="19" t="str">
        <f>IFERROR(__xludf.DUMMYFUNCTION("IF(ISBLANK(A996),
  """",
  IF(ISNUMBER(A996),
    TEXT(A996,""dd/mm/yyyy""),
    IF(
      REGEXMATCH(TRIM(A996),""^\d{1,2}/\d{1,2}/\d{4}$""),
      TRIM(A996),
      IFERROR(
        TEXT(DATEVALUE(SUBSTITUTE(SUBSTITUTE(TRIM(A996),""-"",""/""),""."",""/"&amp;""")),""dd/mm/yyyy""),
        TRIM(A996)
      )
    )
  )
)
"),"12/02/2024")</f>
        <v>12/02/2024</v>
      </c>
      <c r="L996" s="20">
        <v>45334.0</v>
      </c>
      <c r="M996" s="21" t="str">
        <f>IFERROR(__xludf.DUMMYFUNCTION("PROPER(TRIM(
  REGEXREPLACE(
    REGEXREPLACE(
      SUBSTITUTE(SUBSTITUTE(SUBSTITUTE(SUBSTITUTE(SUBSTITUTE(SUBSTITUTE(SUBSTITUTE(SUBSTITUTE(SUBSTITUTE(SUBSTITUTE(SUBSTITUTE(
        B996,""√©"",""é""),""√°"",""á""),""√±"",""ñ""),""√≥"",""ó""),""√â"",""é"&amp;"""),""√Å"",""á""),""√ç"",""í""),""√Ç"",""Í""),""√Â"",""é""),""√≠"",""í""),""√º"",""ú""),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996" s="22" t="str">
        <f>IFERROR(__xludf.DUMMYFUNCTION("SPLIT(
  TRIM(
    SUBSTITUTE(
      SUBSTITUTE(
        SUBSTITUTE(
          SUBSTITUTE(
            C996,
            ""√©"", ""é""
          ),
          ""√±"", ""ñ""
        ),
        ""√°"", ""á""
      ),
      ""√≥"", ""ó""
    )
  ),
  ""-""
)
"),"Auriculares")</f>
        <v>Auriculares</v>
      </c>
      <c r="O996" s="22" t="str">
        <f>IFERROR(__xludf.DUMMYFUNCTION("""COMPUTED_VALUE"""),"Cancelación de ruido")</f>
        <v>Cancelación de ruido</v>
      </c>
      <c r="P996" s="22" t="str">
        <f>IFERROR(__xludf.DUMMYFUNCTION("""COMPUTED_VALUE"""),"4GB")</f>
        <v>4GB</v>
      </c>
      <c r="Q996" s="23">
        <f t="shared" si="1"/>
        <v>1919.62</v>
      </c>
      <c r="R996" s="22">
        <f t="shared" si="2"/>
        <v>2</v>
      </c>
      <c r="S996" s="23">
        <f t="shared" si="3"/>
        <v>3839.24</v>
      </c>
      <c r="T996" s="22" t="str">
        <f>IFERROR(__xludf.DUMMYFUNCTION("PROPER(TRIM(
  LET(
    texto1, REGEXREPLACE(G996,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"),"Timoteo Alvaro Lemus")</f>
        <v>Timoteo Alvaro Lemus</v>
      </c>
      <c r="U996" s="22" t="str">
        <f t="shared" si="4"/>
        <v>ba9d11bd-abcf-425b-a84b-aa0bb71654e0</v>
      </c>
      <c r="V996" s="24" t="str">
        <f t="shared" si="5"/>
        <v>Auriculares Cancelación de ruido 4GB</v>
      </c>
    </row>
    <row r="997" ht="15.75" customHeight="1">
      <c r="A997" s="6">
        <v>45646.0</v>
      </c>
      <c r="B997" s="2" t="s">
        <v>16</v>
      </c>
      <c r="C997" s="2" t="s">
        <v>452</v>
      </c>
      <c r="D997" s="7">
        <v>2077.18</v>
      </c>
      <c r="E997" s="2">
        <v>4.0</v>
      </c>
      <c r="F997" s="7">
        <v>8308.72</v>
      </c>
      <c r="G997" s="2" t="s">
        <v>3300</v>
      </c>
      <c r="H997" s="2" t="s">
        <v>3301</v>
      </c>
      <c r="I997" s="2" t="s">
        <v>3302</v>
      </c>
      <c r="K997" s="25" t="str">
        <f>IFERROR(__xludf.DUMMYFUNCTION("IF(ISBLANK(A997),
  """",
  IF(ISNUMBER(A997),
    TEXT(A997,""dd/mm/yyyy""),
    IF(
      REGEXMATCH(TRIM(A997),""^\d{1,2}/\d{1,2}/\d{4}$""),
      TRIM(A997),
      IFERROR(
        TEXT(DATEVALUE(SUBSTITUTE(SUBSTITUTE(TRIM(A997),""-"",""/""),""."",""/"&amp;""")),""dd/mm/yyyy""),
        TRIM(A997)
      )
    )
  )
)
"),"20/12/2024")</f>
        <v>20/12/2024</v>
      </c>
      <c r="L997" s="26">
        <v>45646.0</v>
      </c>
      <c r="M997" s="27" t="str">
        <f>IFERROR(__xludf.DUMMYFUNCTION("PROPER(TRIM(
  REGEXREPLACE(
    REGEXREPLACE(
      SUBSTITUTE(SUBSTITUTE(SUBSTITUTE(SUBSTITUTE(SUBSTITUTE(SUBSTITUTE(SUBSTITUTE(SUBSTITUTE(SUBSTITUTE(SUBSTITUTE(SUBSTITUTE(
        B997,""√©"",""é""),""√°"",""á""),""√±"",""ñ""),""√≥"",""ó""),""√â"",""é"&amp;"""),""√Å"",""á""),""√ç"",""í""),""√Ç"",""Í""),""√Â"",""é""),""√≠"",""í""),""√º"",""ú""),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97" s="28" t="str">
        <f>IFERROR(__xludf.DUMMYFUNCTION("SPLIT(
  TRIM(
    SUBSTITUTE(
      SUBSTITUTE(
        SUBSTITUTE(
          SUBSTITUTE(
            C997,
            ""√©"", ""é""
          ),
          ""√±"", ""ñ""
        ),
        ""√°"", ""á""
      ),
      ""√≥"", ""ó""
    )
  ),
  ""-""
)
"),"Teléfono")</f>
        <v>Teléfono</v>
      </c>
      <c r="O997" s="28" t="str">
        <f>IFERROR(__xludf.DUMMYFUNCTION("""COMPUTED_VALUE"""),"Gama media")</f>
        <v>Gama media</v>
      </c>
      <c r="P997" s="28" t="str">
        <f>IFERROR(__xludf.DUMMYFUNCTION("""COMPUTED_VALUE"""),"16GB")</f>
        <v>16GB</v>
      </c>
      <c r="Q997" s="29">
        <f t="shared" si="1"/>
        <v>2077.18</v>
      </c>
      <c r="R997" s="28">
        <f t="shared" si="2"/>
        <v>4</v>
      </c>
      <c r="S997" s="29">
        <f t="shared" si="3"/>
        <v>8308.72</v>
      </c>
      <c r="T997" s="28" t="str">
        <f>IFERROR(__xludf.DUMMYFUNCTION("PROPER(TRIM(
  LET(
    texto1, REGEXREPLACE(G997,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"),"Fabiola Galindo")</f>
        <v>Fabiola Galindo</v>
      </c>
      <c r="U997" s="28" t="str">
        <f t="shared" si="4"/>
        <v>a8b647c7-bcba-44a0-8e1a-6b49fad5f46a</v>
      </c>
      <c r="V997" s="30" t="str">
        <f t="shared" si="5"/>
        <v>Teléfono Gama media 16GB</v>
      </c>
    </row>
    <row r="998" ht="15.75" customHeight="1">
      <c r="A998" s="6">
        <v>45613.0</v>
      </c>
      <c r="B998" s="2" t="s">
        <v>50</v>
      </c>
      <c r="C998" s="2" t="s">
        <v>226</v>
      </c>
      <c r="D998" s="7">
        <v>304.68</v>
      </c>
      <c r="E998" s="2">
        <v>5.0</v>
      </c>
      <c r="F998" s="7">
        <v>1523.4</v>
      </c>
      <c r="G998" s="2" t="s">
        <v>3303</v>
      </c>
      <c r="H998" s="2" t="s">
        <v>3304</v>
      </c>
      <c r="I998" s="2" t="s">
        <v>3305</v>
      </c>
      <c r="K998" s="19" t="str">
        <f>IFERROR(__xludf.DUMMYFUNCTION("IF(ISBLANK(A998),
  """",
  IF(ISNUMBER(A998),
    TEXT(A998,""dd/mm/yyyy""),
    IF(
      REGEXMATCH(TRIM(A998),""^\d{1,2}/\d{1,2}/\d{4}$""),
      TRIM(A998),
      IFERROR(
        TEXT(DATEVALUE(SUBSTITUTE(SUBSTITUTE(TRIM(A998),""-"",""/""),""."",""/"&amp;""")),""dd/mm/yyyy""),
        TRIM(A998)
      )
    )
  )
)
"),"17/11/2024")</f>
        <v>17/11/2024</v>
      </c>
      <c r="L998" s="20">
        <v>45613.0</v>
      </c>
      <c r="M998" s="21" t="str">
        <f>IFERROR(__xludf.DUMMYFUNCTION("PROPER(TRIM(
  REGEXREPLACE(
    REGEXREPLACE(
      SUBSTITUTE(SUBSTITUTE(SUBSTITUTE(SUBSTITUTE(SUBSTITUTE(SUBSTITUTE(SUBSTITUTE(SUBSTITUTE(SUBSTITUTE(SUBSTITUTE(SUBSTITUTE(
        B998,""√©"",""é""),""√°"",""á""),""√±"",""ñ""),""√≥"",""ó""),""√â"",""é"&amp;"""),""√Å"",""á""),""√ç"",""í""),""√Ç"",""Í""),""√Â"",""é""),""√≠"",""í""),""√º"",""ú""),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998" s="22" t="str">
        <f>IFERROR(__xludf.DUMMYFUNCTION("SPLIT(
  TRIM(
    SUBSTITUTE(
      SUBSTITUTE(
        SUBSTITUTE(
          SUBSTITUTE(
            C998,
            ""√©"", ""é""
          ),
          ""√±"", ""ñ""
        ),
        ""√°"", ""á""
      ),
      ""√≥"", ""ó""
    )
  ),
  ""-""
)
"),"Tablet")</f>
        <v>Tablet</v>
      </c>
      <c r="O998" s="22" t="str">
        <f>IFERROR(__xludf.DUMMYFUNCTION("""COMPUTED_VALUE"""),"Mini")</f>
        <v>Mini</v>
      </c>
      <c r="P998" s="22" t="str">
        <f>IFERROR(__xludf.DUMMYFUNCTION("""COMPUTED_VALUE"""),"16GB")</f>
        <v>16GB</v>
      </c>
      <c r="Q998" s="23">
        <f t="shared" si="1"/>
        <v>304.68</v>
      </c>
      <c r="R998" s="22">
        <f t="shared" si="2"/>
        <v>5</v>
      </c>
      <c r="S998" s="23">
        <f t="shared" si="3"/>
        <v>1523.4</v>
      </c>
      <c r="T998" s="22" t="str">
        <f>IFERROR(__xludf.DUMMYFUNCTION("PROPER(TRIM(
  LET(
    texto1, REGEXREPLACE(G998,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"),"Cristina Alejandro")</f>
        <v>Cristina Alejandro</v>
      </c>
      <c r="U998" s="22" t="str">
        <f t="shared" si="4"/>
        <v>df1772a5-47bc-4e80-a07f-cca86b2ebcdc</v>
      </c>
      <c r="V998" s="24" t="str">
        <f t="shared" si="5"/>
        <v>Tablet Mini 16GB</v>
      </c>
    </row>
    <row r="999" ht="15.75" customHeight="1">
      <c r="A999" s="6">
        <v>45579.0</v>
      </c>
      <c r="B999" s="2" t="s">
        <v>16</v>
      </c>
      <c r="C999" s="2" t="s">
        <v>348</v>
      </c>
      <c r="D999" s="7">
        <v>1838.04</v>
      </c>
      <c r="E999" s="2">
        <v>4.0</v>
      </c>
      <c r="F999" s="7">
        <v>7352.16</v>
      </c>
      <c r="G999" s="2" t="s">
        <v>3306</v>
      </c>
      <c r="H999" s="2" t="s">
        <v>3307</v>
      </c>
      <c r="I999" s="2" t="s">
        <v>3308</v>
      </c>
      <c r="K999" s="25" t="str">
        <f>IFERROR(__xludf.DUMMYFUNCTION("IF(ISBLANK(A999),
  """",
  IF(ISNUMBER(A999),
    TEXT(A999,""dd/mm/yyyy""),
    IF(
      REGEXMATCH(TRIM(A999),""^\d{1,2}/\d{1,2}/\d{4}$""),
      TRIM(A999),
      IFERROR(
        TEXT(DATEVALUE(SUBSTITUTE(SUBSTITUTE(TRIM(A999),""-"",""/""),""."",""/"&amp;""")),""dd/mm/yyyy""),
        TRIM(A999)
      )
    )
  )
)
"),"14/10/2024")</f>
        <v>14/10/2024</v>
      </c>
      <c r="L999" s="26">
        <v>45579.0</v>
      </c>
      <c r="M999" s="27" t="str">
        <f>IFERROR(__xludf.DUMMYFUNCTION("PROPER(TRIM(
  REGEXREPLACE(
    REGEXREPLACE(
      SUBSTITUTE(SUBSTITUTE(SUBSTITUTE(SUBSTITUTE(SUBSTITUTE(SUBSTITUTE(SUBSTITUTE(SUBSTITUTE(SUBSTITUTE(SUBSTITUTE(SUBSTITUTE(
        B999,""√©"",""é""),""√°"",""á""),""√±"",""ñ""),""√≥"",""ó""),""√â"",""é"&amp;"""),""√Å"",""á""),""√ç"",""í""),""√Ç"",""Í""),""√Â"",""é""),""√≠"",""í""),""√º"",""ú""),
      ""[,\\.√]"",""""),
    ""\\s+"","" "")
))
"),"Bogotá")</f>
        <v>Bogotá</v>
      </c>
      <c r="N999" s="28" t="str">
        <f>IFERROR(__xludf.DUMMYFUNCTION("SPLIT(
  TRIM(
    SUBSTITUTE(
      SUBSTITUTE(
        SUBSTITUTE(
          SUBSTITUTE(
            C999,
            ""√©"", ""é""
          ),
          ""√±"", ""ñ""
        ),
        ""√°"", ""á""
      ),
      ""√≥"", ""ó""
    )
  ),
  ""-""
)
"),"Teléfono")</f>
        <v>Teléfono</v>
      </c>
      <c r="O999" s="28" t="str">
        <f>IFERROR(__xludf.DUMMYFUNCTION("""COMPUTED_VALUE"""),"Gama media")</f>
        <v>Gama media</v>
      </c>
      <c r="P999" s="28" t="str">
        <f>IFERROR(__xludf.DUMMYFUNCTION("""COMPUTED_VALUE"""),"8GB")</f>
        <v>8GB</v>
      </c>
      <c r="Q999" s="29">
        <f t="shared" si="1"/>
        <v>1838.04</v>
      </c>
      <c r="R999" s="28">
        <f t="shared" si="2"/>
        <v>4</v>
      </c>
      <c r="S999" s="29">
        <f t="shared" si="3"/>
        <v>7352.16</v>
      </c>
      <c r="T999" s="28" t="str">
        <f>IFERROR(__xludf.DUMMYFUNCTION("PROPER(TRIM(
  LET(
    texto1, REGEXREPLACE(G999, ""(?i)\b(DR\.?|SRA?\.?|\(A\)|MTRO\.?|LIC\.?|ING\.?)\b"", """"),
    texto2, REGEXREPLACE(texto1, ""√©|√â|√Â"", ""é""),
    texto3, REGEXREPLACE(texto2, ""√°|√Å"", ""á""),
    texto4, REGEXREPLACE(texto3, "&amp;"""√±"",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REG"&amp;"EXREPLACE(texto8, ""^[A-Za-zÁÉÍÓÚÜÑáéíóúüñ]\s+"", """"),
    texto10, IF(REGEXMATCH(texto9, ""(?i)^\s*Jos\s*$""), ""José"", texto9),
    texto11, REGEXREPLACE(texto10, ""(?i)(eé|ée|ee|éé)+"", ""é""),
    texto12, REGEXREPLACE(texto11, ""(?i)(aá|áa|aa|áá)+"&amp;""", ""á""),
    texto13, REGEXREPLACE(texto12, ""(?i)(ií|íi|ii|íí)+"", ""í""),
    texto14, REGEXREPLACE(texto13, ""(?i)(oó|óo|oo|óó)+"", ""ó""),
    texto15, REGEXREPLACE(texto14, ""(?i)(uú|úu|uu|úú)+"", ""ú""),
    texto16, REGEXREPLACE(texto15, ""\s{2,"&amp;"}"", "" ""),
    texto16
  )
))
"),"Wendolin Fonseca")</f>
        <v>Wendolin Fonseca</v>
      </c>
      <c r="U999" s="28" t="str">
        <f t="shared" si="4"/>
        <v>fc8a05ee-e84e-44f7-96be-898033a352b4</v>
      </c>
      <c r="V999" s="30" t="str">
        <f t="shared" si="5"/>
        <v>Teléfono Gama media 8GB</v>
      </c>
    </row>
    <row r="1000" ht="15.75" customHeight="1">
      <c r="A1000" s="6">
        <v>45617.0</v>
      </c>
      <c r="B1000" s="2" t="s">
        <v>50</v>
      </c>
      <c r="C1000" s="2" t="s">
        <v>70</v>
      </c>
      <c r="D1000" s="7">
        <v>536.87</v>
      </c>
      <c r="E1000" s="2">
        <v>1.0</v>
      </c>
      <c r="F1000" s="7">
        <v>536.87</v>
      </c>
      <c r="G1000" s="2" t="s">
        <v>3309</v>
      </c>
      <c r="H1000" s="2" t="s">
        <v>3310</v>
      </c>
      <c r="I1000" s="2" t="s">
        <v>3311</v>
      </c>
      <c r="K1000" s="19" t="str">
        <f>IFERROR(__xludf.DUMMYFUNCTION("IF(ISBLANK(A1000),
  """",
  IF(ISNUMBER(A1000),
    TEXT(A1000,""dd/mm/yyyy""),
    IF(
      REGEXMATCH(TRIM(A1000),""^\d{1,2}/\d{1,2}/\d{4}$""),
      TRIM(A1000),
      IFERROR(
        TEXT(DATEVALUE(SUBSTITUTE(SUBSTITUTE(TRIM(A1000),""-"",""/""),""."&amp;""",""/"")),""dd/mm/yyyy""),
        TRIM(A1000)
      )
    )
  )
)
"),"21/11/2024")</f>
        <v>21/11/2024</v>
      </c>
      <c r="L1000" s="20">
        <v>45617.0</v>
      </c>
      <c r="M1000" s="21" t="str">
        <f>IFERROR(__xludf.DUMMYFUNCTION("PROPER(TRIM(
  REGEXREPLACE(
    REGEXREPLACE(
      SUBSTITUTE(SUBSTITUTE(SUBSTITUTE(SUBSTITUTE(SUBSTITUTE(SUBSTITUTE(SUBSTITUTE(SUBSTITUTE(SUBSTITUTE(SUBSTITUTE(SUBSTITUTE(
        B1000,""√©"",""é""),""√°"",""á""),""√±"",""ñ""),""√≥"",""ó""),""√â"",""é"&amp;"""),""√Å"",""á""),""√ç"",""í""),""√Ç"",""Í""),""√Â"",""é""),""√≠"",""í""),""√º"",""ú""),
      ""[,\\.√]"",""""),
    ""\\s+"","" "")
))
"),"Ciudad De México")</f>
        <v>Ciudad De México</v>
      </c>
      <c r="N1000" s="22" t="str">
        <f>IFERROR(__xludf.DUMMYFUNCTION("SPLIT(
  TRIM(
    SUBSTITUTE(
      SUBSTITUTE(
        SUBSTITUTE(
          SUBSTITUTE(
            C1000,
            ""√©"", ""é""
          ),
          ""√±"", ""ñ""
        ),
        ""√°"", ""á""
      ),
      ""√≥"", ""ó""
    )
  ),
  ""-""
)"&amp;"
"),"Auriculares")</f>
        <v>Auriculares</v>
      </c>
      <c r="O1000" s="22" t="str">
        <f>IFERROR(__xludf.DUMMYFUNCTION("""COMPUTED_VALUE"""),"Con cable")</f>
        <v>Con cable</v>
      </c>
      <c r="P1000" s="22" t="str">
        <f>IFERROR(__xludf.DUMMYFUNCTION("""COMPUTED_VALUE"""),"16GB")</f>
        <v>16GB</v>
      </c>
      <c r="Q1000" s="23">
        <f t="shared" si="1"/>
        <v>536.87</v>
      </c>
      <c r="R1000" s="22">
        <f t="shared" si="2"/>
        <v>1</v>
      </c>
      <c r="S1000" s="23">
        <f t="shared" si="3"/>
        <v>536.87</v>
      </c>
      <c r="T1000" s="22" t="str">
        <f>IFERROR(__xludf.DUMMYFUNCTION("PROPER(TRIM(
  LET(
    texto1, REGEXREPLACE(G1000, ""(?i)\b(DR\.?|SRA?\.?|\(A\)|MTRO\.?|LIC\.?|ING\.?)\b"", """"),
    texto2, REGEXREPLACE(texto1, ""√©|√â|√Â"", ""é""),
    texto3, REGEXREPLACE(texto2, ""√°|√Å"", ""á""),
    texto4, REGEXREPLACE(texto3,"&amp;" 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RE"&amp;"GEXREPLACE(texto8, ""^[A-Za-zÁÉÍÓÚÜÑáéíóúüñ]\s+"", """"),
    texto10, IF(REGEXMATCH(texto9, ""(?i)^\s*Jos\s*$""), ""José"", texto9),
    texto11, REGEXREPLACE(texto10, ""(?i)(eé|ée|ee|éé)+"", ""é""),
    texto12, REGEXREPLACE(texto11, ""(?i)(aá|áa|aa|áá)"&amp;"+"", ""á""),
    texto13, REGEXREPLACE(texto12, ""(?i)(ií|íi|ii|íí)+"", ""í""),
    texto14, REGEXREPLACE(texto13, ""(?i)(oó|óo|oo|óó)+"", ""ó""),
    texto15, REGEXREPLACE(texto14, ""(?i)(uú|úu|uu|úú)+"", ""ú""),
    texto16, REGEXREPLACE(texto15, ""\s{2"&amp;",}"", "" ""),
    texto16
  )
))
"),"Cristobal Villa")</f>
        <v>Cristobal Villa</v>
      </c>
      <c r="U1000" s="22" t="str">
        <f t="shared" si="4"/>
        <v>27c73c7b-510b-4161-81d3-83559a1ad5b1</v>
      </c>
      <c r="V1000" s="24" t="str">
        <f t="shared" si="5"/>
        <v>Auriculares Con cable 16GB</v>
      </c>
    </row>
    <row r="1001" ht="15.75" customHeight="1">
      <c r="A1001" s="6">
        <v>45610.0</v>
      </c>
      <c r="B1001" s="2" t="s">
        <v>38</v>
      </c>
      <c r="C1001" s="2" t="s">
        <v>45</v>
      </c>
      <c r="D1001" s="7">
        <v>1876.88</v>
      </c>
      <c r="E1001" s="2">
        <v>4.0</v>
      </c>
      <c r="F1001" s="7">
        <v>7507.52</v>
      </c>
      <c r="G1001" s="2" t="s">
        <v>3312</v>
      </c>
      <c r="H1001" s="2" t="s">
        <v>3313</v>
      </c>
      <c r="I1001" s="2" t="s">
        <v>3314</v>
      </c>
      <c r="K1001" s="25" t="str">
        <f>IFERROR(__xludf.DUMMYFUNCTION("IF(ISBLANK(A1001),
  """",
  IF(ISNUMBER(A1001),
    TEXT(A1001,""dd/mm/yyyy""),
    IF(
      REGEXMATCH(TRIM(A1001),""^\d{1,2}/\d{1,2}/\d{4}$""),
      TRIM(A1001),
      IFERROR(
        TEXT(DATEVALUE(SUBSTITUTE(SUBSTITUTE(TRIM(A1001),""-"",""/""),""."&amp;""",""/"")),""dd/mm/yyyy""),
        TRIM(A1001)
      )
    )
  )
)
"),"14/11/2024")</f>
        <v>14/11/2024</v>
      </c>
      <c r="L1001" s="26">
        <v>45610.0</v>
      </c>
      <c r="M1001" s="27" t="str">
        <f>IFERROR(__xludf.DUMMYFUNCTION("PROPER(TRIM(
  REGEXREPLACE(
    REGEXREPLACE(
      SUBSTITUTE(SUBSTITUTE(SUBSTITUTE(SUBSTITUTE(SUBSTITUTE(SUBSTITUTE(SUBSTITUTE(SUBSTITUTE(SUBSTITUTE(SUBSTITUTE(SUBSTITUTE(
        B1001,""√©"",""é""),""√°"",""á""),""√±"",""ñ""),""√≥"",""ó""),""√â"",""é"&amp;"""),""√Å"",""á""),""√ç"",""í""),""√Ç"",""Í""),""√Â"",""é""),""√≠"",""í""),""√º"",""ú""),
      ""[,\\.√]"",""""),
    ""\\s+"","" "")
))
"),"Cali")</f>
        <v>Cali</v>
      </c>
      <c r="N1001" s="28" t="str">
        <f>IFERROR(__xludf.DUMMYFUNCTION("SPLIT(
  TRIM(
    SUBSTITUTE(
      SUBSTITUTE(
        SUBSTITUTE(
          SUBSTITUTE(
            C1001,
            ""√©"", ""é""
          ),
          ""√±"", ""ñ""
        ),
        ""√°"", ""á""
      ),
      ""√≥"", ""ó""
    )
  ),
  ""-""
)"&amp;"
"),"Tablet")</f>
        <v>Tablet</v>
      </c>
      <c r="O1001" s="28" t="str">
        <f>IFERROR(__xludf.DUMMYFUNCTION("""COMPUTED_VALUE"""),"Mini")</f>
        <v>Mini</v>
      </c>
      <c r="P1001" s="28" t="str">
        <f>IFERROR(__xludf.DUMMYFUNCTION("""COMPUTED_VALUE"""),"4GB")</f>
        <v>4GB</v>
      </c>
      <c r="Q1001" s="29">
        <f t="shared" si="1"/>
        <v>1876.88</v>
      </c>
      <c r="R1001" s="28">
        <f t="shared" si="2"/>
        <v>4</v>
      </c>
      <c r="S1001" s="29">
        <f t="shared" si="3"/>
        <v>7507.52</v>
      </c>
      <c r="T1001" s="28" t="str">
        <f>IFERROR(__xludf.DUMMYFUNCTION("PROPER(TRIM(
  LET(
    texto1, REGEXREPLACE(G1001, ""(?i)\b(DR\.?|SRA?\.?|\(A\)|MTRO\.?|LIC\.?|ING\.?)\b"", """"),
    texto2, REGEXREPLACE(texto1, ""√©|√â|√Â"", ""é""),
    texto3, REGEXREPLACE(texto2, ""√°|√Å"", ""á""),
    texto4, REGEXREPLACE(texto3,"&amp;" ""√±"", ""ñ""),
    texto5, REGEXREPLACE(texto4, ""√≥"", ""ó""),
    texto6, REGEXREPLACE(texto5, ""√ç|√≠|√Ç"", ""í""),
    texto7, REGEXREPLACE(texto6, ""√º"", ""ú""),
    texto8, REGEXREPLACE(texto7, ""[^A-Za-zÁÉÍÓÚÜÑáéíóúüñ\s]"", """"),
    texto9, RE"&amp;"GEXREPLACE(texto8, ""^[A-Za-zÁÉÍÓÚÜÑáéíóúüñ]\s+"", """"),
    texto10, IF(REGEXMATCH(texto9, ""(?i)^\s*Jos\s*$""), ""José"", texto9),
    texto11, REGEXREPLACE(texto10, ""(?i)(eé|ée|ee|éé)+"", ""é""),
    texto12, REGEXREPLACE(texto11, ""(?i)(aá|áa|aa|áá)"&amp;"+"", ""á""),
    texto13, REGEXREPLACE(texto12, ""(?i)(ií|íi|ii|íí)+"", ""í""),
    texto14, REGEXREPLACE(texto13, ""(?i)(oó|óo|oo|óó)+"", ""ó""),
    texto15, REGEXREPLACE(texto14, ""(?i)(uú|úu|uu|úú)+"", ""ú""),
    texto16, REGEXREPLACE(texto15, ""\s{2"&amp;",}"", "" ""),
    texto16
  )
))
"),"María Cristina Esparta Partida Lozano")</f>
        <v>María Cristina Esparta Partida Lozano</v>
      </c>
      <c r="U1001" s="28" t="str">
        <f t="shared" si="4"/>
        <v>344db87d-a5d1-4172-aec9-fa915cf7c5b7</v>
      </c>
      <c r="V1001" s="30" t="str">
        <f t="shared" si="5"/>
        <v>Tablet Mini 4GB</v>
      </c>
    </row>
    <row r="1002" ht="15.75" customHeight="1">
      <c r="A1002" s="6"/>
      <c r="B1002" s="2"/>
      <c r="C1002" s="2"/>
      <c r="D1002" s="7"/>
      <c r="E1002" s="2"/>
      <c r="F1002" s="7"/>
      <c r="G1002" s="2"/>
      <c r="H1002" s="2"/>
      <c r="I1002" s="2"/>
      <c r="K1002" s="39"/>
      <c r="L1002" s="40"/>
      <c r="M1002" s="40"/>
      <c r="N1002" s="41"/>
      <c r="O1002" s="41"/>
      <c r="P1002" s="41"/>
      <c r="Q1002" s="42"/>
      <c r="R1002" s="41"/>
      <c r="S1002" s="43">
        <f>SUM(Nueva[Monto total])</f>
        <v>3879201.82</v>
      </c>
      <c r="T1002" s="41"/>
      <c r="U1002" s="41"/>
      <c r="V1002" s="44"/>
    </row>
  </sheetData>
  <dataValidations>
    <dataValidation type="custom" allowBlank="1" showDropDown="1" sqref="L2:L1001">
      <formula1>OR(NOT(ISERROR(DATEVALUE(L2))), AND(ISNUMBER(L2), LEFT(CELL("format", L2))="D"))</formula1>
    </dataValidation>
    <dataValidation type="custom" allowBlank="1" showDropDown="1" sqref="S2:S1001">
      <formula1>AND(ISNUMBER(S2),(NOT(OR(NOT(ISERROR(DATEVALUE(S2))), AND(ISNUMBER(S2), LEFT(CELL("format", S2))="D")))))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20.44"/>
    <col customWidth="1" min="3" max="16" width="16.56"/>
  </cols>
  <sheetData>
    <row r="1" ht="27.0" customHeight="1">
      <c r="A1" s="45" t="s">
        <v>3320</v>
      </c>
      <c r="B1" s="45" t="s">
        <v>3321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ht="27.0" customHeight="1">
      <c r="A2" s="47" t="s">
        <v>3322</v>
      </c>
      <c r="B2" s="48">
        <f>'Tablas dinámicas'!B3</f>
        <v>3053684.32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ht="27.0" customHeight="1">
      <c r="A3" s="47" t="s">
        <v>3323</v>
      </c>
      <c r="B3" s="48">
        <f>'Tablas dinámicas'!B7</f>
        <v>3899.979974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ht="27.0" customHeight="1">
      <c r="A4" s="47" t="s">
        <v>3324</v>
      </c>
      <c r="B4" s="47">
        <f>'Tablas dinámicas'!B11</f>
        <v>783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ht="27.0" customHeight="1">
      <c r="A5" s="47" t="s">
        <v>3325</v>
      </c>
      <c r="B5" s="50" t="str">
        <f>'Tablas dinámicas'!B15</f>
        <v>Laptop Oficina 32GB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ht="27.0" customHeight="1">
      <c r="A6" s="47" t="s">
        <v>3326</v>
      </c>
      <c r="B6" s="50" t="str">
        <f>'Tablas dinámicas'!I3</f>
        <v>Ciudad De México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ht="27.0" customHeight="1">
      <c r="A7" s="47" t="s">
        <v>3327</v>
      </c>
      <c r="B7" s="51" t="s">
        <v>3328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ht="27.0" customHeight="1">
      <c r="A8" s="47" t="s">
        <v>3329</v>
      </c>
      <c r="B8" s="52">
        <f>'Tablas dinámicas'!I37</f>
        <v>1256212.44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ht="27.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ht="27.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ht="27.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ht="27.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ht="27.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ht="27.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ht="27.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ht="27.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ht="27.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ht="27.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ht="27.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ht="27.0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ht="27.0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ht="27.0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ht="27.0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ht="27.0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ht="27.0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ht="27.0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ht="27.0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ht="27.0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ht="27.0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ht="27.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ht="27.0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ht="27.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ht="27.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ht="27.0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ht="27.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ht="27.0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ht="27.0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ht="27.0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ht="27.0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ht="27.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ht="27.0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ht="27.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ht="27.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ht="27.0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ht="27.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ht="27.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ht="27.0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ht="27.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</row>
    <row r="49" ht="27.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</row>
    <row r="50" ht="27.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</row>
    <row r="51" ht="27.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27.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27.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27.0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</row>
    <row r="55" ht="27.0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27.0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27.0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 ht="27.0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</row>
    <row r="59" ht="27.0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</row>
    <row r="60" ht="27.0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ht="27.0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ht="27.0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ht="27.0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ht="27.0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ht="27.0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ht="27.0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27.0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27.0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7.0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ht="27.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ht="27.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</row>
    <row r="72" ht="27.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 ht="27.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ht="27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 ht="27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ht="27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 ht="27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</row>
    <row r="78" ht="27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</row>
    <row r="79" ht="27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</row>
    <row r="80" ht="27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</row>
    <row r="81" ht="27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 ht="27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</row>
    <row r="83" ht="27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</row>
    <row r="84" ht="27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</row>
    <row r="85" ht="27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</row>
    <row r="86" ht="27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</row>
    <row r="87" ht="27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ht="27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</row>
    <row r="89" ht="27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ht="27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 ht="27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ht="27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</row>
    <row r="93" ht="27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</row>
    <row r="94" ht="27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</row>
    <row r="95" ht="27.0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</row>
    <row r="96" ht="27.0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</row>
    <row r="97" ht="27.0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</row>
    <row r="98" ht="27.0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</row>
    <row r="99" ht="27.0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</row>
    <row r="100" ht="27.0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</row>
    <row r="101" ht="27.0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</row>
    <row r="102" ht="27.0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</row>
    <row r="103" ht="27.0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</row>
    <row r="104" ht="27.0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</row>
    <row r="105" ht="27.0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ht="27.0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</row>
    <row r="107" ht="27.0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</row>
    <row r="108" ht="27.0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</row>
    <row r="109" ht="27.0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</row>
    <row r="110" ht="27.0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</row>
    <row r="111" ht="27.0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</row>
    <row r="112" ht="27.0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</row>
    <row r="113" ht="27.0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</row>
    <row r="114" ht="27.0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</row>
    <row r="115" ht="27.0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</row>
    <row r="116" ht="27.0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</row>
    <row r="117" ht="27.0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</row>
    <row r="118" ht="27.0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</row>
    <row r="119" ht="27.0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</row>
    <row r="120" ht="27.0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 ht="27.0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</row>
    <row r="122" ht="27.0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</row>
    <row r="123" ht="27.0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 ht="27.0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</row>
    <row r="125" ht="27.0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</row>
    <row r="126" ht="27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</row>
    <row r="127" ht="27.0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</row>
    <row r="128" ht="27.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</row>
    <row r="129" ht="27.0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</row>
    <row r="130" ht="27.0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</row>
    <row r="131" ht="27.0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</row>
    <row r="132" ht="27.0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</row>
    <row r="133" ht="27.0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</row>
    <row r="134" ht="27.0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</row>
    <row r="135" ht="27.0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</row>
    <row r="136" ht="27.0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</row>
    <row r="137" ht="27.0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</row>
    <row r="138" ht="27.0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</row>
    <row r="139" ht="27.0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</row>
    <row r="140" ht="27.0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</row>
    <row r="141" ht="27.0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</row>
    <row r="142" ht="27.0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</row>
    <row r="143" ht="27.0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</row>
    <row r="144" ht="27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</row>
    <row r="145" ht="27.0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</row>
    <row r="146" ht="27.0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</row>
    <row r="147" ht="27.0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</row>
    <row r="148" ht="27.0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</row>
    <row r="149" ht="27.0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</row>
    <row r="150" ht="27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</row>
    <row r="151" ht="27.0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</row>
    <row r="152" ht="27.0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</row>
    <row r="153" ht="27.0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</row>
    <row r="154" ht="27.0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</row>
    <row r="155" ht="27.0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</row>
    <row r="156" ht="27.0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</row>
    <row r="157" ht="27.0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</row>
    <row r="158" ht="27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</row>
    <row r="159" ht="27.0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</row>
    <row r="160" ht="27.0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</row>
    <row r="161" ht="27.0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</row>
    <row r="162" ht="27.0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</row>
    <row r="163" ht="27.0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</row>
    <row r="164" ht="27.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</row>
    <row r="165" ht="27.0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</row>
    <row r="166" ht="27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</row>
    <row r="167" ht="27.0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</row>
    <row r="168" ht="27.0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</row>
    <row r="169" ht="27.0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</row>
    <row r="170" ht="27.0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</row>
    <row r="171" ht="27.0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</row>
    <row r="172" ht="27.0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</row>
    <row r="173" ht="27.0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</row>
    <row r="174" ht="27.0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</row>
    <row r="175" ht="27.0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</row>
    <row r="176" ht="27.0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</row>
    <row r="177" ht="27.0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</row>
    <row r="178" ht="27.0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</row>
    <row r="179" ht="27.0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</row>
    <row r="180" ht="27.0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</row>
    <row r="181" ht="27.0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</row>
    <row r="182" ht="27.0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</row>
    <row r="183" ht="27.0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</row>
    <row r="184" ht="27.0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</row>
    <row r="185" ht="27.0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</row>
    <row r="186" ht="27.0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</row>
    <row r="187" ht="27.0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</row>
    <row r="188" ht="27.0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</row>
    <row r="189" ht="27.0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</row>
    <row r="190" ht="27.0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</row>
    <row r="191" ht="27.0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</row>
    <row r="192" ht="27.0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</row>
    <row r="193" ht="27.0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</row>
    <row r="194" ht="27.0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</row>
    <row r="195" ht="27.0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</row>
    <row r="196" ht="27.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</row>
    <row r="197" ht="27.0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</row>
    <row r="198" ht="27.0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</row>
    <row r="199" ht="27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</row>
    <row r="200" ht="27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</row>
    <row r="201" ht="27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</row>
    <row r="202" ht="27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</row>
    <row r="203" ht="27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</row>
    <row r="204" ht="27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</row>
    <row r="205" ht="27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</row>
    <row r="206" ht="27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</row>
    <row r="207" ht="27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</row>
    <row r="208" ht="27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</row>
    <row r="209" ht="27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</row>
    <row r="210" ht="27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</row>
    <row r="211" ht="27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</row>
    <row r="212" ht="27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</row>
    <row r="213" ht="27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</row>
    <row r="214" ht="27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</row>
    <row r="215" ht="27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</row>
    <row r="216" ht="27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</row>
    <row r="217" ht="27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</row>
    <row r="218" ht="27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</row>
    <row r="219" ht="27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</row>
    <row r="220" ht="27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</row>
    <row r="221" ht="27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</row>
    <row r="222" ht="27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</row>
    <row r="223" ht="27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</row>
    <row r="224" ht="27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</row>
    <row r="225" ht="27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</row>
    <row r="226" ht="27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</row>
    <row r="227" ht="27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</row>
    <row r="228" ht="27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</row>
    <row r="229" ht="27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</row>
    <row r="230" ht="27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</row>
    <row r="231" ht="27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</row>
    <row r="232" ht="27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</row>
    <row r="233" ht="27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</row>
    <row r="234" ht="27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</row>
    <row r="235" ht="27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</row>
    <row r="236" ht="27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</row>
    <row r="237" ht="27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</row>
    <row r="238" ht="27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</row>
    <row r="239" ht="27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</row>
    <row r="240" ht="27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</row>
    <row r="241" ht="27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</row>
    <row r="242" ht="27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</row>
    <row r="243" ht="27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</row>
    <row r="244" ht="27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</row>
    <row r="245" ht="27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</row>
    <row r="246" ht="27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</row>
    <row r="247" ht="27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</row>
    <row r="248" ht="27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</row>
    <row r="249" ht="27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</row>
    <row r="250" ht="27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</row>
    <row r="251" ht="27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</row>
    <row r="252" ht="27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</row>
    <row r="253" ht="27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</row>
    <row r="254" ht="27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</row>
    <row r="255" ht="27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</row>
    <row r="256" ht="27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</row>
    <row r="257" ht="27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</row>
    <row r="258" ht="27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</row>
    <row r="259" ht="27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</row>
    <row r="260" ht="27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</row>
    <row r="261" ht="27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</row>
    <row r="262" ht="27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</row>
    <row r="263" ht="27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</row>
    <row r="264" ht="27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</row>
    <row r="265" ht="27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</row>
    <row r="266" ht="27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</row>
    <row r="267" ht="27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</row>
    <row r="268" ht="27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</row>
    <row r="269" ht="27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</row>
    <row r="270" ht="27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</row>
    <row r="271" ht="27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</row>
    <row r="272" ht="27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</row>
    <row r="273" ht="27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</row>
    <row r="274" ht="27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</row>
    <row r="275" ht="27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</row>
    <row r="276" ht="27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</row>
    <row r="277" ht="27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</row>
    <row r="278" ht="27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</row>
    <row r="279" ht="27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</row>
    <row r="280" ht="27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</row>
    <row r="281" ht="27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</row>
    <row r="282" ht="27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</row>
    <row r="283" ht="27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</row>
    <row r="284" ht="27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</row>
    <row r="285" ht="27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</row>
    <row r="286" ht="27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</row>
    <row r="287" ht="27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</row>
    <row r="288" ht="27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</row>
    <row r="289" ht="27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</row>
    <row r="290" ht="27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</row>
    <row r="291" ht="27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</row>
    <row r="292" ht="27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</row>
    <row r="293" ht="27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</row>
    <row r="294" ht="27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</row>
    <row r="295" ht="27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</row>
    <row r="296" ht="27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</row>
    <row r="297" ht="27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</row>
    <row r="298" ht="27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</row>
    <row r="299" ht="27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</row>
    <row r="300" ht="27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</row>
    <row r="301" ht="27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</row>
    <row r="302" ht="27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</row>
    <row r="303" ht="27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</row>
    <row r="304" ht="27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</row>
    <row r="305" ht="27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</row>
    <row r="306" ht="27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</row>
    <row r="307" ht="27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</row>
    <row r="308" ht="27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</row>
    <row r="309" ht="27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</row>
    <row r="310" ht="27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</row>
    <row r="311" ht="27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</row>
    <row r="312" ht="27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</row>
    <row r="313" ht="27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</row>
    <row r="314" ht="27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</row>
    <row r="315" ht="27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</row>
    <row r="316" ht="27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</row>
    <row r="317" ht="27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</row>
    <row r="318" ht="27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</row>
    <row r="319" ht="27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</row>
    <row r="320" ht="27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</row>
    <row r="321" ht="27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</row>
    <row r="322" ht="27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</row>
    <row r="323" ht="27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</row>
    <row r="324" ht="27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</row>
    <row r="325" ht="27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</row>
    <row r="326" ht="27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</row>
    <row r="327" ht="27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</row>
    <row r="328" ht="27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</row>
    <row r="329" ht="27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</row>
    <row r="330" ht="27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</row>
    <row r="331" ht="27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</row>
    <row r="332" ht="27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</row>
    <row r="333" ht="27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</row>
    <row r="334" ht="27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</row>
    <row r="335" ht="27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</row>
    <row r="336" ht="27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</row>
    <row r="337" ht="27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</row>
    <row r="338" ht="27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</row>
    <row r="339" ht="27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</row>
    <row r="340" ht="27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</row>
    <row r="341" ht="27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</row>
    <row r="342" ht="27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</row>
    <row r="343" ht="27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</row>
    <row r="344" ht="27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</row>
    <row r="345" ht="27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</row>
    <row r="346" ht="27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</row>
    <row r="347" ht="27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</row>
    <row r="348" ht="27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</row>
    <row r="349" ht="27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</row>
    <row r="350" ht="27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</row>
    <row r="351" ht="27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</row>
    <row r="352" ht="27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</row>
    <row r="353" ht="27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</row>
    <row r="354" ht="27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</row>
    <row r="355" ht="27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</row>
    <row r="356" ht="27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</row>
    <row r="357" ht="27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</row>
    <row r="358" ht="27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</row>
    <row r="359" ht="27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</row>
    <row r="360" ht="27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</row>
    <row r="361" ht="27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</row>
    <row r="362" ht="27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</row>
    <row r="363" ht="27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</row>
    <row r="364" ht="27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</row>
    <row r="365" ht="27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</row>
    <row r="366" ht="27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</row>
    <row r="367" ht="27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</row>
    <row r="368" ht="27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</row>
    <row r="369" ht="27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</row>
    <row r="370" ht="27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</row>
    <row r="371" ht="27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</row>
    <row r="372" ht="27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</row>
    <row r="373" ht="27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</row>
    <row r="374" ht="27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</row>
    <row r="375" ht="27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</row>
    <row r="376" ht="27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</row>
    <row r="377" ht="27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</row>
    <row r="378" ht="27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</row>
    <row r="379" ht="27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</row>
    <row r="380" ht="27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</row>
    <row r="381" ht="27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</row>
    <row r="382" ht="27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</row>
    <row r="383" ht="27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</row>
    <row r="384" ht="27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</row>
    <row r="385" ht="27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</row>
    <row r="386" ht="27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</row>
    <row r="387" ht="27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</row>
    <row r="388" ht="27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</row>
    <row r="389" ht="27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</row>
    <row r="390" ht="27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</row>
    <row r="391" ht="27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</row>
    <row r="392" ht="27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</row>
    <row r="393" ht="27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</row>
    <row r="394" ht="27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</row>
    <row r="395" ht="27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</row>
    <row r="396" ht="27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</row>
    <row r="397" ht="27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</row>
    <row r="398" ht="27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</row>
    <row r="399" ht="27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</row>
    <row r="400" ht="27.0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</row>
    <row r="401" ht="27.0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</row>
    <row r="402" ht="27.0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</row>
    <row r="403" ht="27.0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</row>
    <row r="404" ht="27.0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</row>
    <row r="405" ht="27.0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</row>
    <row r="406" ht="27.0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</row>
    <row r="407" ht="27.0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</row>
    <row r="408" ht="27.0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</row>
    <row r="409" ht="27.0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</row>
    <row r="410" ht="27.0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</row>
    <row r="411" ht="27.0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</row>
    <row r="412" ht="27.0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</row>
    <row r="413" ht="27.0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</row>
    <row r="414" ht="27.0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</row>
    <row r="415" ht="27.0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</row>
    <row r="416" ht="27.0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</row>
    <row r="417" ht="27.0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</row>
    <row r="418" ht="27.0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</row>
    <row r="419" ht="27.0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</row>
    <row r="420" ht="27.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</row>
    <row r="421" ht="27.0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</row>
    <row r="422" ht="27.0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</row>
    <row r="423" ht="27.0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</row>
    <row r="424" ht="27.0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</row>
    <row r="425" ht="27.0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</row>
    <row r="426" ht="27.0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</row>
    <row r="427" ht="27.0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</row>
    <row r="428" ht="27.0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</row>
    <row r="429" ht="27.0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</row>
    <row r="430" ht="27.0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</row>
    <row r="431" ht="27.0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</row>
    <row r="432" ht="27.0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</row>
    <row r="433" ht="27.0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</row>
    <row r="434" ht="27.0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</row>
    <row r="435" ht="27.0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</row>
    <row r="436" ht="27.0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</row>
    <row r="437" ht="27.0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</row>
    <row r="438" ht="27.0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</row>
    <row r="439" ht="27.0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</row>
    <row r="440" ht="27.0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</row>
    <row r="441" ht="27.0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</row>
    <row r="442" ht="27.0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</row>
    <row r="443" ht="27.0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</row>
    <row r="444" ht="27.0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</row>
    <row r="445" ht="27.0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</row>
    <row r="446" ht="27.0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</row>
    <row r="447" ht="27.0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</row>
    <row r="448" ht="27.0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</row>
    <row r="449" ht="27.0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</row>
    <row r="450" ht="27.0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</row>
    <row r="451" ht="27.0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</row>
    <row r="452" ht="27.0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</row>
    <row r="453" ht="27.0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</row>
    <row r="454" ht="27.0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</row>
    <row r="455" ht="27.0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</row>
    <row r="456" ht="27.0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</row>
    <row r="457" ht="27.0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</row>
    <row r="458" ht="27.0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</row>
    <row r="459" ht="27.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</row>
    <row r="460" ht="27.0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</row>
    <row r="461" ht="27.0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</row>
    <row r="462" ht="27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</row>
    <row r="463" ht="27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</row>
    <row r="464" ht="27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</row>
    <row r="465" ht="27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</row>
    <row r="466" ht="27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</row>
    <row r="467" ht="27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</row>
    <row r="468" ht="27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</row>
    <row r="469" ht="27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</row>
    <row r="470" ht="27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</row>
    <row r="471" ht="27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</row>
    <row r="472" ht="27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</row>
    <row r="473" ht="27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</row>
    <row r="474" ht="27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</row>
    <row r="475" ht="27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</row>
    <row r="476" ht="27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</row>
    <row r="477" ht="27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</row>
    <row r="478" ht="27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</row>
    <row r="479" ht="27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</row>
    <row r="480" ht="27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</row>
    <row r="481" ht="27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</row>
    <row r="482" ht="27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</row>
    <row r="483" ht="27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</row>
    <row r="484" ht="27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</row>
    <row r="485" ht="27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</row>
    <row r="486" ht="27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</row>
    <row r="487" ht="27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</row>
    <row r="488" ht="27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</row>
    <row r="489" ht="27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</row>
    <row r="490" ht="27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</row>
    <row r="491" ht="27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</row>
    <row r="492" ht="27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</row>
    <row r="493" ht="27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</row>
    <row r="494" ht="27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</row>
    <row r="495" ht="27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</row>
    <row r="496" ht="27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</row>
    <row r="497" ht="27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</row>
    <row r="498" ht="27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</row>
    <row r="499" ht="27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</row>
    <row r="500" ht="27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</row>
    <row r="501" ht="27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27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</row>
    <row r="503" ht="27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</row>
    <row r="504" ht="27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</row>
    <row r="505" ht="27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</row>
    <row r="506" ht="27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</row>
    <row r="507" ht="27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</row>
    <row r="508" ht="27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</row>
    <row r="509" ht="27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</row>
    <row r="510" ht="27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</row>
    <row r="511" ht="27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44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56"/>
    <col customWidth="1" min="2" max="2" width="165.11"/>
  </cols>
  <sheetData>
    <row r="1" ht="21.75" customHeight="1">
      <c r="A1" s="54" t="s">
        <v>3333</v>
      </c>
      <c r="B1" s="55"/>
    </row>
    <row r="2" ht="21.75" customHeight="1">
      <c r="A2" s="45" t="s">
        <v>3334</v>
      </c>
      <c r="B2" s="45" t="s">
        <v>3321</v>
      </c>
    </row>
    <row r="3" ht="21.75" customHeight="1">
      <c r="A3" s="45" t="s">
        <v>3335</v>
      </c>
      <c r="B3" s="56"/>
    </row>
    <row r="4" ht="21.75" customHeight="1">
      <c r="A4" s="47" t="s">
        <v>3336</v>
      </c>
      <c r="B4" s="56" t="s">
        <v>3337</v>
      </c>
    </row>
    <row r="5" ht="21.75" customHeight="1">
      <c r="A5" s="45" t="s">
        <v>3338</v>
      </c>
      <c r="B5" s="56"/>
    </row>
    <row r="6" ht="21.75" customHeight="1">
      <c r="A6" s="47" t="s">
        <v>3339</v>
      </c>
      <c r="B6" s="56" t="s">
        <v>3340</v>
      </c>
    </row>
    <row r="7" ht="21.75" customHeight="1">
      <c r="A7" s="47" t="s">
        <v>3341</v>
      </c>
      <c r="B7" s="38" t="s">
        <v>3342</v>
      </c>
    </row>
    <row r="8" ht="21.75" customHeight="1">
      <c r="A8" s="47" t="s">
        <v>3329</v>
      </c>
      <c r="B8" s="56" t="s">
        <v>3343</v>
      </c>
    </row>
    <row r="9" ht="21.75" customHeight="1">
      <c r="A9" s="47" t="s">
        <v>3344</v>
      </c>
      <c r="B9" s="56" t="s">
        <v>3345</v>
      </c>
    </row>
    <row r="10" ht="21.75" customHeight="1">
      <c r="A10" s="45" t="s">
        <v>3346</v>
      </c>
      <c r="B10" s="56" t="s">
        <v>3347</v>
      </c>
    </row>
    <row r="11" ht="21.75" customHeight="1">
      <c r="A11" s="47" t="s">
        <v>3348</v>
      </c>
      <c r="B11" s="56" t="s">
        <v>3349</v>
      </c>
    </row>
    <row r="12" ht="21.75" customHeight="1">
      <c r="A12" s="45" t="s">
        <v>3350</v>
      </c>
    </row>
    <row r="13" ht="21.75" customHeight="1">
      <c r="A13" s="47" t="s">
        <v>3351</v>
      </c>
      <c r="B13" s="56" t="s">
        <v>3352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21.11"/>
    <col customWidth="1" min="4" max="4" width="34.67"/>
    <col customWidth="1" min="8" max="8" width="16.56"/>
    <col customWidth="1" min="9" max="9" width="15.44"/>
  </cols>
  <sheetData>
    <row r="1">
      <c r="A1" s="57" t="s">
        <v>3322</v>
      </c>
      <c r="D1" s="47" t="s">
        <v>3326</v>
      </c>
    </row>
    <row r="2">
      <c r="A2" s="58"/>
    </row>
    <row r="3">
      <c r="A3" s="58"/>
    </row>
    <row r="4">
      <c r="A4" s="58"/>
    </row>
    <row r="5">
      <c r="A5" s="47" t="s">
        <v>3323</v>
      </c>
    </row>
    <row r="6">
      <c r="A6" s="58"/>
      <c r="D6" s="47" t="s">
        <v>3327</v>
      </c>
    </row>
    <row r="7">
      <c r="A7" s="58"/>
      <c r="H7" s="32"/>
    </row>
    <row r="8">
      <c r="A8" s="58"/>
    </row>
    <row r="9">
      <c r="A9" s="58"/>
    </row>
    <row r="10">
      <c r="A10" s="60" t="s">
        <v>3324</v>
      </c>
    </row>
    <row r="11">
      <c r="A11" s="58"/>
    </row>
    <row r="12">
      <c r="A12" s="58"/>
    </row>
    <row r="13">
      <c r="A13" s="60" t="s">
        <v>3325</v>
      </c>
    </row>
    <row r="14">
      <c r="A14" s="58"/>
    </row>
    <row r="15">
      <c r="A15" s="58"/>
    </row>
    <row r="16">
      <c r="A16" s="58"/>
    </row>
    <row r="17">
      <c r="A17" s="58"/>
    </row>
    <row r="18">
      <c r="A18" s="58"/>
    </row>
    <row r="19">
      <c r="A19" s="58"/>
    </row>
    <row r="20">
      <c r="A20" s="58"/>
    </row>
    <row r="21">
      <c r="A21" s="58"/>
    </row>
    <row r="22">
      <c r="A22" s="58"/>
    </row>
    <row r="23">
      <c r="A23" s="58"/>
    </row>
    <row r="24">
      <c r="A24" s="58"/>
    </row>
    <row r="25">
      <c r="A25" s="58"/>
    </row>
    <row r="26">
      <c r="A26" s="58"/>
    </row>
    <row r="27">
      <c r="A27" s="58"/>
    </row>
    <row r="28">
      <c r="A28" s="58"/>
    </row>
    <row r="29">
      <c r="A29" s="58"/>
    </row>
    <row r="30">
      <c r="A30" s="58"/>
    </row>
    <row r="31">
      <c r="A31" s="58"/>
    </row>
    <row r="32">
      <c r="A32" s="58"/>
    </row>
    <row r="33">
      <c r="A33" s="58"/>
    </row>
    <row r="34">
      <c r="A34" s="58"/>
      <c r="D34" s="47" t="s">
        <v>3329</v>
      </c>
    </row>
    <row r="35">
      <c r="A35" s="58"/>
    </row>
    <row r="36">
      <c r="A36" s="58"/>
    </row>
    <row r="37">
      <c r="A37" s="58"/>
    </row>
    <row r="38">
      <c r="A38" s="58"/>
    </row>
    <row r="39">
      <c r="A39" s="58"/>
    </row>
    <row r="40">
      <c r="A40" s="58"/>
    </row>
    <row r="41">
      <c r="A41" s="58"/>
    </row>
    <row r="42">
      <c r="A42" s="58"/>
    </row>
    <row r="43">
      <c r="A43" s="58"/>
    </row>
    <row r="44">
      <c r="A44" s="58"/>
    </row>
    <row r="45">
      <c r="A45" s="58"/>
    </row>
    <row r="46">
      <c r="A46" s="58"/>
    </row>
    <row r="47">
      <c r="A47" s="58"/>
    </row>
    <row r="48">
      <c r="A48" s="58"/>
    </row>
    <row r="49">
      <c r="A49" s="58"/>
    </row>
    <row r="50">
      <c r="A50" s="58"/>
    </row>
    <row r="51">
      <c r="A51" s="58"/>
    </row>
    <row r="52">
      <c r="A52" s="58"/>
    </row>
    <row r="53">
      <c r="A53" s="58"/>
    </row>
    <row r="54">
      <c r="A54" s="58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</sheetData>
  <autoFilter ref="$B$14:$C$63"/>
  <drawing r:id="rId9"/>
  <legacy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